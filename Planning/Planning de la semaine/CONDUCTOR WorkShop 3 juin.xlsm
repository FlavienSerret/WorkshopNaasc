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Naasc Archives\"/>
    </mc:Choice>
  </mc:AlternateContent>
  <xr:revisionPtr revIDLastSave="0" documentId="13_ncr:1_{64F3EB8D-E1DA-4465-81D1-97241B780094}" xr6:coauthVersionLast="47" xr6:coauthVersionMax="47" xr10:uidLastSave="{00000000-0000-0000-0000-000000000000}"/>
  <bookViews>
    <workbookView xWindow="28680" yWindow="-120" windowWidth="29040" windowHeight="15720" tabRatio="687" activeTab="1" xr2:uid="{00000000-000D-0000-FFFF-FFFF00000000}"/>
  </bookViews>
  <sheets>
    <sheet name="PASSAGES" sheetId="37" r:id="rId1"/>
    <sheet name="PLANNING" sheetId="30" r:id="rId2"/>
    <sheet name="ECLIPSES" sheetId="38" r:id="rId3"/>
    <sheet name="BANDE S" sheetId="42" state="hidden" r:id="rId4"/>
    <sheet name="SCOOP" sheetId="34" r:id="rId5"/>
    <sheet name="ALTO" sheetId="39" r:id="rId6"/>
    <sheet name="ELIOT" sheetId="40" r:id="rId7"/>
    <sheet name="CAMEO" sheetId="41" r:id="rId8"/>
    <sheet name="SCC" sheetId="43" state="hidden" r:id="rId9"/>
    <sheet name="modèle" sheetId="36" r:id="rId10"/>
  </sheets>
  <definedNames>
    <definedName name="_xleta.DAYS" hidden="1" xlm="1">#NAME?</definedName>
    <definedName name="AnnéeCalendrier" localSheetId="5">#REF!</definedName>
    <definedName name="AnnéeCalendrier" localSheetId="3">#REF!</definedName>
    <definedName name="AnnéeCalendrier" localSheetId="7">#REF!</definedName>
    <definedName name="AnnéeCalendrier" localSheetId="2">#REF!</definedName>
    <definedName name="AnnéeCalendrier" localSheetId="6">#REF!</definedName>
    <definedName name="AnnéeCalendrier" localSheetId="0">#REF!</definedName>
    <definedName name="AnnéeCalendrier" localSheetId="8">#REF!</definedName>
    <definedName name="AnnéeCalendrier" localSheetId="4">#REF!</definedName>
    <definedName name="AnnéeCalendrier">#REF!</definedName>
    <definedName name="CléCongé" localSheetId="5">#REF!</definedName>
    <definedName name="CléCongé" localSheetId="3">#REF!</definedName>
    <definedName name="CléCongé" localSheetId="7">#REF!</definedName>
    <definedName name="CléCongé" localSheetId="2">#REF!</definedName>
    <definedName name="CléCongé" localSheetId="6">#REF!</definedName>
    <definedName name="CléCongé" localSheetId="0">#REF!</definedName>
    <definedName name="CléCongé" localSheetId="8">#REF!</definedName>
    <definedName name="CléCongé" localSheetId="4">#REF!</definedName>
    <definedName name="CléCongé">#REF!</definedName>
    <definedName name="CléMaladie" localSheetId="5">#REF!</definedName>
    <definedName name="CléMaladie" localSheetId="3">#REF!</definedName>
    <definedName name="CléMaladie" localSheetId="7">#REF!</definedName>
    <definedName name="CléMaladie" localSheetId="2">#REF!</definedName>
    <definedName name="CléMaladie" localSheetId="6">#REF!</definedName>
    <definedName name="CléMaladie" localSheetId="0">#REF!</definedName>
    <definedName name="CléMaladie" localSheetId="8">#REF!</definedName>
    <definedName name="CléMaladie" localSheetId="4">#REF!</definedName>
    <definedName name="CléMaladie">#REF!</definedName>
    <definedName name="CléPersonnalisée1" localSheetId="5">#REF!</definedName>
    <definedName name="CléPersonnalisée1" localSheetId="3">#REF!</definedName>
    <definedName name="CléPersonnalisée1" localSheetId="7">#REF!</definedName>
    <definedName name="CléPersonnalisée1" localSheetId="2">#REF!</definedName>
    <definedName name="CléPersonnalisée1" localSheetId="6">#REF!</definedName>
    <definedName name="CléPersonnalisée1" localSheetId="0">#REF!</definedName>
    <definedName name="CléPersonnalisée1" localSheetId="8">#REF!</definedName>
    <definedName name="CléPersonnalisée1" localSheetId="4">#REF!</definedName>
    <definedName name="CléPersonnalisée1">#REF!</definedName>
    <definedName name="CléPersonnalisée2" localSheetId="5">#REF!</definedName>
    <definedName name="CléPersonnalisée2" localSheetId="3">#REF!</definedName>
    <definedName name="CléPersonnalisée2" localSheetId="7">#REF!</definedName>
    <definedName name="CléPersonnalisée2" localSheetId="2">#REF!</definedName>
    <definedName name="CléPersonnalisée2" localSheetId="6">#REF!</definedName>
    <definedName name="CléPersonnalisée2" localSheetId="0">#REF!</definedName>
    <definedName name="CléPersonnalisée2" localSheetId="8">#REF!</definedName>
    <definedName name="CléPersonnalisée2" localSheetId="4">#REF!</definedName>
    <definedName name="CléPersonnalisée2">#REF!</definedName>
    <definedName name="CléPersonnel" localSheetId="5">#REF!</definedName>
    <definedName name="CléPersonnel" localSheetId="3">#REF!</definedName>
    <definedName name="CléPersonnel" localSheetId="7">#REF!</definedName>
    <definedName name="CléPersonnel" localSheetId="2">#REF!</definedName>
    <definedName name="CléPersonnel" localSheetId="6">#REF!</definedName>
    <definedName name="CléPersonnel" localSheetId="0">#REF!</definedName>
    <definedName name="CléPersonnel" localSheetId="8">#REF!</definedName>
    <definedName name="CléPersonnel" localSheetId="4">#REF!</definedName>
    <definedName name="CléPersonnel">#REF!</definedName>
    <definedName name="date" localSheetId="5">#REF!</definedName>
    <definedName name="date" localSheetId="3">#REF!</definedName>
    <definedName name="date" localSheetId="7">#REF!</definedName>
    <definedName name="date" localSheetId="2">#REF!</definedName>
    <definedName name="date" localSheetId="6">#REF!</definedName>
    <definedName name="date" localSheetId="0">#REF!</definedName>
    <definedName name="date" localSheetId="8">#REF!</definedName>
    <definedName name="date" localSheetId="4">#REF!</definedName>
    <definedName name="date">#REF!</definedName>
    <definedName name="ÉtiquetteCléCongé" localSheetId="5">#REF!</definedName>
    <definedName name="ÉtiquetteCléCongé" localSheetId="3">#REF!</definedName>
    <definedName name="ÉtiquetteCléCongé" localSheetId="7">#REF!</definedName>
    <definedName name="ÉtiquetteCléCongé" localSheetId="2">#REF!</definedName>
    <definedName name="ÉtiquetteCléCongé" localSheetId="6">#REF!</definedName>
    <definedName name="ÉtiquetteCléCongé" localSheetId="0">#REF!</definedName>
    <definedName name="ÉtiquetteCléCongé" localSheetId="8">#REF!</definedName>
    <definedName name="ÉtiquetteCléCongé" localSheetId="4">#REF!</definedName>
    <definedName name="ÉtiquetteCléCongé">#REF!</definedName>
    <definedName name="ÉtiquetteCléMaladie" localSheetId="5">#REF!</definedName>
    <definedName name="ÉtiquetteCléMaladie" localSheetId="3">#REF!</definedName>
    <definedName name="ÉtiquetteCléMaladie" localSheetId="7">#REF!</definedName>
    <definedName name="ÉtiquetteCléMaladie" localSheetId="2">#REF!</definedName>
    <definedName name="ÉtiquetteCléMaladie" localSheetId="6">#REF!</definedName>
    <definedName name="ÉtiquetteCléMaladie" localSheetId="0">#REF!</definedName>
    <definedName name="ÉtiquetteCléMaladie" localSheetId="8">#REF!</definedName>
    <definedName name="ÉtiquetteCléMaladie" localSheetId="4">#REF!</definedName>
    <definedName name="ÉtiquetteCléMaladie">#REF!</definedName>
    <definedName name="ÉtiquetteCléPersonnalisée1" localSheetId="5">#REF!</definedName>
    <definedName name="ÉtiquetteCléPersonnalisée1" localSheetId="3">#REF!</definedName>
    <definedName name="ÉtiquetteCléPersonnalisée1" localSheetId="7">#REF!</definedName>
    <definedName name="ÉtiquetteCléPersonnalisée1" localSheetId="2">#REF!</definedName>
    <definedName name="ÉtiquetteCléPersonnalisée1" localSheetId="6">#REF!</definedName>
    <definedName name="ÉtiquetteCléPersonnalisée1" localSheetId="0">#REF!</definedName>
    <definedName name="ÉtiquetteCléPersonnalisée1" localSheetId="8">#REF!</definedName>
    <definedName name="ÉtiquetteCléPersonnalisée1" localSheetId="4">#REF!</definedName>
    <definedName name="ÉtiquetteCléPersonnalisée1">#REF!</definedName>
    <definedName name="ÉtiquetteCléPersonnalisée2" localSheetId="5">#REF!</definedName>
    <definedName name="ÉtiquetteCléPersonnalisée2" localSheetId="3">#REF!</definedName>
    <definedName name="ÉtiquetteCléPersonnalisée2" localSheetId="7">#REF!</definedName>
    <definedName name="ÉtiquetteCléPersonnalisée2" localSheetId="2">#REF!</definedName>
    <definedName name="ÉtiquetteCléPersonnalisée2" localSheetId="6">#REF!</definedName>
    <definedName name="ÉtiquetteCléPersonnalisée2" localSheetId="0">#REF!</definedName>
    <definedName name="ÉtiquetteCléPersonnalisée2" localSheetId="8">#REF!</definedName>
    <definedName name="ÉtiquetteCléPersonnalisée2" localSheetId="4">#REF!</definedName>
    <definedName name="ÉtiquetteCléPersonnalisée2">#REF!</definedName>
    <definedName name="ÉtiquetteCléPersonnel" localSheetId="5">#REF!</definedName>
    <definedName name="ÉtiquetteCléPersonnel" localSheetId="3">#REF!</definedName>
    <definedName name="ÉtiquetteCléPersonnel" localSheetId="7">#REF!</definedName>
    <definedName name="ÉtiquetteCléPersonnel" localSheetId="2">#REF!</definedName>
    <definedName name="ÉtiquetteCléPersonnel" localSheetId="6">#REF!</definedName>
    <definedName name="ÉtiquetteCléPersonnel" localSheetId="0">#REF!</definedName>
    <definedName name="ÉtiquetteCléPersonnel" localSheetId="8">#REF!</definedName>
    <definedName name="ÉtiquetteCléPersonnel" localSheetId="4">#REF!</definedName>
    <definedName name="ÉtiquetteCléPersonnel">#REF!</definedName>
    <definedName name="Nom_clé" localSheetId="5">#REF!</definedName>
    <definedName name="Nom_clé" localSheetId="3">#REF!</definedName>
    <definedName name="Nom_clé" localSheetId="7">#REF!</definedName>
    <definedName name="Nom_clé" localSheetId="2">#REF!</definedName>
    <definedName name="Nom_clé" localSheetId="6">#REF!</definedName>
    <definedName name="Nom_clé" localSheetId="0">#REF!</definedName>
    <definedName name="Nom_clé" localSheetId="8">#REF!</definedName>
    <definedName name="Nom_clé" localSheetId="4">#REF!</definedName>
    <definedName name="Nom_clé">#REF!</definedName>
    <definedName name="Titre_Absence_Employé" localSheetId="5">#REF!</definedName>
    <definedName name="Titre_Absence_Employé" localSheetId="3">#REF!</definedName>
    <definedName name="Titre_Absence_Employé" localSheetId="7">#REF!</definedName>
    <definedName name="Titre_Absence_Employé" localSheetId="2">#REF!</definedName>
    <definedName name="Titre_Absence_Employé" localSheetId="6">#REF!</definedName>
    <definedName name="Titre_Absence_Employé" localSheetId="0">#REF!</definedName>
    <definedName name="Titre_Absence_Employé" localSheetId="8">#REF!</definedName>
    <definedName name="Titre_Absence_Employé" localSheetId="4">#REF!</definedName>
    <definedName name="Titre_Absence_Employé">#REF!</definedName>
    <definedName name="Titre1" localSheetId="5">#REF!</definedName>
    <definedName name="Titre1" localSheetId="3">#REF!</definedName>
    <definedName name="Titre1" localSheetId="7">#REF!</definedName>
    <definedName name="Titre1" localSheetId="2">#REF!</definedName>
    <definedName name="Titre1" localSheetId="6">#REF!</definedName>
    <definedName name="Titre1" localSheetId="0">#REF!</definedName>
    <definedName name="Titre1" localSheetId="8">#REF!</definedName>
    <definedName name="Titre1" localSheetId="4">#REF!</definedName>
    <definedName name="Titre1">#REF!</definedName>
    <definedName name="Titre10" localSheetId="5">#REF!</definedName>
    <definedName name="Titre10" localSheetId="3">#REF!</definedName>
    <definedName name="Titre10" localSheetId="7">#REF!</definedName>
    <definedName name="Titre10" localSheetId="2">#REF!</definedName>
    <definedName name="Titre10" localSheetId="6">#REF!</definedName>
    <definedName name="Titre10" localSheetId="0">#REF!</definedName>
    <definedName name="Titre10" localSheetId="8">#REF!</definedName>
    <definedName name="Titre10" localSheetId="4">#REF!</definedName>
    <definedName name="Titre10">#REF!</definedName>
    <definedName name="Titre11" localSheetId="5">#REF!</definedName>
    <definedName name="Titre11" localSheetId="3">#REF!</definedName>
    <definedName name="Titre11" localSheetId="7">#REF!</definedName>
    <definedName name="Titre11" localSheetId="2">#REF!</definedName>
    <definedName name="Titre11" localSheetId="6">#REF!</definedName>
    <definedName name="Titre11" localSheetId="0">#REF!</definedName>
    <definedName name="Titre11" localSheetId="8">#REF!</definedName>
    <definedName name="Titre11" localSheetId="4">#REF!</definedName>
    <definedName name="Titre11">#REF!</definedName>
    <definedName name="Titre12" localSheetId="5">#REF!</definedName>
    <definedName name="Titre12" localSheetId="3">#REF!</definedName>
    <definedName name="Titre12" localSheetId="7">#REF!</definedName>
    <definedName name="Titre12" localSheetId="2">#REF!</definedName>
    <definedName name="Titre12" localSheetId="6">#REF!</definedName>
    <definedName name="Titre12" localSheetId="0">#REF!</definedName>
    <definedName name="Titre12" localSheetId="8">#REF!</definedName>
    <definedName name="Titre12" localSheetId="4">#REF!</definedName>
    <definedName name="Titre12">#REF!</definedName>
    <definedName name="Titre2" localSheetId="5">#REF!</definedName>
    <definedName name="Titre2" localSheetId="3">#REF!</definedName>
    <definedName name="Titre2" localSheetId="7">#REF!</definedName>
    <definedName name="Titre2" localSheetId="2">#REF!</definedName>
    <definedName name="Titre2" localSheetId="6">#REF!</definedName>
    <definedName name="Titre2" localSheetId="0">#REF!</definedName>
    <definedName name="Titre2" localSheetId="8">#REF!</definedName>
    <definedName name="Titre2" localSheetId="4">#REF!</definedName>
    <definedName name="Titre2">#REF!</definedName>
    <definedName name="Titre3" localSheetId="5">#REF!</definedName>
    <definedName name="Titre3" localSheetId="3">#REF!</definedName>
    <definedName name="Titre3" localSheetId="7">#REF!</definedName>
    <definedName name="Titre3" localSheetId="2">#REF!</definedName>
    <definedName name="Titre3" localSheetId="6">#REF!</definedName>
    <definedName name="Titre3" localSheetId="0">#REF!</definedName>
    <definedName name="Titre3" localSheetId="8">#REF!</definedName>
    <definedName name="Titre3" localSheetId="4">#REF!</definedName>
    <definedName name="Titre3">#REF!</definedName>
    <definedName name="Titre4" localSheetId="5">#REF!</definedName>
    <definedName name="Titre4" localSheetId="3">#REF!</definedName>
    <definedName name="Titre4" localSheetId="7">#REF!</definedName>
    <definedName name="Titre4" localSheetId="2">#REF!</definedName>
    <definedName name="Titre4" localSheetId="6">#REF!</definedName>
    <definedName name="Titre4" localSheetId="0">#REF!</definedName>
    <definedName name="Titre4" localSheetId="8">#REF!</definedName>
    <definedName name="Titre4" localSheetId="4">#REF!</definedName>
    <definedName name="Titre4">#REF!</definedName>
    <definedName name="Titre5" localSheetId="5">#REF!</definedName>
    <definedName name="Titre5" localSheetId="3">#REF!</definedName>
    <definedName name="Titre5" localSheetId="7">#REF!</definedName>
    <definedName name="Titre5" localSheetId="2">#REF!</definedName>
    <definedName name="Titre5" localSheetId="6">#REF!</definedName>
    <definedName name="Titre5" localSheetId="0">#REF!</definedName>
    <definedName name="Titre5" localSheetId="8">#REF!</definedName>
    <definedName name="Titre5" localSheetId="4">#REF!</definedName>
    <definedName name="Titre5">#REF!</definedName>
    <definedName name="Titre6" localSheetId="5">#REF!</definedName>
    <definedName name="Titre6" localSheetId="3">#REF!</definedName>
    <definedName name="Titre6" localSheetId="7">#REF!</definedName>
    <definedName name="Titre6" localSheetId="2">#REF!</definedName>
    <definedName name="Titre6" localSheetId="6">#REF!</definedName>
    <definedName name="Titre6" localSheetId="0">#REF!</definedName>
    <definedName name="Titre6" localSheetId="8">#REF!</definedName>
    <definedName name="Titre6" localSheetId="4">#REF!</definedName>
    <definedName name="Titre6">#REF!</definedName>
    <definedName name="Titre7" localSheetId="5">#REF!</definedName>
    <definedName name="Titre7" localSheetId="3">#REF!</definedName>
    <definedName name="Titre7" localSheetId="7">#REF!</definedName>
    <definedName name="Titre7" localSheetId="2">#REF!</definedName>
    <definedName name="Titre7" localSheetId="6">#REF!</definedName>
    <definedName name="Titre7" localSheetId="0">#REF!</definedName>
    <definedName name="Titre7" localSheetId="8">#REF!</definedName>
    <definedName name="Titre7" localSheetId="4">#REF!</definedName>
    <definedName name="Titre7">#REF!</definedName>
    <definedName name="Titre8" localSheetId="5">#REF!</definedName>
    <definedName name="Titre8" localSheetId="3">#REF!</definedName>
    <definedName name="Titre8" localSheetId="7">#REF!</definedName>
    <definedName name="Titre8" localSheetId="2">#REF!</definedName>
    <definedName name="Titre8" localSheetId="6">#REF!</definedName>
    <definedName name="Titre8" localSheetId="0">#REF!</definedName>
    <definedName name="Titre8" localSheetId="8">#REF!</definedName>
    <definedName name="Titre8" localSheetId="4">#REF!</definedName>
    <definedName name="Titre8">#REF!</definedName>
    <definedName name="Titre9" localSheetId="5">#REF!</definedName>
    <definedName name="Titre9" localSheetId="3">#REF!</definedName>
    <definedName name="Titre9" localSheetId="7">#REF!</definedName>
    <definedName name="Titre9" localSheetId="2">#REF!</definedName>
    <definedName name="Titre9" localSheetId="6">#REF!</definedName>
    <definedName name="Titre9" localSheetId="0">#REF!</definedName>
    <definedName name="Titre9" localSheetId="8">#REF!</definedName>
    <definedName name="Titre9" localSheetId="4">#REF!</definedName>
    <definedName name="Titre9">#REF!</definedName>
    <definedName name="TitreColonne13" localSheetId="5">#REF!</definedName>
    <definedName name="TitreColonne13" localSheetId="3">#REF!</definedName>
    <definedName name="TitreColonne13" localSheetId="7">#REF!</definedName>
    <definedName name="TitreColonne13" localSheetId="2">#REF!</definedName>
    <definedName name="TitreColonne13" localSheetId="6">#REF!</definedName>
    <definedName name="TitreColonne13" localSheetId="0">#REF!</definedName>
    <definedName name="TitreColonne13" localSheetId="8">#REF!</definedName>
    <definedName name="TitreColonne13" localSheetId="4">#REF!</definedName>
    <definedName name="TitreColonne13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W41" i="30" l="1"/>
  <c r="AGV41" i="30"/>
  <c r="AGU41" i="30"/>
  <c r="AGT41" i="30"/>
  <c r="AGS41" i="30"/>
  <c r="AGR41" i="30"/>
  <c r="AGQ41" i="30"/>
  <c r="AGM41" i="30"/>
  <c r="AGL41" i="30"/>
  <c r="AGK41" i="30"/>
  <c r="AGJ41" i="30"/>
  <c r="ABI41" i="30"/>
  <c r="ABH41" i="30"/>
  <c r="ABG41" i="30"/>
  <c r="ABF41" i="30"/>
  <c r="ABE41" i="30"/>
  <c r="ABD41" i="30"/>
  <c r="ABC41" i="30"/>
  <c r="AAY41" i="30"/>
  <c r="AAX41" i="30"/>
  <c r="AAW41" i="30"/>
  <c r="AAV41" i="30"/>
  <c r="VU41" i="30"/>
  <c r="VT41" i="30"/>
  <c r="VS41" i="30"/>
  <c r="VR41" i="30"/>
  <c r="VQ41" i="30"/>
  <c r="VP41" i="30"/>
  <c r="VO41" i="30"/>
  <c r="VK41" i="30"/>
  <c r="VJ41" i="30"/>
  <c r="VI41" i="30"/>
  <c r="VH41" i="30"/>
  <c r="QG41" i="30"/>
  <c r="QF41" i="30"/>
  <c r="QE41" i="30"/>
  <c r="QD41" i="30"/>
  <c r="QC41" i="30"/>
  <c r="QB41" i="30"/>
  <c r="QA41" i="30"/>
  <c r="PW41" i="30"/>
  <c r="PV41" i="30"/>
  <c r="PU41" i="30"/>
  <c r="PT41" i="30"/>
  <c r="KS41" i="30"/>
  <c r="KR41" i="30"/>
  <c r="KQ41" i="30"/>
  <c r="KP41" i="30"/>
  <c r="KO41" i="30"/>
  <c r="KO40" i="30" s="1"/>
  <c r="KO39" i="30" s="1"/>
  <c r="KN41" i="30"/>
  <c r="KN40" i="30" s="1"/>
  <c r="KN39" i="30" s="1"/>
  <c r="KM41" i="30"/>
  <c r="KM40" i="30" s="1"/>
  <c r="KM39" i="30" s="1"/>
  <c r="KI41" i="30"/>
  <c r="KI40" i="30" s="1"/>
  <c r="KI39" i="30" s="1"/>
  <c r="KH41" i="30"/>
  <c r="KH40" i="30" s="1"/>
  <c r="KH39" i="30" s="1"/>
  <c r="KG41" i="30"/>
  <c r="KG40" i="30" s="1"/>
  <c r="KG39" i="30" s="1"/>
  <c r="KF41" i="30"/>
  <c r="KF40" i="30" s="1"/>
  <c r="KF39" i="30" s="1"/>
  <c r="KF43" i="30"/>
  <c r="KG43" i="30"/>
  <c r="KH43" i="30"/>
  <c r="KI43" i="30"/>
  <c r="KJ43" i="30"/>
  <c r="KK43" i="30"/>
  <c r="KL43" i="30"/>
  <c r="KM43" i="30"/>
  <c r="KN43" i="30"/>
  <c r="KO43" i="30"/>
  <c r="KP43" i="30"/>
  <c r="KQ43" i="30"/>
  <c r="KR43" i="30"/>
  <c r="KS43" i="30"/>
  <c r="KT43" i="30"/>
  <c r="KU43" i="30"/>
  <c r="KV43" i="30"/>
  <c r="KW43" i="30"/>
  <c r="KX43" i="30"/>
  <c r="KY43" i="30"/>
  <c r="KZ43" i="30"/>
  <c r="LA43" i="30"/>
  <c r="LB43" i="30"/>
  <c r="LC43" i="30"/>
  <c r="LD43" i="30"/>
  <c r="LE43" i="30"/>
  <c r="LF43" i="30"/>
  <c r="LG43" i="30"/>
  <c r="LH43" i="30"/>
  <c r="LI43" i="30"/>
  <c r="LJ43" i="30"/>
  <c r="LK43" i="30"/>
  <c r="LL43" i="30"/>
  <c r="LM43" i="30"/>
  <c r="LN43" i="30"/>
  <c r="LO43" i="30"/>
  <c r="LP43" i="30"/>
  <c r="LQ43" i="30"/>
  <c r="LR43" i="30"/>
  <c r="LS43" i="30"/>
  <c r="LT43" i="30"/>
  <c r="LU43" i="30"/>
  <c r="LV43" i="30"/>
  <c r="LW43" i="30"/>
  <c r="LX43" i="30"/>
  <c r="LY43" i="30"/>
  <c r="LZ43" i="30"/>
  <c r="MA43" i="30"/>
  <c r="MB43" i="30"/>
  <c r="MC43" i="30"/>
  <c r="MD43" i="30"/>
  <c r="ME43" i="30"/>
  <c r="MF43" i="30"/>
  <c r="MG43" i="30"/>
  <c r="MH43" i="30"/>
  <c r="MI43" i="30"/>
  <c r="MJ43" i="30"/>
  <c r="MK43" i="30"/>
  <c r="ML43" i="30"/>
  <c r="MM43" i="30"/>
  <c r="MN43" i="30"/>
  <c r="MO43" i="30"/>
  <c r="MP43" i="30"/>
  <c r="MQ43" i="30"/>
  <c r="MR43" i="30"/>
  <c r="MS43" i="30"/>
  <c r="MT43" i="30"/>
  <c r="MU43" i="30"/>
  <c r="MV43" i="30"/>
  <c r="MW43" i="30"/>
  <c r="MX43" i="30"/>
  <c r="MY43" i="30"/>
  <c r="MZ43" i="30"/>
  <c r="NA43" i="30"/>
  <c r="NB43" i="30"/>
  <c r="NC43" i="30"/>
  <c r="ND43" i="30"/>
  <c r="NE43" i="30"/>
  <c r="NF43" i="30"/>
  <c r="NG43" i="30"/>
  <c r="NH43" i="30"/>
  <c r="NI43" i="30"/>
  <c r="NJ43" i="30"/>
  <c r="NK43" i="30"/>
  <c r="NL43" i="30"/>
  <c r="NM43" i="30"/>
  <c r="NN43" i="30"/>
  <c r="NO43" i="30"/>
  <c r="NP43" i="30"/>
  <c r="NQ43" i="30"/>
  <c r="NR43" i="30"/>
  <c r="NS43" i="30"/>
  <c r="NT43" i="30"/>
  <c r="NU43" i="30"/>
  <c r="NV43" i="30"/>
  <c r="NW43" i="30"/>
  <c r="NX43" i="30"/>
  <c r="NY43" i="30"/>
  <c r="NZ43" i="30"/>
  <c r="OA43" i="30"/>
  <c r="OB43" i="30"/>
  <c r="OC43" i="30"/>
  <c r="OD43" i="30"/>
  <c r="OE43" i="30"/>
  <c r="OF43" i="30"/>
  <c r="OG43" i="30"/>
  <c r="OH43" i="30"/>
  <c r="OI43" i="30"/>
  <c r="OJ43" i="30"/>
  <c r="OK43" i="30"/>
  <c r="OL43" i="30"/>
  <c r="OM43" i="30"/>
  <c r="ON43" i="30"/>
  <c r="OO43" i="30"/>
  <c r="OP43" i="30"/>
  <c r="OQ43" i="30"/>
  <c r="OR43" i="30"/>
  <c r="OS43" i="30"/>
  <c r="OT43" i="30"/>
  <c r="OU43" i="30"/>
  <c r="OV43" i="30"/>
  <c r="OW43" i="30"/>
  <c r="OX43" i="30"/>
  <c r="OY43" i="30"/>
  <c r="OZ43" i="30"/>
  <c r="PA43" i="30"/>
  <c r="PB43" i="30"/>
  <c r="PC43" i="30"/>
  <c r="PD43" i="30"/>
  <c r="PE43" i="30"/>
  <c r="PF43" i="30"/>
  <c r="PG43" i="30"/>
  <c r="PH43" i="30"/>
  <c r="PI43" i="30"/>
  <c r="PJ43" i="30"/>
  <c r="PK43" i="30"/>
  <c r="PL43" i="30"/>
  <c r="PM43" i="30"/>
  <c r="PN43" i="30"/>
  <c r="PO43" i="30"/>
  <c r="PP43" i="30"/>
  <c r="PQ43" i="30"/>
  <c r="PR43" i="30"/>
  <c r="PS43" i="30"/>
  <c r="PT43" i="30"/>
  <c r="PU43" i="30"/>
  <c r="PV43" i="30"/>
  <c r="PW43" i="30"/>
  <c r="PX43" i="30"/>
  <c r="PY43" i="30"/>
  <c r="PZ43" i="30"/>
  <c r="QA43" i="30"/>
  <c r="QB43" i="30"/>
  <c r="QC43" i="30"/>
  <c r="QD43" i="30"/>
  <c r="QE43" i="30"/>
  <c r="QF43" i="30"/>
  <c r="QG43" i="30"/>
  <c r="QH43" i="30"/>
  <c r="QI43" i="30"/>
  <c r="QJ43" i="30"/>
  <c r="QK43" i="30"/>
  <c r="QL43" i="30"/>
  <c r="QM43" i="30"/>
  <c r="QN43" i="30"/>
  <c r="QO43" i="30"/>
  <c r="QP43" i="30"/>
  <c r="QQ43" i="30"/>
  <c r="QR43" i="30"/>
  <c r="QS43" i="30"/>
  <c r="QT43" i="30"/>
  <c r="QU43" i="30"/>
  <c r="QV43" i="30"/>
  <c r="QW43" i="30"/>
  <c r="QX43" i="30"/>
  <c r="QY43" i="30"/>
  <c r="QZ43" i="30"/>
  <c r="RA43" i="30"/>
  <c r="RB43" i="30"/>
  <c r="RC43" i="30"/>
  <c r="RD43" i="30"/>
  <c r="RE43" i="30"/>
  <c r="RF43" i="30"/>
  <c r="RG43" i="30"/>
  <c r="RH43" i="30"/>
  <c r="RI43" i="30"/>
  <c r="RJ43" i="30"/>
  <c r="RK43" i="30"/>
  <c r="RL43" i="30"/>
  <c r="RM43" i="30"/>
  <c r="RN43" i="30"/>
  <c r="RO43" i="30"/>
  <c r="RP43" i="30"/>
  <c r="RQ43" i="30"/>
  <c r="RR43" i="30"/>
  <c r="RS43" i="30"/>
  <c r="RT43" i="30"/>
  <c r="RU43" i="30"/>
  <c r="RV43" i="30"/>
  <c r="RW43" i="30"/>
  <c r="RX43" i="30"/>
  <c r="RY43" i="30"/>
  <c r="RZ43" i="30"/>
  <c r="SA43" i="30"/>
  <c r="SB43" i="30"/>
  <c r="SC43" i="30"/>
  <c r="SD43" i="30"/>
  <c r="SE43" i="30"/>
  <c r="SF43" i="30"/>
  <c r="SG43" i="30"/>
  <c r="SH43" i="30"/>
  <c r="SI43" i="30"/>
  <c r="SJ43" i="30"/>
  <c r="SK43" i="30"/>
  <c r="SL43" i="30"/>
  <c r="SM43" i="30"/>
  <c r="SN43" i="30"/>
  <c r="SO43" i="30"/>
  <c r="SP43" i="30"/>
  <c r="SQ43" i="30"/>
  <c r="SR43" i="30"/>
  <c r="SS43" i="30"/>
  <c r="ST43" i="30"/>
  <c r="SU43" i="30"/>
  <c r="SV43" i="30"/>
  <c r="SW43" i="30"/>
  <c r="SX43" i="30"/>
  <c r="SY43" i="30"/>
  <c r="SZ43" i="30"/>
  <c r="TA43" i="30"/>
  <c r="TB43" i="30"/>
  <c r="TC43" i="30"/>
  <c r="TD43" i="30"/>
  <c r="TE43" i="30"/>
  <c r="TF43" i="30"/>
  <c r="TG43" i="30"/>
  <c r="TH43" i="30"/>
  <c r="TI43" i="30"/>
  <c r="TJ43" i="30"/>
  <c r="TK43" i="30"/>
  <c r="TL43" i="30"/>
  <c r="TM43" i="30"/>
  <c r="TN43" i="30"/>
  <c r="TO43" i="30"/>
  <c r="TP43" i="30"/>
  <c r="TQ43" i="30"/>
  <c r="TR43" i="30"/>
  <c r="TS43" i="30"/>
  <c r="TT43" i="30"/>
  <c r="TU43" i="30"/>
  <c r="TV43" i="30"/>
  <c r="TW43" i="30"/>
  <c r="TX43" i="30"/>
  <c r="TY43" i="30"/>
  <c r="TZ43" i="30"/>
  <c r="UA43" i="30"/>
  <c r="UB43" i="30"/>
  <c r="UC43" i="30"/>
  <c r="UD43" i="30"/>
  <c r="UE43" i="30"/>
  <c r="UF43" i="30"/>
  <c r="UG43" i="30"/>
  <c r="UH43" i="30"/>
  <c r="UI43" i="30"/>
  <c r="UJ43" i="30"/>
  <c r="UK43" i="30"/>
  <c r="UL43" i="30"/>
  <c r="UM43" i="30"/>
  <c r="UN43" i="30"/>
  <c r="UO43" i="30"/>
  <c r="UP43" i="30"/>
  <c r="UQ43" i="30"/>
  <c r="UR43" i="30"/>
  <c r="US43" i="30"/>
  <c r="UT43" i="30"/>
  <c r="UU43" i="30"/>
  <c r="UV43" i="30"/>
  <c r="UW43" i="30"/>
  <c r="UX43" i="30"/>
  <c r="UY43" i="30"/>
  <c r="UZ43" i="30"/>
  <c r="VA43" i="30"/>
  <c r="VB43" i="30"/>
  <c r="VC43" i="30"/>
  <c r="VD43" i="30"/>
  <c r="VE43" i="30"/>
  <c r="VF43" i="30"/>
  <c r="VG43" i="30"/>
  <c r="VH43" i="30"/>
  <c r="VI43" i="30"/>
  <c r="VJ43" i="30"/>
  <c r="VK43" i="30"/>
  <c r="VL43" i="30"/>
  <c r="VM43" i="30"/>
  <c r="VN43" i="30"/>
  <c r="VO43" i="30"/>
  <c r="VP43" i="30"/>
  <c r="VQ43" i="30"/>
  <c r="VR43" i="30"/>
  <c r="VS43" i="30"/>
  <c r="VT43" i="30"/>
  <c r="VU43" i="30"/>
  <c r="VV43" i="30"/>
  <c r="VW43" i="30"/>
  <c r="VX43" i="30"/>
  <c r="VY43" i="30"/>
  <c r="VZ43" i="30"/>
  <c r="WA43" i="30"/>
  <c r="WB43" i="30"/>
  <c r="WC43" i="30"/>
  <c r="WD43" i="30"/>
  <c r="WE43" i="30"/>
  <c r="WF43" i="30"/>
  <c r="WG43" i="30"/>
  <c r="WH43" i="30"/>
  <c r="WI43" i="30"/>
  <c r="WJ43" i="30"/>
  <c r="WK43" i="30"/>
  <c r="WL43" i="30"/>
  <c r="WM43" i="30"/>
  <c r="WN43" i="30"/>
  <c r="WO43" i="30"/>
  <c r="WP43" i="30"/>
  <c r="WQ43" i="30"/>
  <c r="WR43" i="30"/>
  <c r="WS43" i="30"/>
  <c r="WT43" i="30"/>
  <c r="WU43" i="30"/>
  <c r="WV43" i="30"/>
  <c r="WW43" i="30"/>
  <c r="WX43" i="30"/>
  <c r="WY43" i="30"/>
  <c r="WZ43" i="30"/>
  <c r="XA43" i="30"/>
  <c r="XB43" i="30"/>
  <c r="XC43" i="30"/>
  <c r="XD43" i="30"/>
  <c r="XE43" i="30"/>
  <c r="XF43" i="30"/>
  <c r="XG43" i="30"/>
  <c r="XH43" i="30"/>
  <c r="XI43" i="30"/>
  <c r="XJ43" i="30"/>
  <c r="XK43" i="30"/>
  <c r="XL43" i="30"/>
  <c r="XM43" i="30"/>
  <c r="XN43" i="30"/>
  <c r="XO43" i="30"/>
  <c r="XP43" i="30"/>
  <c r="XQ43" i="30"/>
  <c r="XR43" i="30"/>
  <c r="XS43" i="30"/>
  <c r="XT43" i="30"/>
  <c r="XU43" i="30"/>
  <c r="XV43" i="30"/>
  <c r="XW43" i="30"/>
  <c r="XX43" i="30"/>
  <c r="XY43" i="30"/>
  <c r="XZ43" i="30"/>
  <c r="YA43" i="30"/>
  <c r="YB43" i="30"/>
  <c r="YC43" i="30"/>
  <c r="YD43" i="30"/>
  <c r="YE43" i="30"/>
  <c r="YF43" i="30"/>
  <c r="YG43" i="30"/>
  <c r="YH43" i="30"/>
  <c r="YI43" i="30"/>
  <c r="YJ43" i="30"/>
  <c r="YK43" i="30"/>
  <c r="YL43" i="30"/>
  <c r="YM43" i="30"/>
  <c r="YN43" i="30"/>
  <c r="YO43" i="30"/>
  <c r="YP43" i="30"/>
  <c r="YQ43" i="30"/>
  <c r="YR43" i="30"/>
  <c r="YS43" i="30"/>
  <c r="YT43" i="30"/>
  <c r="YU43" i="30"/>
  <c r="YV43" i="30"/>
  <c r="YW43" i="30"/>
  <c r="YX43" i="30"/>
  <c r="YY43" i="30"/>
  <c r="YZ43" i="30"/>
  <c r="ZA43" i="30"/>
  <c r="ZB43" i="30"/>
  <c r="ZC43" i="30"/>
  <c r="ZD43" i="30"/>
  <c r="ZE43" i="30"/>
  <c r="ZF43" i="30"/>
  <c r="ZG43" i="30"/>
  <c r="ZH43" i="30"/>
  <c r="ZI43" i="30"/>
  <c r="ZJ43" i="30"/>
  <c r="ZK43" i="30"/>
  <c r="ZL43" i="30"/>
  <c r="ZM43" i="30"/>
  <c r="ZN43" i="30"/>
  <c r="ZO43" i="30"/>
  <c r="ZP43" i="30"/>
  <c r="ZQ43" i="30"/>
  <c r="ZR43" i="30"/>
  <c r="ZS43" i="30"/>
  <c r="ZT43" i="30"/>
  <c r="ZU43" i="30"/>
  <c r="ZV43" i="30"/>
  <c r="ZW43" i="30"/>
  <c r="ZX43" i="30"/>
  <c r="ZY43" i="30"/>
  <c r="ZZ43" i="30"/>
  <c r="AAA43" i="30"/>
  <c r="AAB43" i="30"/>
  <c r="AAC43" i="30"/>
  <c r="AAD43" i="30"/>
  <c r="AAE43" i="30"/>
  <c r="AAF43" i="30"/>
  <c r="AAG43" i="30"/>
  <c r="AAH43" i="30"/>
  <c r="AAI43" i="30"/>
  <c r="AAJ43" i="30"/>
  <c r="AAK43" i="30"/>
  <c r="AAL43" i="30"/>
  <c r="AAM43" i="30"/>
  <c r="AAN43" i="30"/>
  <c r="AAO43" i="30"/>
  <c r="AAP43" i="30"/>
  <c r="AAQ43" i="30"/>
  <c r="AAR43" i="30"/>
  <c r="AAS43" i="30"/>
  <c r="AAT43" i="30"/>
  <c r="AAU43" i="30"/>
  <c r="KP40" i="30"/>
  <c r="KP39" i="30" s="1"/>
  <c r="CK39" i="30"/>
  <c r="CK40" i="30"/>
  <c r="L41" i="30"/>
  <c r="K41" i="30"/>
  <c r="KF27" i="30"/>
  <c r="KG27" i="30"/>
  <c r="KH27" i="30"/>
  <c r="KI27" i="30"/>
  <c r="KI26" i="30" s="1"/>
  <c r="KJ27" i="30"/>
  <c r="KJ26" i="30" s="1"/>
  <c r="KK27" i="30"/>
  <c r="KK26" i="30" s="1"/>
  <c r="KL27" i="30"/>
  <c r="KL26" i="30" s="1"/>
  <c r="KM27" i="30"/>
  <c r="KM26" i="30" s="1"/>
  <c r="KN27" i="30"/>
  <c r="KN26" i="30" s="1"/>
  <c r="KO27" i="30"/>
  <c r="KO26" i="30" s="1"/>
  <c r="KP27" i="30"/>
  <c r="KP26" i="30" s="1"/>
  <c r="KQ27" i="30"/>
  <c r="KQ26" i="30" s="1"/>
  <c r="KR27" i="30"/>
  <c r="KS27" i="30"/>
  <c r="KT27" i="30"/>
  <c r="KU27" i="30"/>
  <c r="KV27" i="30"/>
  <c r="KW27" i="30"/>
  <c r="KW26" i="30" s="1"/>
  <c r="KX27" i="30"/>
  <c r="KX26" i="30" s="1"/>
  <c r="KY27" i="30"/>
  <c r="KY26" i="30" s="1"/>
  <c r="KZ27" i="30"/>
  <c r="KZ26" i="30" s="1"/>
  <c r="LA27" i="30"/>
  <c r="LA26" i="30" s="1"/>
  <c r="LB27" i="30"/>
  <c r="LB26" i="30" s="1"/>
  <c r="LC27" i="30"/>
  <c r="LC26" i="30" s="1"/>
  <c r="LD27" i="30"/>
  <c r="LE27" i="30"/>
  <c r="LE26" i="30" s="1"/>
  <c r="LF27" i="30"/>
  <c r="LG27" i="30"/>
  <c r="LG26" i="30" s="1"/>
  <c r="LH27" i="30"/>
  <c r="LH26" i="30" s="1"/>
  <c r="LI27" i="30"/>
  <c r="LI26" i="30" s="1"/>
  <c r="LJ27" i="30"/>
  <c r="LJ26" i="30" s="1"/>
  <c r="LK27" i="30"/>
  <c r="LK26" i="30" s="1"/>
  <c r="LL27" i="30"/>
  <c r="LL26" i="30" s="1"/>
  <c r="LM27" i="30"/>
  <c r="LM26" i="30" s="1"/>
  <c r="LN27" i="30"/>
  <c r="LN26" i="30" s="1"/>
  <c r="LO27" i="30"/>
  <c r="LO26" i="30" s="1"/>
  <c r="LP27" i="30"/>
  <c r="LQ27" i="30"/>
  <c r="LR27" i="30"/>
  <c r="LS27" i="30"/>
  <c r="LT27" i="30"/>
  <c r="LT26" i="30" s="1"/>
  <c r="LU27" i="30"/>
  <c r="LU26" i="30" s="1"/>
  <c r="LV27" i="30"/>
  <c r="LV26" i="30" s="1"/>
  <c r="LW27" i="30"/>
  <c r="LW26" i="30" s="1"/>
  <c r="LX27" i="30"/>
  <c r="LX26" i="30" s="1"/>
  <c r="LY27" i="30"/>
  <c r="LY26" i="30" s="1"/>
  <c r="LZ27" i="30"/>
  <c r="LZ26" i="30" s="1"/>
  <c r="MA27" i="30"/>
  <c r="MA26" i="30" s="1"/>
  <c r="MB27" i="30"/>
  <c r="MC27" i="30"/>
  <c r="MD27" i="30"/>
  <c r="ME27" i="30"/>
  <c r="MF27" i="30"/>
  <c r="MF26" i="30" s="1"/>
  <c r="MG27" i="30"/>
  <c r="MG26" i="30" s="1"/>
  <c r="MH27" i="30"/>
  <c r="MH26" i="30" s="1"/>
  <c r="MI27" i="30"/>
  <c r="MI26" i="30" s="1"/>
  <c r="MJ27" i="30"/>
  <c r="MJ26" i="30" s="1"/>
  <c r="MK27" i="30"/>
  <c r="MK26" i="30" s="1"/>
  <c r="ML27" i="30"/>
  <c r="ML26" i="30" s="1"/>
  <c r="MM27" i="30"/>
  <c r="MM26" i="30" s="1"/>
  <c r="MN27" i="30"/>
  <c r="MO27" i="30"/>
  <c r="MP27" i="30"/>
  <c r="MP26" i="30" s="1"/>
  <c r="MQ27" i="30"/>
  <c r="MQ26" i="30" s="1"/>
  <c r="MR27" i="30"/>
  <c r="MR26" i="30" s="1"/>
  <c r="MS27" i="30"/>
  <c r="MS26" i="30" s="1"/>
  <c r="MT27" i="30"/>
  <c r="MT26" i="30" s="1"/>
  <c r="MU27" i="30"/>
  <c r="MU26" i="30" s="1"/>
  <c r="MV27" i="30"/>
  <c r="MV26" i="30" s="1"/>
  <c r="MW27" i="30"/>
  <c r="MW26" i="30" s="1"/>
  <c r="MX27" i="30"/>
  <c r="MX26" i="30" s="1"/>
  <c r="MY27" i="30"/>
  <c r="MY26" i="30" s="1"/>
  <c r="MZ27" i="30"/>
  <c r="NA27" i="30"/>
  <c r="NA26" i="30" s="1"/>
  <c r="NB27" i="30"/>
  <c r="NC27" i="30"/>
  <c r="ND27" i="30"/>
  <c r="ND26" i="30" s="1"/>
  <c r="NE27" i="30"/>
  <c r="NE26" i="30" s="1"/>
  <c r="NF27" i="30"/>
  <c r="NF26" i="30" s="1"/>
  <c r="NG27" i="30"/>
  <c r="NG26" i="30" s="1"/>
  <c r="NH27" i="30"/>
  <c r="NH26" i="30" s="1"/>
  <c r="NI27" i="30"/>
  <c r="NI26" i="30" s="1"/>
  <c r="NJ27" i="30"/>
  <c r="NJ26" i="30" s="1"/>
  <c r="NK27" i="30"/>
  <c r="NK26" i="30" s="1"/>
  <c r="NL27" i="30"/>
  <c r="NM27" i="30"/>
  <c r="NN27" i="30"/>
  <c r="NO27" i="30"/>
  <c r="NP27" i="30"/>
  <c r="NP26" i="30" s="1"/>
  <c r="NQ27" i="30"/>
  <c r="NQ26" i="30" s="1"/>
  <c r="NR27" i="30"/>
  <c r="NR26" i="30" s="1"/>
  <c r="NS27" i="30"/>
  <c r="NS26" i="30" s="1"/>
  <c r="NT27" i="30"/>
  <c r="NT26" i="30" s="1"/>
  <c r="NU27" i="30"/>
  <c r="NU26" i="30" s="1"/>
  <c r="NV27" i="30"/>
  <c r="NV26" i="30" s="1"/>
  <c r="NW27" i="30"/>
  <c r="NW26" i="30" s="1"/>
  <c r="NX27" i="30"/>
  <c r="NY27" i="30"/>
  <c r="NZ27" i="30"/>
  <c r="NZ26" i="30" s="1"/>
  <c r="OA27" i="30"/>
  <c r="OA26" i="30" s="1"/>
  <c r="OB27" i="30"/>
  <c r="OB26" i="30" s="1"/>
  <c r="OC27" i="30"/>
  <c r="OC26" i="30" s="1"/>
  <c r="OD27" i="30"/>
  <c r="OD26" i="30" s="1"/>
  <c r="OE27" i="30"/>
  <c r="OE26" i="30" s="1"/>
  <c r="OF27" i="30"/>
  <c r="OF26" i="30" s="1"/>
  <c r="OG27" i="30"/>
  <c r="OG26" i="30" s="1"/>
  <c r="OH27" i="30"/>
  <c r="OH26" i="30" s="1"/>
  <c r="OI27" i="30"/>
  <c r="OI26" i="30" s="1"/>
  <c r="OJ27" i="30"/>
  <c r="OK27" i="30"/>
  <c r="OK26" i="30" s="1"/>
  <c r="OL27" i="30"/>
  <c r="OL26" i="30" s="1"/>
  <c r="OM27" i="30"/>
  <c r="OM26" i="30" s="1"/>
  <c r="ON27" i="30"/>
  <c r="ON26" i="30" s="1"/>
  <c r="OO27" i="30"/>
  <c r="OO26" i="30" s="1"/>
  <c r="OP27" i="30"/>
  <c r="OP26" i="30" s="1"/>
  <c r="OQ27" i="30"/>
  <c r="OQ26" i="30" s="1"/>
  <c r="OR27" i="30"/>
  <c r="OR26" i="30" s="1"/>
  <c r="OS27" i="30"/>
  <c r="OS26" i="30" s="1"/>
  <c r="OT27" i="30"/>
  <c r="OT26" i="30" s="1"/>
  <c r="OU27" i="30"/>
  <c r="OU26" i="30" s="1"/>
  <c r="OV27" i="30"/>
  <c r="OW27" i="30"/>
  <c r="OX27" i="30"/>
  <c r="OY27" i="30"/>
  <c r="OZ27" i="30"/>
  <c r="OZ26" i="30" s="1"/>
  <c r="PA27" i="30"/>
  <c r="PA26" i="30" s="1"/>
  <c r="PB27" i="30"/>
  <c r="PB26" i="30" s="1"/>
  <c r="PC27" i="30"/>
  <c r="PC26" i="30" s="1"/>
  <c r="PD27" i="30"/>
  <c r="PD26" i="30" s="1"/>
  <c r="PE27" i="30"/>
  <c r="PE26" i="30" s="1"/>
  <c r="PF27" i="30"/>
  <c r="PF26" i="30" s="1"/>
  <c r="PG27" i="30"/>
  <c r="PG26" i="30" s="1"/>
  <c r="PH27" i="30"/>
  <c r="PI27" i="30"/>
  <c r="PJ27" i="30"/>
  <c r="PJ26" i="30" s="1"/>
  <c r="PK27" i="30"/>
  <c r="PK26" i="30" s="1"/>
  <c r="PL27" i="30"/>
  <c r="PL26" i="30" s="1"/>
  <c r="PM27" i="30"/>
  <c r="PM26" i="30" s="1"/>
  <c r="PN27" i="30"/>
  <c r="PN26" i="30" s="1"/>
  <c r="PO27" i="30"/>
  <c r="PO26" i="30" s="1"/>
  <c r="PP27" i="30"/>
  <c r="PP26" i="30" s="1"/>
  <c r="PQ27" i="30"/>
  <c r="PQ26" i="30" s="1"/>
  <c r="PR27" i="30"/>
  <c r="PR26" i="30" s="1"/>
  <c r="PS27" i="30"/>
  <c r="PS26" i="30" s="1"/>
  <c r="PT27" i="30"/>
  <c r="PU27" i="30"/>
  <c r="PV27" i="30"/>
  <c r="PW27" i="30"/>
  <c r="PX27" i="30"/>
  <c r="PY27" i="30"/>
  <c r="PZ27" i="30"/>
  <c r="QA27" i="30"/>
  <c r="QB27" i="30"/>
  <c r="QC27" i="30"/>
  <c r="QD27" i="30"/>
  <c r="QE27" i="30"/>
  <c r="QF27" i="30"/>
  <c r="QG27" i="30"/>
  <c r="QH27" i="30"/>
  <c r="QI27" i="30"/>
  <c r="QJ27" i="30"/>
  <c r="QK27" i="30"/>
  <c r="QL27" i="30"/>
  <c r="QM27" i="30"/>
  <c r="QN27" i="30"/>
  <c r="QO27" i="30"/>
  <c r="QP27" i="30"/>
  <c r="QQ27" i="30"/>
  <c r="QR27" i="30"/>
  <c r="QS27" i="30"/>
  <c r="QT27" i="30"/>
  <c r="QU27" i="30"/>
  <c r="QV27" i="30"/>
  <c r="QW27" i="30"/>
  <c r="QX27" i="30"/>
  <c r="QY27" i="30"/>
  <c r="QZ27" i="30"/>
  <c r="RA27" i="30"/>
  <c r="RB27" i="30"/>
  <c r="RC27" i="30"/>
  <c r="RD27" i="30"/>
  <c r="RE27" i="30"/>
  <c r="RF27" i="30"/>
  <c r="RG27" i="30"/>
  <c r="RH27" i="30"/>
  <c r="RI27" i="30"/>
  <c r="RJ27" i="30"/>
  <c r="RK27" i="30"/>
  <c r="RL27" i="30"/>
  <c r="RM27" i="30"/>
  <c r="RN27" i="30"/>
  <c r="RO27" i="30"/>
  <c r="RP27" i="30"/>
  <c r="RQ27" i="30"/>
  <c r="RR27" i="30"/>
  <c r="RS27" i="30"/>
  <c r="RT27" i="30"/>
  <c r="RU27" i="30"/>
  <c r="RV27" i="30"/>
  <c r="RW27" i="30"/>
  <c r="RX27" i="30"/>
  <c r="RY27" i="30"/>
  <c r="RZ27" i="30"/>
  <c r="SA27" i="30"/>
  <c r="SB27" i="30"/>
  <c r="SC27" i="30"/>
  <c r="SD27" i="30"/>
  <c r="SE27" i="30"/>
  <c r="SF27" i="30"/>
  <c r="SG27" i="30"/>
  <c r="SH27" i="30"/>
  <c r="SI27" i="30"/>
  <c r="SJ27" i="30"/>
  <c r="SK27" i="30"/>
  <c r="SL27" i="30"/>
  <c r="SM27" i="30"/>
  <c r="SN27" i="30"/>
  <c r="SO27" i="30"/>
  <c r="SP27" i="30"/>
  <c r="SQ27" i="30"/>
  <c r="SR27" i="30"/>
  <c r="SS27" i="30"/>
  <c r="ST27" i="30"/>
  <c r="SU27" i="30"/>
  <c r="SV27" i="30"/>
  <c r="SW27" i="30"/>
  <c r="SX27" i="30"/>
  <c r="SY27" i="30"/>
  <c r="SZ27" i="30"/>
  <c r="TA27" i="30"/>
  <c r="TB27" i="30"/>
  <c r="TC27" i="30"/>
  <c r="TD27" i="30"/>
  <c r="TE27" i="30"/>
  <c r="TF27" i="30"/>
  <c r="TG27" i="30"/>
  <c r="TH27" i="30"/>
  <c r="TI27" i="30"/>
  <c r="TJ27" i="30"/>
  <c r="TK27" i="30"/>
  <c r="TL27" i="30"/>
  <c r="TM27" i="30"/>
  <c r="TN27" i="30"/>
  <c r="TO27" i="30"/>
  <c r="TP27" i="30"/>
  <c r="TQ27" i="30"/>
  <c r="TR27" i="30"/>
  <c r="TS27" i="30"/>
  <c r="TT27" i="30"/>
  <c r="TU27" i="30"/>
  <c r="TV27" i="30"/>
  <c r="TW27" i="30"/>
  <c r="TX27" i="30"/>
  <c r="TY27" i="30"/>
  <c r="TZ27" i="30"/>
  <c r="UA27" i="30"/>
  <c r="UB27" i="30"/>
  <c r="UC27" i="30"/>
  <c r="UD27" i="30"/>
  <c r="UE27" i="30"/>
  <c r="UF27" i="30"/>
  <c r="UG27" i="30"/>
  <c r="UH27" i="30"/>
  <c r="UI27" i="30"/>
  <c r="UJ27" i="30"/>
  <c r="UK27" i="30"/>
  <c r="UL27" i="30"/>
  <c r="UM27" i="30"/>
  <c r="UN27" i="30"/>
  <c r="UO27" i="30"/>
  <c r="UP27" i="30"/>
  <c r="UQ27" i="30"/>
  <c r="UR27" i="30"/>
  <c r="US27" i="30"/>
  <c r="UT27" i="30"/>
  <c r="UU27" i="30"/>
  <c r="UV27" i="30"/>
  <c r="UW27" i="30"/>
  <c r="UX27" i="30"/>
  <c r="UY27" i="30"/>
  <c r="UZ27" i="30"/>
  <c r="VA27" i="30"/>
  <c r="VB27" i="30"/>
  <c r="VC27" i="30"/>
  <c r="VD27" i="30"/>
  <c r="VE27" i="30"/>
  <c r="VF27" i="30"/>
  <c r="VG27" i="30"/>
  <c r="VH27" i="30"/>
  <c r="VI27" i="30"/>
  <c r="VJ27" i="30"/>
  <c r="VK27" i="30"/>
  <c r="VL27" i="30"/>
  <c r="VM27" i="30"/>
  <c r="VN27" i="30"/>
  <c r="VO27" i="30"/>
  <c r="VP27" i="30"/>
  <c r="VQ27" i="30"/>
  <c r="VR27" i="30"/>
  <c r="VS27" i="30"/>
  <c r="VT27" i="30"/>
  <c r="VU27" i="30"/>
  <c r="VV27" i="30"/>
  <c r="VW27" i="30"/>
  <c r="VX27" i="30"/>
  <c r="VY27" i="30"/>
  <c r="VZ27" i="30"/>
  <c r="WA27" i="30"/>
  <c r="WB27" i="30"/>
  <c r="WC27" i="30"/>
  <c r="WD27" i="30"/>
  <c r="WE27" i="30"/>
  <c r="WF27" i="30"/>
  <c r="WG27" i="30"/>
  <c r="WH27" i="30"/>
  <c r="WI27" i="30"/>
  <c r="WJ27" i="30"/>
  <c r="WK27" i="30"/>
  <c r="WL27" i="30"/>
  <c r="WM27" i="30"/>
  <c r="WN27" i="30"/>
  <c r="WO27" i="30"/>
  <c r="WP27" i="30"/>
  <c r="WQ27" i="30"/>
  <c r="WR27" i="30"/>
  <c r="WS27" i="30"/>
  <c r="WT27" i="30"/>
  <c r="WU27" i="30"/>
  <c r="WV27" i="30"/>
  <c r="WW27" i="30"/>
  <c r="WX27" i="30"/>
  <c r="WY27" i="30"/>
  <c r="WZ27" i="30"/>
  <c r="XA27" i="30"/>
  <c r="XB27" i="30"/>
  <c r="XC27" i="30"/>
  <c r="XD27" i="30"/>
  <c r="XE27" i="30"/>
  <c r="XF27" i="30"/>
  <c r="XG27" i="30"/>
  <c r="XH27" i="30"/>
  <c r="XI27" i="30"/>
  <c r="XJ27" i="30"/>
  <c r="XK27" i="30"/>
  <c r="XL27" i="30"/>
  <c r="XM27" i="30"/>
  <c r="XN27" i="30"/>
  <c r="XO27" i="30"/>
  <c r="XP27" i="30"/>
  <c r="XQ27" i="30"/>
  <c r="XR27" i="30"/>
  <c r="XS27" i="30"/>
  <c r="XT27" i="30"/>
  <c r="XU27" i="30"/>
  <c r="XV27" i="30"/>
  <c r="XW27" i="30"/>
  <c r="XX27" i="30"/>
  <c r="XY27" i="30"/>
  <c r="XZ27" i="30"/>
  <c r="YA27" i="30"/>
  <c r="YB27" i="30"/>
  <c r="YC27" i="30"/>
  <c r="YD27" i="30"/>
  <c r="YE27" i="30"/>
  <c r="YF27" i="30"/>
  <c r="YG27" i="30"/>
  <c r="YH27" i="30"/>
  <c r="YI27" i="30"/>
  <c r="YJ27" i="30"/>
  <c r="YK27" i="30"/>
  <c r="YL27" i="30"/>
  <c r="YM27" i="30"/>
  <c r="YN27" i="30"/>
  <c r="YO27" i="30"/>
  <c r="YP27" i="30"/>
  <c r="YQ27" i="30"/>
  <c r="YR27" i="30"/>
  <c r="YS27" i="30"/>
  <c r="YT27" i="30"/>
  <c r="YU27" i="30"/>
  <c r="YV27" i="30"/>
  <c r="YW27" i="30"/>
  <c r="YX27" i="30"/>
  <c r="YY27" i="30"/>
  <c r="YZ27" i="30"/>
  <c r="ZA27" i="30"/>
  <c r="ZB27" i="30"/>
  <c r="ZC27" i="30"/>
  <c r="ZD27" i="30"/>
  <c r="ZE27" i="30"/>
  <c r="ZF27" i="30"/>
  <c r="ZG27" i="30"/>
  <c r="ZH27" i="30"/>
  <c r="ZI27" i="30"/>
  <c r="ZJ27" i="30"/>
  <c r="ZK27" i="30"/>
  <c r="ZL27" i="30"/>
  <c r="ZM27" i="30"/>
  <c r="ZN27" i="30"/>
  <c r="ZO27" i="30"/>
  <c r="ZP27" i="30"/>
  <c r="ZQ27" i="30"/>
  <c r="ZR27" i="30"/>
  <c r="ZS27" i="30"/>
  <c r="ZT27" i="30"/>
  <c r="ZU27" i="30"/>
  <c r="ZV27" i="30"/>
  <c r="ZW27" i="30"/>
  <c r="ZX27" i="30"/>
  <c r="ZY27" i="30"/>
  <c r="ZZ27" i="30"/>
  <c r="AAA27" i="30"/>
  <c r="AAB27" i="30"/>
  <c r="AAC27" i="30"/>
  <c r="AAD27" i="30"/>
  <c r="AAE27" i="30"/>
  <c r="AAF27" i="30"/>
  <c r="AAG27" i="30"/>
  <c r="AAH27" i="30"/>
  <c r="AAI27" i="30"/>
  <c r="AAJ27" i="30"/>
  <c r="AAK27" i="30"/>
  <c r="AAL27" i="30"/>
  <c r="AAM27" i="30"/>
  <c r="AAN27" i="30"/>
  <c r="AAO27" i="30"/>
  <c r="AAP27" i="30"/>
  <c r="AAQ27" i="30"/>
  <c r="AAR27" i="30"/>
  <c r="AAS27" i="30"/>
  <c r="AAT27" i="30"/>
  <c r="AAU27" i="30"/>
  <c r="AAV27" i="30"/>
  <c r="AAW27" i="30"/>
  <c r="AAX27" i="30"/>
  <c r="AAY27" i="30"/>
  <c r="AAZ27" i="30"/>
  <c r="ABA27" i="30"/>
  <c r="ABB27" i="30"/>
  <c r="ABC27" i="30"/>
  <c r="ABD27" i="30"/>
  <c r="ABE27" i="30"/>
  <c r="ABF27" i="30"/>
  <c r="ABG27" i="30"/>
  <c r="ABH27" i="30"/>
  <c r="ABI27" i="30"/>
  <c r="ABJ27" i="30"/>
  <c r="ABK27" i="30"/>
  <c r="ABL27" i="30"/>
  <c r="ABM27" i="30"/>
  <c r="ABN27" i="30"/>
  <c r="ABO27" i="30"/>
  <c r="ABP27" i="30"/>
  <c r="ABQ27" i="30"/>
  <c r="ABR27" i="30"/>
  <c r="ABS27" i="30"/>
  <c r="ABT27" i="30"/>
  <c r="ABU27" i="30"/>
  <c r="ABV27" i="30"/>
  <c r="ABW27" i="30"/>
  <c r="ABX27" i="30"/>
  <c r="ABY27" i="30"/>
  <c r="ABZ27" i="30"/>
  <c r="ACA27" i="30"/>
  <c r="ACB27" i="30"/>
  <c r="ACC27" i="30"/>
  <c r="ACD27" i="30"/>
  <c r="ACE27" i="30"/>
  <c r="ACF27" i="30"/>
  <c r="ACG27" i="30"/>
  <c r="ACH27" i="30"/>
  <c r="ACI27" i="30"/>
  <c r="ACJ27" i="30"/>
  <c r="ACK27" i="30"/>
  <c r="ACL27" i="30"/>
  <c r="ACM27" i="30"/>
  <c r="ACN27" i="30"/>
  <c r="ACO27" i="30"/>
  <c r="ACP27" i="30"/>
  <c r="ACQ27" i="30"/>
  <c r="ACR27" i="30"/>
  <c r="ACS27" i="30"/>
  <c r="ACT27" i="30"/>
  <c r="ACU27" i="30"/>
  <c r="ACV27" i="30"/>
  <c r="ACW27" i="30"/>
  <c r="ACX27" i="30"/>
  <c r="ACY27" i="30"/>
  <c r="ACZ27" i="30"/>
  <c r="ADA27" i="30"/>
  <c r="ADB27" i="30"/>
  <c r="ADC27" i="30"/>
  <c r="ADD27" i="30"/>
  <c r="ADE27" i="30"/>
  <c r="ADF27" i="30"/>
  <c r="ADG27" i="30"/>
  <c r="ADH27" i="30"/>
  <c r="ADI27" i="30"/>
  <c r="ADJ27" i="30"/>
  <c r="ADK27" i="30"/>
  <c r="ADL27" i="30"/>
  <c r="ADM27" i="30"/>
  <c r="ADN27" i="30"/>
  <c r="ADO27" i="30"/>
  <c r="ADP27" i="30"/>
  <c r="ADQ27" i="30"/>
  <c r="ADR27" i="30"/>
  <c r="ADS27" i="30"/>
  <c r="ADT27" i="30"/>
  <c r="ADU27" i="30"/>
  <c r="ADV27" i="30"/>
  <c r="ADW27" i="30"/>
  <c r="ADX27" i="30"/>
  <c r="ADY27" i="30"/>
  <c r="ADZ27" i="30"/>
  <c r="AEA27" i="30"/>
  <c r="AEB27" i="30"/>
  <c r="AEC27" i="30"/>
  <c r="AED27" i="30"/>
  <c r="AEE27" i="30"/>
  <c r="AEF27" i="30"/>
  <c r="AEG27" i="30"/>
  <c r="AEH27" i="30"/>
  <c r="AEI27" i="30"/>
  <c r="AEJ27" i="30"/>
  <c r="AEK27" i="30"/>
  <c r="AEL27" i="30"/>
  <c r="AEM27" i="30"/>
  <c r="AEN27" i="30"/>
  <c r="AEO27" i="30"/>
  <c r="AEP27" i="30"/>
  <c r="AEQ27" i="30"/>
  <c r="AER27" i="30"/>
  <c r="AES27" i="30"/>
  <c r="AET27" i="30"/>
  <c r="AEU27" i="30"/>
  <c r="AEV27" i="30"/>
  <c r="AEW27" i="30"/>
  <c r="AEX27" i="30"/>
  <c r="AEY27" i="30"/>
  <c r="AEZ27" i="30"/>
  <c r="AFA27" i="30"/>
  <c r="AFB27" i="30"/>
  <c r="AFC27" i="30"/>
  <c r="AFD27" i="30"/>
  <c r="AFE27" i="30"/>
  <c r="AFF27" i="30"/>
  <c r="AFG27" i="30"/>
  <c r="AFH27" i="30"/>
  <c r="AFI27" i="30"/>
  <c r="AFJ27" i="30"/>
  <c r="AFK27" i="30"/>
  <c r="AFL27" i="30"/>
  <c r="AFM27" i="30"/>
  <c r="AFN27" i="30"/>
  <c r="AFO27" i="30"/>
  <c r="AFP27" i="30"/>
  <c r="AFQ27" i="30"/>
  <c r="AFR27" i="30"/>
  <c r="AFS27" i="30"/>
  <c r="AFT27" i="30"/>
  <c r="AFU27" i="30"/>
  <c r="AFV27" i="30"/>
  <c r="AFW27" i="30"/>
  <c r="AFX27" i="30"/>
  <c r="AFY27" i="30"/>
  <c r="AFZ27" i="30"/>
  <c r="AGA27" i="30"/>
  <c r="AGB27" i="30"/>
  <c r="AGC27" i="30"/>
  <c r="AGD27" i="30"/>
  <c r="AGE27" i="30"/>
  <c r="AGF27" i="30"/>
  <c r="AGG27" i="30"/>
  <c r="AGH27" i="30"/>
  <c r="AGI27" i="30"/>
  <c r="AGJ27" i="30"/>
  <c r="AGK27" i="30"/>
  <c r="AGL27" i="30"/>
  <c r="AGM27" i="30"/>
  <c r="AGN27" i="30"/>
  <c r="AGO27" i="30"/>
  <c r="AGP27" i="30"/>
  <c r="AGQ27" i="30"/>
  <c r="AGR27" i="30"/>
  <c r="AGS27" i="30"/>
  <c r="AGT27" i="30"/>
  <c r="AGU27" i="30"/>
  <c r="AGV27" i="30"/>
  <c r="AGW27" i="30"/>
  <c r="AGX27" i="30"/>
  <c r="AGY27" i="30"/>
  <c r="AGZ27" i="30"/>
  <c r="AHA27" i="30"/>
  <c r="AHB27" i="30"/>
  <c r="AHC27" i="30"/>
  <c r="AHD27" i="30"/>
  <c r="AHE27" i="30"/>
  <c r="AHF27" i="30"/>
  <c r="AHG27" i="30"/>
  <c r="AHH27" i="30"/>
  <c r="AHI27" i="30"/>
  <c r="AHJ27" i="30"/>
  <c r="AHK27" i="30"/>
  <c r="AHL27" i="30"/>
  <c r="AHM27" i="30"/>
  <c r="AHN27" i="30"/>
  <c r="AHO27" i="30"/>
  <c r="AHP27" i="30"/>
  <c r="AHQ27" i="30"/>
  <c r="AHR27" i="30"/>
  <c r="AHS27" i="30"/>
  <c r="AHT27" i="30"/>
  <c r="AHU27" i="30"/>
  <c r="AHV27" i="30"/>
  <c r="AHW27" i="30"/>
  <c r="AHX27" i="30"/>
  <c r="AHY27" i="30"/>
  <c r="AHZ27" i="30"/>
  <c r="AIA27" i="30"/>
  <c r="AIB27" i="30"/>
  <c r="AIC27" i="30"/>
  <c r="AID27" i="30"/>
  <c r="AIE27" i="30"/>
  <c r="AIF27" i="30"/>
  <c r="AIG27" i="30"/>
  <c r="AIH27" i="30"/>
  <c r="AII27" i="30"/>
  <c r="AIJ27" i="30"/>
  <c r="AIK27" i="30"/>
  <c r="AIL27" i="30"/>
  <c r="AIM27" i="30"/>
  <c r="AIN27" i="30"/>
  <c r="AIO27" i="30"/>
  <c r="AIP27" i="30"/>
  <c r="AIQ27" i="30"/>
  <c r="AIR27" i="30"/>
  <c r="AIS27" i="30"/>
  <c r="AIT27" i="30"/>
  <c r="AIU27" i="30"/>
  <c r="AIV27" i="30"/>
  <c r="AIW27" i="30"/>
  <c r="AIX27" i="30"/>
  <c r="AIY27" i="30"/>
  <c r="AIZ27" i="30"/>
  <c r="AJA27" i="30"/>
  <c r="AJB27" i="30"/>
  <c r="AJC27" i="30"/>
  <c r="AJD27" i="30"/>
  <c r="AJE27" i="30"/>
  <c r="AJF27" i="30"/>
  <c r="AJG27" i="30"/>
  <c r="AJH27" i="30"/>
  <c r="AJI27" i="30"/>
  <c r="AJJ27" i="30"/>
  <c r="AJK27" i="30"/>
  <c r="AJL27" i="30"/>
  <c r="AJM27" i="30"/>
  <c r="AJN27" i="30"/>
  <c r="AJO27" i="30"/>
  <c r="AJP27" i="30"/>
  <c r="AJQ27" i="30"/>
  <c r="AJR27" i="30"/>
  <c r="AJS27" i="30"/>
  <c r="AJT27" i="30"/>
  <c r="AJU27" i="30"/>
  <c r="AJV27" i="30"/>
  <c r="AJW27" i="30"/>
  <c r="AJX27" i="30"/>
  <c r="AJY27" i="30"/>
  <c r="AJZ27" i="30"/>
  <c r="AKA27" i="30"/>
  <c r="AKB27" i="30"/>
  <c r="AKC27" i="30"/>
  <c r="AKD27" i="30"/>
  <c r="AKE27" i="30"/>
  <c r="AKF27" i="30"/>
  <c r="AKG27" i="30"/>
  <c r="AKH27" i="30"/>
  <c r="AKI27" i="30"/>
  <c r="AKJ27" i="30"/>
  <c r="AKK27" i="30"/>
  <c r="AKL27" i="30"/>
  <c r="AKM27" i="30"/>
  <c r="AKN27" i="30"/>
  <c r="AKO27" i="30"/>
  <c r="AKP27" i="30"/>
  <c r="AKQ27" i="30"/>
  <c r="AKR27" i="30"/>
  <c r="AKS27" i="30"/>
  <c r="AKT27" i="30"/>
  <c r="AKU27" i="30"/>
  <c r="AKV27" i="30"/>
  <c r="AKW27" i="30"/>
  <c r="AKX27" i="30"/>
  <c r="AKY27" i="30"/>
  <c r="AKZ27" i="30"/>
  <c r="ALA27" i="30"/>
  <c r="ALB27" i="30"/>
  <c r="ALC27" i="30"/>
  <c r="ALD27" i="30"/>
  <c r="ALE27" i="30"/>
  <c r="ALF27" i="30"/>
  <c r="ALG27" i="30"/>
  <c r="ALH27" i="30"/>
  <c r="ALI27" i="30"/>
  <c r="ALJ27" i="30"/>
  <c r="ALK27" i="30"/>
  <c r="ALL27" i="30"/>
  <c r="ALM27" i="30"/>
  <c r="ALN27" i="30"/>
  <c r="ALO27" i="30"/>
  <c r="ALP27" i="30"/>
  <c r="ALQ27" i="30"/>
  <c r="ALR27" i="30"/>
  <c r="ALS27" i="30"/>
  <c r="ALT27" i="30"/>
  <c r="ALU27" i="30"/>
  <c r="ALV27" i="30"/>
  <c r="ALW27" i="30"/>
  <c r="ALW34" i="30"/>
  <c r="ALV34" i="30"/>
  <c r="ALU34" i="30"/>
  <c r="ALT34" i="30"/>
  <c r="ALS34" i="30"/>
  <c r="ALR34" i="30"/>
  <c r="ALQ34" i="30"/>
  <c r="ALP34" i="30"/>
  <c r="ALO34" i="30"/>
  <c r="ALN34" i="30"/>
  <c r="ALM34" i="30"/>
  <c r="ALL34" i="30"/>
  <c r="ALK34" i="30"/>
  <c r="ALJ34" i="30"/>
  <c r="ALI34" i="30"/>
  <c r="ALH34" i="30"/>
  <c r="ALG34" i="30"/>
  <c r="ALF34" i="30"/>
  <c r="ALE34" i="30"/>
  <c r="ALD34" i="30"/>
  <c r="ALC34" i="30"/>
  <c r="ALB34" i="30"/>
  <c r="ALA34" i="30"/>
  <c r="AKZ34" i="30"/>
  <c r="AKY34" i="30"/>
  <c r="AKX34" i="30"/>
  <c r="AKW34" i="30"/>
  <c r="AKV34" i="30"/>
  <c r="AKU34" i="30"/>
  <c r="AKT34" i="30"/>
  <c r="AKS34" i="30"/>
  <c r="AKR34" i="30"/>
  <c r="AKQ34" i="30"/>
  <c r="AKP34" i="30"/>
  <c r="AKO34" i="30"/>
  <c r="AKN34" i="30"/>
  <c r="AKM34" i="30"/>
  <c r="AKL34" i="30"/>
  <c r="AKK34" i="30"/>
  <c r="AKJ34" i="30"/>
  <c r="AKI34" i="30"/>
  <c r="AKH34" i="30"/>
  <c r="AKG34" i="30"/>
  <c r="AKF34" i="30"/>
  <c r="AKE34" i="30"/>
  <c r="AKD34" i="30"/>
  <c r="AKC34" i="30"/>
  <c r="AKB34" i="30"/>
  <c r="AKA34" i="30"/>
  <c r="AJZ34" i="30"/>
  <c r="AJY34" i="30"/>
  <c r="AJX34" i="30"/>
  <c r="AJW34" i="30"/>
  <c r="AJV34" i="30"/>
  <c r="AJU34" i="30"/>
  <c r="AJT34" i="30"/>
  <c r="AJS34" i="30"/>
  <c r="AJR34" i="30"/>
  <c r="AJQ34" i="30"/>
  <c r="AJP34" i="30"/>
  <c r="AJO34" i="30"/>
  <c r="AJN34" i="30"/>
  <c r="AJM34" i="30"/>
  <c r="AJL34" i="30"/>
  <c r="AJK34" i="30"/>
  <c r="AJJ34" i="30"/>
  <c r="AJI34" i="30"/>
  <c r="AJH34" i="30"/>
  <c r="AJG34" i="30"/>
  <c r="AJF34" i="30"/>
  <c r="AJE34" i="30"/>
  <c r="AJD34" i="30"/>
  <c r="AJC34" i="30"/>
  <c r="AJB34" i="30"/>
  <c r="AJA34" i="30"/>
  <c r="AIZ34" i="30"/>
  <c r="AIY34" i="30"/>
  <c r="AIX34" i="30"/>
  <c r="AIW34" i="30"/>
  <c r="AIV34" i="30"/>
  <c r="AIU34" i="30"/>
  <c r="AIT34" i="30"/>
  <c r="AIS34" i="30"/>
  <c r="AIR34" i="30"/>
  <c r="AIQ34" i="30"/>
  <c r="AIP34" i="30"/>
  <c r="AIO34" i="30"/>
  <c r="AIN34" i="30"/>
  <c r="AIM34" i="30"/>
  <c r="AIL34" i="30"/>
  <c r="AIK34" i="30"/>
  <c r="AIJ34" i="30"/>
  <c r="AII34" i="30"/>
  <c r="AIH34" i="30"/>
  <c r="AIG34" i="30"/>
  <c r="AIF34" i="30"/>
  <c r="AIE34" i="30"/>
  <c r="AID34" i="30"/>
  <c r="AIC34" i="30"/>
  <c r="AIB34" i="30"/>
  <c r="AIA34" i="30"/>
  <c r="AHZ34" i="30"/>
  <c r="AHY34" i="30"/>
  <c r="AHX34" i="30"/>
  <c r="AHW34" i="30"/>
  <c r="AHV34" i="30"/>
  <c r="AHU34" i="30"/>
  <c r="AHT34" i="30"/>
  <c r="AHS34" i="30"/>
  <c r="AHR34" i="30"/>
  <c r="AHQ34" i="30"/>
  <c r="AHP34" i="30"/>
  <c r="AHO34" i="30"/>
  <c r="AHN34" i="30"/>
  <c r="AHM34" i="30"/>
  <c r="AHL34" i="30"/>
  <c r="AHK34" i="30"/>
  <c r="AHJ34" i="30"/>
  <c r="AHI34" i="30"/>
  <c r="AHH34" i="30"/>
  <c r="AHG34" i="30"/>
  <c r="AHF34" i="30"/>
  <c r="AHE34" i="30"/>
  <c r="AHD34" i="30"/>
  <c r="AHC34" i="30"/>
  <c r="AHB34" i="30"/>
  <c r="AHA34" i="30"/>
  <c r="AGZ34" i="30"/>
  <c r="AGY34" i="30"/>
  <c r="AGX34" i="30"/>
  <c r="AGW34" i="30"/>
  <c r="AGV34" i="30"/>
  <c r="AGU34" i="30"/>
  <c r="AGT34" i="30"/>
  <c r="AGS34" i="30"/>
  <c r="AGR34" i="30"/>
  <c r="AGQ34" i="30"/>
  <c r="AGP34" i="30"/>
  <c r="AGO34" i="30"/>
  <c r="AGN34" i="30"/>
  <c r="AGM34" i="30"/>
  <c r="AGL34" i="30"/>
  <c r="AGK34" i="30"/>
  <c r="AGJ34" i="30"/>
  <c r="AGI34" i="30"/>
  <c r="AGH34" i="30"/>
  <c r="AGG34" i="30"/>
  <c r="AGF34" i="30"/>
  <c r="AGE34" i="30"/>
  <c r="AGD34" i="30"/>
  <c r="AGC34" i="30"/>
  <c r="AGB34" i="30"/>
  <c r="AGA34" i="30"/>
  <c r="AFZ34" i="30"/>
  <c r="AFY34" i="30"/>
  <c r="AFX34" i="30"/>
  <c r="AFW34" i="30"/>
  <c r="AFV34" i="30"/>
  <c r="AFU34" i="30"/>
  <c r="AFT34" i="30"/>
  <c r="AFS34" i="30"/>
  <c r="AFR34" i="30"/>
  <c r="AFQ34" i="30"/>
  <c r="AFP34" i="30"/>
  <c r="AFO34" i="30"/>
  <c r="AFN34" i="30"/>
  <c r="AFM34" i="30"/>
  <c r="AFL34" i="30"/>
  <c r="AFK34" i="30"/>
  <c r="AFJ34" i="30"/>
  <c r="AFI34" i="30"/>
  <c r="AFH34" i="30"/>
  <c r="AFG34" i="30"/>
  <c r="AFF34" i="30"/>
  <c r="AFE34" i="30"/>
  <c r="AFD34" i="30"/>
  <c r="AFC34" i="30"/>
  <c r="AFB34" i="30"/>
  <c r="AFA34" i="30"/>
  <c r="AEZ34" i="30"/>
  <c r="AEY34" i="30"/>
  <c r="AEX34" i="30"/>
  <c r="AEW34" i="30"/>
  <c r="AEV34" i="30"/>
  <c r="AEU34" i="30"/>
  <c r="AET34" i="30"/>
  <c r="AES34" i="30"/>
  <c r="AER34" i="30"/>
  <c r="AEQ34" i="30"/>
  <c r="AEP34" i="30"/>
  <c r="AEO34" i="30"/>
  <c r="AEN34" i="30"/>
  <c r="AEM34" i="30"/>
  <c r="AEL34" i="30"/>
  <c r="AEK34" i="30"/>
  <c r="AEJ34" i="30"/>
  <c r="AEI34" i="30"/>
  <c r="AEH34" i="30"/>
  <c r="AEG34" i="30"/>
  <c r="AEF34" i="30"/>
  <c r="AEE34" i="30"/>
  <c r="AED34" i="30"/>
  <c r="AEC34" i="30"/>
  <c r="AEB34" i="30"/>
  <c r="AEA34" i="30"/>
  <c r="ADZ34" i="30"/>
  <c r="ADY34" i="30"/>
  <c r="ADX34" i="30"/>
  <c r="ADW34" i="30"/>
  <c r="ADV34" i="30"/>
  <c r="ADU34" i="30"/>
  <c r="ADT34" i="30"/>
  <c r="ADS34" i="30"/>
  <c r="ADR34" i="30"/>
  <c r="ADQ34" i="30"/>
  <c r="ADP34" i="30"/>
  <c r="ADO34" i="30"/>
  <c r="ADN34" i="30"/>
  <c r="ADM34" i="30"/>
  <c r="ADL34" i="30"/>
  <c r="ADK34" i="30"/>
  <c r="ADJ34" i="30"/>
  <c r="ADI34" i="30"/>
  <c r="ADH34" i="30"/>
  <c r="ADG34" i="30"/>
  <c r="ADF34" i="30"/>
  <c r="ADE34" i="30"/>
  <c r="ADD34" i="30"/>
  <c r="ADC34" i="30"/>
  <c r="ADB34" i="30"/>
  <c r="ADA34" i="30"/>
  <c r="ACZ34" i="30"/>
  <c r="ACY34" i="30"/>
  <c r="ACX34" i="30"/>
  <c r="ACW34" i="30"/>
  <c r="ACV34" i="30"/>
  <c r="ACU34" i="30"/>
  <c r="ACT34" i="30"/>
  <c r="ACS34" i="30"/>
  <c r="ACR34" i="30"/>
  <c r="ACQ34" i="30"/>
  <c r="ACP34" i="30"/>
  <c r="ACO34" i="30"/>
  <c r="ACN34" i="30"/>
  <c r="ACM34" i="30"/>
  <c r="ACL34" i="30"/>
  <c r="ACK34" i="30"/>
  <c r="ACJ34" i="30"/>
  <c r="ACI34" i="30"/>
  <c r="ACH34" i="30"/>
  <c r="ACG34" i="30"/>
  <c r="ACF34" i="30"/>
  <c r="ACE34" i="30"/>
  <c r="ACD34" i="30"/>
  <c r="ACC34" i="30"/>
  <c r="ACB34" i="30"/>
  <c r="ACA34" i="30"/>
  <c r="ABZ34" i="30"/>
  <c r="ABY34" i="30"/>
  <c r="ABX34" i="30"/>
  <c r="ABW34" i="30"/>
  <c r="ABV34" i="30"/>
  <c r="ABU34" i="30"/>
  <c r="ABT34" i="30"/>
  <c r="ABS34" i="30"/>
  <c r="ABR34" i="30"/>
  <c r="ABQ34" i="30"/>
  <c r="ABP34" i="30"/>
  <c r="ABO34" i="30"/>
  <c r="ABN34" i="30"/>
  <c r="ABM34" i="30"/>
  <c r="ABL34" i="30"/>
  <c r="ABK34" i="30"/>
  <c r="ABJ34" i="30"/>
  <c r="ABI34" i="30"/>
  <c r="ABH34" i="30"/>
  <c r="ABG34" i="30"/>
  <c r="ABF34" i="30"/>
  <c r="ABE34" i="30"/>
  <c r="ABD34" i="30"/>
  <c r="ABC34" i="30"/>
  <c r="ABB34" i="30"/>
  <c r="ABA34" i="30"/>
  <c r="AAZ34" i="30"/>
  <c r="AAY34" i="30"/>
  <c r="AAX34" i="30"/>
  <c r="AAW34" i="30"/>
  <c r="AAV34" i="30"/>
  <c r="AAU34" i="30"/>
  <c r="AAT34" i="30"/>
  <c r="AAS34" i="30"/>
  <c r="AAR34" i="30"/>
  <c r="AAQ34" i="30"/>
  <c r="AAP34" i="30"/>
  <c r="AAO34" i="30"/>
  <c r="AAN34" i="30"/>
  <c r="AAM34" i="30"/>
  <c r="AAL34" i="30"/>
  <c r="AAK34" i="30"/>
  <c r="AAJ34" i="30"/>
  <c r="AAI34" i="30"/>
  <c r="AAH34" i="30"/>
  <c r="AAG34" i="30"/>
  <c r="AAF34" i="30"/>
  <c r="AAE34" i="30"/>
  <c r="AAD34" i="30"/>
  <c r="AAC34" i="30"/>
  <c r="AAB34" i="30"/>
  <c r="AAA34" i="30"/>
  <c r="ZZ34" i="30"/>
  <c r="ZY34" i="30"/>
  <c r="ZX34" i="30"/>
  <c r="ZW34" i="30"/>
  <c r="ZV34" i="30"/>
  <c r="ZU34" i="30"/>
  <c r="ZT34" i="30"/>
  <c r="ZS34" i="30"/>
  <c r="ZR34" i="30"/>
  <c r="ZQ34" i="30"/>
  <c r="ZP34" i="30"/>
  <c r="ZO34" i="30"/>
  <c r="ZN34" i="30"/>
  <c r="ZM34" i="30"/>
  <c r="ZL34" i="30"/>
  <c r="ZK34" i="30"/>
  <c r="ZJ34" i="30"/>
  <c r="ZI34" i="30"/>
  <c r="ZH34" i="30"/>
  <c r="ZG34" i="30"/>
  <c r="ZF34" i="30"/>
  <c r="ZE34" i="30"/>
  <c r="ZD34" i="30"/>
  <c r="ZC34" i="30"/>
  <c r="ZB34" i="30"/>
  <c r="ZA34" i="30"/>
  <c r="YZ34" i="30"/>
  <c r="YY34" i="30"/>
  <c r="YX34" i="30"/>
  <c r="YW34" i="30"/>
  <c r="YV34" i="30"/>
  <c r="YU34" i="30"/>
  <c r="YT34" i="30"/>
  <c r="YS34" i="30"/>
  <c r="YR34" i="30"/>
  <c r="YQ34" i="30"/>
  <c r="YP34" i="30"/>
  <c r="YO34" i="30"/>
  <c r="YN34" i="30"/>
  <c r="YM34" i="30"/>
  <c r="YL34" i="30"/>
  <c r="YK34" i="30"/>
  <c r="YJ34" i="30"/>
  <c r="YI34" i="30"/>
  <c r="YH34" i="30"/>
  <c r="YG34" i="30"/>
  <c r="YF34" i="30"/>
  <c r="YE34" i="30"/>
  <c r="YD34" i="30"/>
  <c r="YC34" i="30"/>
  <c r="YB34" i="30"/>
  <c r="YA34" i="30"/>
  <c r="XZ34" i="30"/>
  <c r="XY34" i="30"/>
  <c r="XX34" i="30"/>
  <c r="XW34" i="30"/>
  <c r="XV34" i="30"/>
  <c r="XU34" i="30"/>
  <c r="XT34" i="30"/>
  <c r="XS34" i="30"/>
  <c r="XR34" i="30"/>
  <c r="XQ34" i="30"/>
  <c r="XP34" i="30"/>
  <c r="XO34" i="30"/>
  <c r="XN34" i="30"/>
  <c r="XM34" i="30"/>
  <c r="XL34" i="30"/>
  <c r="XK34" i="30"/>
  <c r="XJ34" i="30"/>
  <c r="XI34" i="30"/>
  <c r="XH34" i="30"/>
  <c r="XG34" i="30"/>
  <c r="XF34" i="30"/>
  <c r="XE34" i="30"/>
  <c r="XD34" i="30"/>
  <c r="XC34" i="30"/>
  <c r="XB34" i="30"/>
  <c r="XA34" i="30"/>
  <c r="WZ34" i="30"/>
  <c r="WY34" i="30"/>
  <c r="WX34" i="30"/>
  <c r="WW34" i="30"/>
  <c r="WV34" i="30"/>
  <c r="WU34" i="30"/>
  <c r="WT34" i="30"/>
  <c r="WS34" i="30"/>
  <c r="WR34" i="30"/>
  <c r="WQ34" i="30"/>
  <c r="WP34" i="30"/>
  <c r="WO34" i="30"/>
  <c r="WN34" i="30"/>
  <c r="WM34" i="30"/>
  <c r="WL34" i="30"/>
  <c r="WK34" i="30"/>
  <c r="WJ34" i="30"/>
  <c r="WI34" i="30"/>
  <c r="WH34" i="30"/>
  <c r="WG34" i="30"/>
  <c r="WF34" i="30"/>
  <c r="WE34" i="30"/>
  <c r="WD34" i="30"/>
  <c r="WC34" i="30"/>
  <c r="WB34" i="30"/>
  <c r="WA34" i="30"/>
  <c r="VZ34" i="30"/>
  <c r="VY34" i="30"/>
  <c r="VX34" i="30"/>
  <c r="VW34" i="30"/>
  <c r="VV34" i="30"/>
  <c r="VU34" i="30"/>
  <c r="VT34" i="30"/>
  <c r="VS34" i="30"/>
  <c r="VR34" i="30"/>
  <c r="VQ34" i="30"/>
  <c r="VP34" i="30"/>
  <c r="VO34" i="30"/>
  <c r="VN34" i="30"/>
  <c r="VM34" i="30"/>
  <c r="VL34" i="30"/>
  <c r="VK34" i="30"/>
  <c r="VJ34" i="30"/>
  <c r="VI34" i="30"/>
  <c r="VH34" i="30"/>
  <c r="VG34" i="30"/>
  <c r="VF34" i="30"/>
  <c r="VE34" i="30"/>
  <c r="VD34" i="30"/>
  <c r="VC34" i="30"/>
  <c r="VB34" i="30"/>
  <c r="VA34" i="30"/>
  <c r="UZ34" i="30"/>
  <c r="UY34" i="30"/>
  <c r="UX34" i="30"/>
  <c r="UW34" i="30"/>
  <c r="UV34" i="30"/>
  <c r="UU34" i="30"/>
  <c r="UT34" i="30"/>
  <c r="US34" i="30"/>
  <c r="UR34" i="30"/>
  <c r="UQ34" i="30"/>
  <c r="UP34" i="30"/>
  <c r="UO34" i="30"/>
  <c r="UN34" i="30"/>
  <c r="UM34" i="30"/>
  <c r="UL34" i="30"/>
  <c r="UK34" i="30"/>
  <c r="UJ34" i="30"/>
  <c r="UI34" i="30"/>
  <c r="UH34" i="30"/>
  <c r="UG34" i="30"/>
  <c r="UF34" i="30"/>
  <c r="UE34" i="30"/>
  <c r="UD34" i="30"/>
  <c r="UC34" i="30"/>
  <c r="UB34" i="30"/>
  <c r="UA34" i="30"/>
  <c r="TZ34" i="30"/>
  <c r="TY34" i="30"/>
  <c r="TX34" i="30"/>
  <c r="TW34" i="30"/>
  <c r="TV34" i="30"/>
  <c r="TU34" i="30"/>
  <c r="TT34" i="30"/>
  <c r="TS34" i="30"/>
  <c r="TR34" i="30"/>
  <c r="TQ34" i="30"/>
  <c r="TP34" i="30"/>
  <c r="TO34" i="30"/>
  <c r="TN34" i="30"/>
  <c r="TM34" i="30"/>
  <c r="TL34" i="30"/>
  <c r="TK34" i="30"/>
  <c r="TJ34" i="30"/>
  <c r="TI34" i="30"/>
  <c r="TH34" i="30"/>
  <c r="TG34" i="30"/>
  <c r="TF34" i="30"/>
  <c r="TE34" i="30"/>
  <c r="TD34" i="30"/>
  <c r="TC34" i="30"/>
  <c r="TB34" i="30"/>
  <c r="TA34" i="30"/>
  <c r="SZ34" i="30"/>
  <c r="SY34" i="30"/>
  <c r="SX34" i="30"/>
  <c r="SW34" i="30"/>
  <c r="SV34" i="30"/>
  <c r="SU34" i="30"/>
  <c r="ST34" i="30"/>
  <c r="SS34" i="30"/>
  <c r="SR34" i="30"/>
  <c r="SQ34" i="30"/>
  <c r="SP34" i="30"/>
  <c r="SO34" i="30"/>
  <c r="SN34" i="30"/>
  <c r="SM34" i="30"/>
  <c r="SL34" i="30"/>
  <c r="SK34" i="30"/>
  <c r="SJ34" i="30"/>
  <c r="SI34" i="30"/>
  <c r="SH34" i="30"/>
  <c r="SG34" i="30"/>
  <c r="SF34" i="30"/>
  <c r="SE34" i="30"/>
  <c r="SD34" i="30"/>
  <c r="SC34" i="30"/>
  <c r="SB34" i="30"/>
  <c r="SA34" i="30"/>
  <c r="RZ34" i="30"/>
  <c r="RY34" i="30"/>
  <c r="RX34" i="30"/>
  <c r="RW34" i="30"/>
  <c r="RV34" i="30"/>
  <c r="RU34" i="30"/>
  <c r="RT34" i="30"/>
  <c r="RS34" i="30"/>
  <c r="RR34" i="30"/>
  <c r="RQ34" i="30"/>
  <c r="RP34" i="30"/>
  <c r="RO34" i="30"/>
  <c r="RN34" i="30"/>
  <c r="RM34" i="30"/>
  <c r="RL34" i="30"/>
  <c r="RK34" i="30"/>
  <c r="RJ34" i="30"/>
  <c r="RI34" i="30"/>
  <c r="RH34" i="30"/>
  <c r="RG34" i="30"/>
  <c r="RF34" i="30"/>
  <c r="RE34" i="30"/>
  <c r="RD34" i="30"/>
  <c r="RC34" i="30"/>
  <c r="RB34" i="30"/>
  <c r="RA34" i="30"/>
  <c r="QZ34" i="30"/>
  <c r="QY34" i="30"/>
  <c r="QX34" i="30"/>
  <c r="QW34" i="30"/>
  <c r="QV34" i="30"/>
  <c r="QU34" i="30"/>
  <c r="QT34" i="30"/>
  <c r="QS34" i="30"/>
  <c r="QR34" i="30"/>
  <c r="QQ34" i="30"/>
  <c r="QP34" i="30"/>
  <c r="QO34" i="30"/>
  <c r="QN34" i="30"/>
  <c r="QM34" i="30"/>
  <c r="QL34" i="30"/>
  <c r="QK34" i="30"/>
  <c r="QJ34" i="30"/>
  <c r="QI34" i="30"/>
  <c r="QH34" i="30"/>
  <c r="QG34" i="30"/>
  <c r="QF34" i="30"/>
  <c r="QE34" i="30"/>
  <c r="QD34" i="30"/>
  <c r="QC34" i="30"/>
  <c r="QB34" i="30"/>
  <c r="QA34" i="30"/>
  <c r="PZ34" i="30"/>
  <c r="PY34" i="30"/>
  <c r="PX34" i="30"/>
  <c r="PW34" i="30"/>
  <c r="PV34" i="30"/>
  <c r="PU34" i="30"/>
  <c r="PT34" i="30"/>
  <c r="PS34" i="30"/>
  <c r="PR34" i="30"/>
  <c r="PR33" i="30" s="1"/>
  <c r="PQ34" i="30"/>
  <c r="PQ33" i="30" s="1"/>
  <c r="PP34" i="30"/>
  <c r="PO34" i="30"/>
  <c r="PO33" i="30" s="1"/>
  <c r="PN34" i="30"/>
  <c r="PN33" i="30" s="1"/>
  <c r="PM34" i="30"/>
  <c r="PM33" i="30" s="1"/>
  <c r="PL34" i="30"/>
  <c r="PL33" i="30" s="1"/>
  <c r="PK34" i="30"/>
  <c r="PK33" i="30" s="1"/>
  <c r="PJ34" i="30"/>
  <c r="PJ33" i="30" s="1"/>
  <c r="PI34" i="30"/>
  <c r="PI33" i="30" s="1"/>
  <c r="PH34" i="30"/>
  <c r="PH33" i="30" s="1"/>
  <c r="PG34" i="30"/>
  <c r="PF34" i="30"/>
  <c r="PE34" i="30"/>
  <c r="PD34" i="30"/>
  <c r="PD33" i="30" s="1"/>
  <c r="PC34" i="30"/>
  <c r="PC33" i="30" s="1"/>
  <c r="PB34" i="30"/>
  <c r="PB33" i="30" s="1"/>
  <c r="PA34" i="30"/>
  <c r="PA33" i="30" s="1"/>
  <c r="OZ34" i="30"/>
  <c r="OZ33" i="30" s="1"/>
  <c r="OY34" i="30"/>
  <c r="OY33" i="30" s="1"/>
  <c r="OX34" i="30"/>
  <c r="OX33" i="30" s="1"/>
  <c r="OW34" i="30"/>
  <c r="OW33" i="30" s="1"/>
  <c r="OV34" i="30"/>
  <c r="OV33" i="30" s="1"/>
  <c r="OU34" i="30"/>
  <c r="OT34" i="30"/>
  <c r="OT33" i="30" s="1"/>
  <c r="OS34" i="30"/>
  <c r="OS33" i="30" s="1"/>
  <c r="OR34" i="30"/>
  <c r="OR33" i="30" s="1"/>
  <c r="OQ34" i="30"/>
  <c r="OQ33" i="30" s="1"/>
  <c r="OP34" i="30"/>
  <c r="OP33" i="30" s="1"/>
  <c r="OO34" i="30"/>
  <c r="OO33" i="30" s="1"/>
  <c r="ON34" i="30"/>
  <c r="ON33" i="30" s="1"/>
  <c r="OM34" i="30"/>
  <c r="OM33" i="30" s="1"/>
  <c r="OL34" i="30"/>
  <c r="OL33" i="30" s="1"/>
  <c r="OK34" i="30"/>
  <c r="OK33" i="30" s="1"/>
  <c r="OJ34" i="30"/>
  <c r="OJ33" i="30" s="1"/>
  <c r="OI34" i="30"/>
  <c r="OH34" i="30"/>
  <c r="OH33" i="30" s="1"/>
  <c r="OG34" i="30"/>
  <c r="OF34" i="30"/>
  <c r="OF33" i="30" s="1"/>
  <c r="OE34" i="30"/>
  <c r="OE33" i="30" s="1"/>
  <c r="OD34" i="30"/>
  <c r="OD33" i="30" s="1"/>
  <c r="OC34" i="30"/>
  <c r="OC33" i="30" s="1"/>
  <c r="OB34" i="30"/>
  <c r="OB33" i="30" s="1"/>
  <c r="OA34" i="30"/>
  <c r="OA33" i="30" s="1"/>
  <c r="NZ34" i="30"/>
  <c r="NZ33" i="30" s="1"/>
  <c r="NY34" i="30"/>
  <c r="NY33" i="30" s="1"/>
  <c r="NX34" i="30"/>
  <c r="NX33" i="30" s="1"/>
  <c r="NW34" i="30"/>
  <c r="NV34" i="30"/>
  <c r="NU34" i="30"/>
  <c r="NT34" i="30"/>
  <c r="NS34" i="30"/>
  <c r="NS33" i="30" s="1"/>
  <c r="NR34" i="30"/>
  <c r="NR33" i="30" s="1"/>
  <c r="NQ34" i="30"/>
  <c r="NQ33" i="30" s="1"/>
  <c r="NP34" i="30"/>
  <c r="NP33" i="30" s="1"/>
  <c r="NO34" i="30"/>
  <c r="NO33" i="30" s="1"/>
  <c r="NN34" i="30"/>
  <c r="NN33" i="30" s="1"/>
  <c r="NM34" i="30"/>
  <c r="NM33" i="30" s="1"/>
  <c r="NL34" i="30"/>
  <c r="NL33" i="30" s="1"/>
  <c r="NK34" i="30"/>
  <c r="NJ34" i="30"/>
  <c r="NJ33" i="30" s="1"/>
  <c r="NI34" i="30"/>
  <c r="NI33" i="30" s="1"/>
  <c r="NH34" i="30"/>
  <c r="NG34" i="30"/>
  <c r="NG33" i="30" s="1"/>
  <c r="NF34" i="30"/>
  <c r="NF33" i="30" s="1"/>
  <c r="NE34" i="30"/>
  <c r="NE33" i="30" s="1"/>
  <c r="ND34" i="30"/>
  <c r="ND33" i="30" s="1"/>
  <c r="NC34" i="30"/>
  <c r="NC33" i="30" s="1"/>
  <c r="NB34" i="30"/>
  <c r="NB33" i="30" s="1"/>
  <c r="NA34" i="30"/>
  <c r="NA33" i="30" s="1"/>
  <c r="MZ34" i="30"/>
  <c r="MZ33" i="30" s="1"/>
  <c r="MY34" i="30"/>
  <c r="MX34" i="30"/>
  <c r="MW34" i="30"/>
  <c r="MW33" i="30" s="1"/>
  <c r="MV34" i="30"/>
  <c r="MV33" i="30" s="1"/>
  <c r="MU34" i="30"/>
  <c r="MU33" i="30" s="1"/>
  <c r="MT34" i="30"/>
  <c r="MT33" i="30" s="1"/>
  <c r="MS34" i="30"/>
  <c r="MS33" i="30" s="1"/>
  <c r="MR34" i="30"/>
  <c r="MR33" i="30" s="1"/>
  <c r="MQ34" i="30"/>
  <c r="MQ33" i="30" s="1"/>
  <c r="MP34" i="30"/>
  <c r="MP33" i="30" s="1"/>
  <c r="MO34" i="30"/>
  <c r="MO33" i="30" s="1"/>
  <c r="MN34" i="30"/>
  <c r="MN33" i="30" s="1"/>
  <c r="MM34" i="30"/>
  <c r="MM33" i="30" s="1"/>
  <c r="ML34" i="30"/>
  <c r="MK34" i="30"/>
  <c r="MK33" i="30" s="1"/>
  <c r="MJ34" i="30"/>
  <c r="MJ33" i="30" s="1"/>
  <c r="MI34" i="30"/>
  <c r="MI33" i="30" s="1"/>
  <c r="MH34" i="30"/>
  <c r="MH33" i="30" s="1"/>
  <c r="MG34" i="30"/>
  <c r="MG33" i="30" s="1"/>
  <c r="MF34" i="30"/>
  <c r="MF33" i="30" s="1"/>
  <c r="ME34" i="30"/>
  <c r="ME33" i="30" s="1"/>
  <c r="MD34" i="30"/>
  <c r="MD33" i="30" s="1"/>
  <c r="MC34" i="30"/>
  <c r="MC33" i="30" s="1"/>
  <c r="MB34" i="30"/>
  <c r="MB33" i="30" s="1"/>
  <c r="MA34" i="30"/>
  <c r="LZ34" i="30"/>
  <c r="LZ33" i="30" s="1"/>
  <c r="LY34" i="30"/>
  <c r="LY33" i="30" s="1"/>
  <c r="LX34" i="30"/>
  <c r="LW34" i="30"/>
  <c r="LW33" i="30" s="1"/>
  <c r="LV34" i="30"/>
  <c r="LV33" i="30" s="1"/>
  <c r="LU34" i="30"/>
  <c r="LU33" i="30" s="1"/>
  <c r="LT34" i="30"/>
  <c r="LT33" i="30" s="1"/>
  <c r="LS34" i="30"/>
  <c r="LS33" i="30" s="1"/>
  <c r="LR34" i="30"/>
  <c r="LR33" i="30" s="1"/>
  <c r="LQ34" i="30"/>
  <c r="LQ33" i="30" s="1"/>
  <c r="LP34" i="30"/>
  <c r="LP33" i="30" s="1"/>
  <c r="LO34" i="30"/>
  <c r="LO33" i="30" s="1"/>
  <c r="LN34" i="30"/>
  <c r="LM34" i="30"/>
  <c r="LM33" i="30" s="1"/>
  <c r="LL34" i="30"/>
  <c r="LL33" i="30" s="1"/>
  <c r="LK34" i="30"/>
  <c r="LK33" i="30" s="1"/>
  <c r="LJ34" i="30"/>
  <c r="LJ33" i="30" s="1"/>
  <c r="LI34" i="30"/>
  <c r="LI33" i="30" s="1"/>
  <c r="LH34" i="30"/>
  <c r="LH33" i="30" s="1"/>
  <c r="LG34" i="30"/>
  <c r="LG33" i="30" s="1"/>
  <c r="LF34" i="30"/>
  <c r="LF33" i="30" s="1"/>
  <c r="LE34" i="30"/>
  <c r="LE33" i="30" s="1"/>
  <c r="LD34" i="30"/>
  <c r="LD33" i="30" s="1"/>
  <c r="LC34" i="30"/>
  <c r="LC33" i="30" s="1"/>
  <c r="LB34" i="30"/>
  <c r="LB33" i="30" s="1"/>
  <c r="LA34" i="30"/>
  <c r="LA33" i="30" s="1"/>
  <c r="KZ34" i="30"/>
  <c r="KZ33" i="30" s="1"/>
  <c r="KY34" i="30"/>
  <c r="KY33" i="30" s="1"/>
  <c r="KX34" i="30"/>
  <c r="KX33" i="30" s="1"/>
  <c r="KW34" i="30"/>
  <c r="KW33" i="30" s="1"/>
  <c r="KV34" i="30"/>
  <c r="KV33" i="30" s="1"/>
  <c r="KU34" i="30"/>
  <c r="KU33" i="30" s="1"/>
  <c r="KT34" i="30"/>
  <c r="KT33" i="30" s="1"/>
  <c r="KS34" i="30"/>
  <c r="KS33" i="30" s="1"/>
  <c r="KR34" i="30"/>
  <c r="KR33" i="30" s="1"/>
  <c r="KQ34" i="30"/>
  <c r="KQ33" i="30" s="1"/>
  <c r="KP34" i="30"/>
  <c r="KO34" i="30"/>
  <c r="KN34" i="30"/>
  <c r="KN33" i="30" s="1"/>
  <c r="KM34" i="30"/>
  <c r="KM33" i="30" s="1"/>
  <c r="KL34" i="30"/>
  <c r="KL33" i="30" s="1"/>
  <c r="KK34" i="30"/>
  <c r="KK33" i="30" s="1"/>
  <c r="KJ34" i="30"/>
  <c r="KJ33" i="30" s="1"/>
  <c r="KI34" i="30"/>
  <c r="KI33" i="30" s="1"/>
  <c r="KH34" i="30"/>
  <c r="KH33" i="30" s="1"/>
  <c r="KG34" i="30"/>
  <c r="KG33" i="30" s="1"/>
  <c r="KF34" i="30"/>
  <c r="KF33" i="30" s="1"/>
  <c r="KJ40" i="30"/>
  <c r="KJ39" i="30" s="1"/>
  <c r="KK40" i="30"/>
  <c r="KK39" i="30" s="1"/>
  <c r="KL40" i="30"/>
  <c r="KL39" i="30" s="1"/>
  <c r="KQ40" i="30"/>
  <c r="KQ39" i="30" s="1"/>
  <c r="KR40" i="30"/>
  <c r="KR39" i="30" s="1"/>
  <c r="KS40" i="30"/>
  <c r="KS39" i="30" s="1"/>
  <c r="KT40" i="30"/>
  <c r="KT39" i="30" s="1"/>
  <c r="KU40" i="30"/>
  <c r="KU39" i="30" s="1"/>
  <c r="KV40" i="30"/>
  <c r="KV39" i="30" s="1"/>
  <c r="KW40" i="30"/>
  <c r="KW39" i="30" s="1"/>
  <c r="KX40" i="30"/>
  <c r="KX39" i="30" s="1"/>
  <c r="KY40" i="30"/>
  <c r="KY39" i="30" s="1"/>
  <c r="KZ40" i="30"/>
  <c r="KZ39" i="30" s="1"/>
  <c r="LA40" i="30"/>
  <c r="LA39" i="30" s="1"/>
  <c r="LB40" i="30"/>
  <c r="LB39" i="30" s="1"/>
  <c r="LC40" i="30"/>
  <c r="LC39" i="30" s="1"/>
  <c r="LD40" i="30"/>
  <c r="LD39" i="30" s="1"/>
  <c r="LE40" i="30"/>
  <c r="LE39" i="30" s="1"/>
  <c r="LF40" i="30"/>
  <c r="LF39" i="30" s="1"/>
  <c r="LG40" i="30"/>
  <c r="LG39" i="30" s="1"/>
  <c r="LH40" i="30"/>
  <c r="LH39" i="30" s="1"/>
  <c r="LI40" i="30"/>
  <c r="LI39" i="30" s="1"/>
  <c r="LJ40" i="30"/>
  <c r="LJ39" i="30" s="1"/>
  <c r="LK40" i="30"/>
  <c r="LK39" i="30" s="1"/>
  <c r="LL40" i="30"/>
  <c r="LL39" i="30" s="1"/>
  <c r="LM40" i="30"/>
  <c r="LM39" i="30" s="1"/>
  <c r="LN40" i="30"/>
  <c r="LN39" i="30" s="1"/>
  <c r="LO40" i="30"/>
  <c r="LO39" i="30" s="1"/>
  <c r="LP40" i="30"/>
  <c r="LP39" i="30" s="1"/>
  <c r="LQ40" i="30"/>
  <c r="LQ39" i="30" s="1"/>
  <c r="LR40" i="30"/>
  <c r="LR39" i="30" s="1"/>
  <c r="LS40" i="30"/>
  <c r="LS39" i="30" s="1"/>
  <c r="LT40" i="30"/>
  <c r="LT39" i="30" s="1"/>
  <c r="LU40" i="30"/>
  <c r="LU39" i="30" s="1"/>
  <c r="LV40" i="30"/>
  <c r="LV39" i="30" s="1"/>
  <c r="LW40" i="30"/>
  <c r="LW39" i="30" s="1"/>
  <c r="LX40" i="30"/>
  <c r="LX39" i="30" s="1"/>
  <c r="LY40" i="30"/>
  <c r="LY39" i="30" s="1"/>
  <c r="LZ40" i="30"/>
  <c r="LZ39" i="30" s="1"/>
  <c r="MA40" i="30"/>
  <c r="MA39" i="30" s="1"/>
  <c r="MB40" i="30"/>
  <c r="MB39" i="30" s="1"/>
  <c r="MC40" i="30"/>
  <c r="MC39" i="30" s="1"/>
  <c r="MD40" i="30"/>
  <c r="MD39" i="30" s="1"/>
  <c r="ME40" i="30"/>
  <c r="ME39" i="30" s="1"/>
  <c r="MF40" i="30"/>
  <c r="MF39" i="30" s="1"/>
  <c r="MG40" i="30"/>
  <c r="MG39" i="30" s="1"/>
  <c r="MH40" i="30"/>
  <c r="MH39" i="30" s="1"/>
  <c r="MI40" i="30"/>
  <c r="MI39" i="30" s="1"/>
  <c r="MJ40" i="30"/>
  <c r="MJ39" i="30" s="1"/>
  <c r="MK40" i="30"/>
  <c r="MK39" i="30" s="1"/>
  <c r="ML40" i="30"/>
  <c r="ML39" i="30" s="1"/>
  <c r="MM40" i="30"/>
  <c r="MM39" i="30" s="1"/>
  <c r="MN40" i="30"/>
  <c r="MN39" i="30" s="1"/>
  <c r="MO40" i="30"/>
  <c r="MO39" i="30" s="1"/>
  <c r="MP40" i="30"/>
  <c r="MP39" i="30" s="1"/>
  <c r="MQ40" i="30"/>
  <c r="MQ39" i="30" s="1"/>
  <c r="MR40" i="30"/>
  <c r="MR39" i="30" s="1"/>
  <c r="MS40" i="30"/>
  <c r="MS39" i="30" s="1"/>
  <c r="MT40" i="30"/>
  <c r="MT39" i="30" s="1"/>
  <c r="MU40" i="30"/>
  <c r="MU39" i="30" s="1"/>
  <c r="MV40" i="30"/>
  <c r="MV39" i="30" s="1"/>
  <c r="MW40" i="30"/>
  <c r="MW39" i="30" s="1"/>
  <c r="MX40" i="30"/>
  <c r="MX39" i="30" s="1"/>
  <c r="MY40" i="30"/>
  <c r="MY39" i="30" s="1"/>
  <c r="MZ40" i="30"/>
  <c r="MZ39" i="30" s="1"/>
  <c r="NA40" i="30"/>
  <c r="NA39" i="30" s="1"/>
  <c r="NB40" i="30"/>
  <c r="NB39" i="30" s="1"/>
  <c r="NC40" i="30"/>
  <c r="NC39" i="30" s="1"/>
  <c r="ND40" i="30"/>
  <c r="ND39" i="30" s="1"/>
  <c r="NE40" i="30"/>
  <c r="NE39" i="30" s="1"/>
  <c r="NF40" i="30"/>
  <c r="NF39" i="30" s="1"/>
  <c r="NG40" i="30"/>
  <c r="NG39" i="30" s="1"/>
  <c r="NH40" i="30"/>
  <c r="NH39" i="30" s="1"/>
  <c r="NI40" i="30"/>
  <c r="NI39" i="30" s="1"/>
  <c r="NJ40" i="30"/>
  <c r="NJ39" i="30" s="1"/>
  <c r="NK40" i="30"/>
  <c r="NK39" i="30" s="1"/>
  <c r="NL40" i="30"/>
  <c r="NL39" i="30" s="1"/>
  <c r="NM40" i="30"/>
  <c r="NM39" i="30" s="1"/>
  <c r="NN40" i="30"/>
  <c r="NN39" i="30" s="1"/>
  <c r="NO40" i="30"/>
  <c r="NO39" i="30" s="1"/>
  <c r="NP40" i="30"/>
  <c r="NP39" i="30" s="1"/>
  <c r="NQ40" i="30"/>
  <c r="NQ39" i="30" s="1"/>
  <c r="NR40" i="30"/>
  <c r="NR39" i="30" s="1"/>
  <c r="NS40" i="30"/>
  <c r="NS39" i="30" s="1"/>
  <c r="NT40" i="30"/>
  <c r="NT39" i="30" s="1"/>
  <c r="NU40" i="30"/>
  <c r="NU39" i="30" s="1"/>
  <c r="NV40" i="30"/>
  <c r="NV39" i="30" s="1"/>
  <c r="NW40" i="30"/>
  <c r="NW39" i="30" s="1"/>
  <c r="NX40" i="30"/>
  <c r="NX39" i="30" s="1"/>
  <c r="NY40" i="30"/>
  <c r="NY39" i="30" s="1"/>
  <c r="NZ40" i="30"/>
  <c r="NZ39" i="30" s="1"/>
  <c r="OA40" i="30"/>
  <c r="OA39" i="30" s="1"/>
  <c r="OB40" i="30"/>
  <c r="OB39" i="30" s="1"/>
  <c r="OC40" i="30"/>
  <c r="OC39" i="30" s="1"/>
  <c r="OD40" i="30"/>
  <c r="OD39" i="30" s="1"/>
  <c r="OE40" i="30"/>
  <c r="OE39" i="30" s="1"/>
  <c r="OF40" i="30"/>
  <c r="OF39" i="30" s="1"/>
  <c r="OG40" i="30"/>
  <c r="OG39" i="30" s="1"/>
  <c r="OH40" i="30"/>
  <c r="OH39" i="30" s="1"/>
  <c r="OI40" i="30"/>
  <c r="OI39" i="30" s="1"/>
  <c r="OJ40" i="30"/>
  <c r="OJ39" i="30" s="1"/>
  <c r="OK40" i="30"/>
  <c r="OK39" i="30" s="1"/>
  <c r="OL40" i="30"/>
  <c r="OL39" i="30" s="1"/>
  <c r="OM40" i="30"/>
  <c r="OM39" i="30" s="1"/>
  <c r="ON40" i="30"/>
  <c r="ON39" i="30" s="1"/>
  <c r="OO40" i="30"/>
  <c r="OO39" i="30" s="1"/>
  <c r="OP40" i="30"/>
  <c r="OP39" i="30" s="1"/>
  <c r="OQ40" i="30"/>
  <c r="OQ39" i="30" s="1"/>
  <c r="OR40" i="30"/>
  <c r="OR39" i="30" s="1"/>
  <c r="OS40" i="30"/>
  <c r="OS39" i="30" s="1"/>
  <c r="OT40" i="30"/>
  <c r="OT39" i="30" s="1"/>
  <c r="OU40" i="30"/>
  <c r="OU39" i="30" s="1"/>
  <c r="OV40" i="30"/>
  <c r="OV39" i="30" s="1"/>
  <c r="OW40" i="30"/>
  <c r="OW39" i="30" s="1"/>
  <c r="OX40" i="30"/>
  <c r="OX39" i="30" s="1"/>
  <c r="OY40" i="30"/>
  <c r="OY39" i="30" s="1"/>
  <c r="OZ40" i="30"/>
  <c r="OZ39" i="30" s="1"/>
  <c r="PA40" i="30"/>
  <c r="PA39" i="30" s="1"/>
  <c r="PB40" i="30"/>
  <c r="PB39" i="30" s="1"/>
  <c r="PC40" i="30"/>
  <c r="PC39" i="30" s="1"/>
  <c r="PD40" i="30"/>
  <c r="PD39" i="30" s="1"/>
  <c r="PE40" i="30"/>
  <c r="PE39" i="30" s="1"/>
  <c r="PF40" i="30"/>
  <c r="PF39" i="30" s="1"/>
  <c r="PG40" i="30"/>
  <c r="PG39" i="30" s="1"/>
  <c r="PH40" i="30"/>
  <c r="PH39" i="30" s="1"/>
  <c r="PI40" i="30"/>
  <c r="PI39" i="30" s="1"/>
  <c r="PJ40" i="30"/>
  <c r="PJ39" i="30" s="1"/>
  <c r="PK40" i="30"/>
  <c r="PK39" i="30" s="1"/>
  <c r="PL40" i="30"/>
  <c r="PL39" i="30" s="1"/>
  <c r="PM40" i="30"/>
  <c r="PM39" i="30" s="1"/>
  <c r="PN40" i="30"/>
  <c r="PN39" i="30" s="1"/>
  <c r="PO40" i="30"/>
  <c r="PO39" i="30" s="1"/>
  <c r="PP40" i="30"/>
  <c r="PP39" i="30" s="1"/>
  <c r="PQ40" i="30"/>
  <c r="PQ39" i="30" s="1"/>
  <c r="PR40" i="30"/>
  <c r="PR39" i="30" s="1"/>
  <c r="PS40" i="30"/>
  <c r="PS39" i="30" s="1"/>
  <c r="LN33" i="30"/>
  <c r="LX33" i="30"/>
  <c r="MA33" i="30"/>
  <c r="ML33" i="30"/>
  <c r="MX33" i="30"/>
  <c r="MY33" i="30"/>
  <c r="NH33" i="30"/>
  <c r="NK33" i="30"/>
  <c r="OG33" i="30"/>
  <c r="OI33" i="30"/>
  <c r="OU33" i="30"/>
  <c r="PE33" i="30"/>
  <c r="PF33" i="30"/>
  <c r="PG33" i="30"/>
  <c r="PP33" i="30"/>
  <c r="PS33" i="30"/>
  <c r="KF26" i="30"/>
  <c r="KG26" i="30"/>
  <c r="KH26" i="30"/>
  <c r="KR26" i="30"/>
  <c r="KS26" i="30"/>
  <c r="KT26" i="30"/>
  <c r="KU26" i="30"/>
  <c r="KV26" i="30"/>
  <c r="LD26" i="30"/>
  <c r="LF26" i="30"/>
  <c r="LP26" i="30"/>
  <c r="LQ26" i="30"/>
  <c r="LR26" i="30"/>
  <c r="LS26" i="30"/>
  <c r="MB26" i="30"/>
  <c r="MC26" i="30"/>
  <c r="MD26" i="30"/>
  <c r="ME26" i="30"/>
  <c r="MN26" i="30"/>
  <c r="MO26" i="30"/>
  <c r="MZ26" i="30"/>
  <c r="NB26" i="30"/>
  <c r="NC26" i="30"/>
  <c r="NL26" i="30"/>
  <c r="NM26" i="30"/>
  <c r="NN26" i="30"/>
  <c r="NO26" i="30"/>
  <c r="NX26" i="30"/>
  <c r="NY26" i="30"/>
  <c r="OJ26" i="30"/>
  <c r="OV26" i="30"/>
  <c r="OW26" i="30"/>
  <c r="OX26" i="30"/>
  <c r="OY26" i="30"/>
  <c r="PH26" i="30"/>
  <c r="PI26" i="30"/>
  <c r="KO33" i="30"/>
  <c r="KP33" i="30"/>
  <c r="NT33" i="30"/>
  <c r="NU33" i="30"/>
  <c r="NV33" i="30"/>
  <c r="NW33" i="30"/>
  <c r="KF44" i="30"/>
  <c r="KG44" i="30"/>
  <c r="KH44" i="30"/>
  <c r="KI44" i="30"/>
  <c r="KJ44" i="30"/>
  <c r="KK44" i="30"/>
  <c r="KL44" i="30"/>
  <c r="KM44" i="30"/>
  <c r="KN44" i="30"/>
  <c r="KO44" i="30"/>
  <c r="KP44" i="30"/>
  <c r="KQ44" i="30"/>
  <c r="KR44" i="30"/>
  <c r="KS44" i="30"/>
  <c r="KT44" i="30"/>
  <c r="KU44" i="30"/>
  <c r="KV44" i="30"/>
  <c r="KW44" i="30"/>
  <c r="KX44" i="30"/>
  <c r="KY44" i="30"/>
  <c r="KZ44" i="30"/>
  <c r="LA44" i="30"/>
  <c r="LB44" i="30"/>
  <c r="LC44" i="30"/>
  <c r="LD44" i="30"/>
  <c r="LE44" i="30"/>
  <c r="LF44" i="30"/>
  <c r="LG44" i="30"/>
  <c r="LH44" i="30"/>
  <c r="LI44" i="30"/>
  <c r="LJ44" i="30"/>
  <c r="LK44" i="30"/>
  <c r="LL44" i="30"/>
  <c r="LM44" i="30"/>
  <c r="LN44" i="30"/>
  <c r="LO44" i="30"/>
  <c r="LP44" i="30"/>
  <c r="LQ44" i="30"/>
  <c r="LR44" i="30"/>
  <c r="LS44" i="30"/>
  <c r="LT44" i="30"/>
  <c r="LU44" i="30"/>
  <c r="LV44" i="30"/>
  <c r="LW44" i="30"/>
  <c r="LX44" i="30"/>
  <c r="LY44" i="30"/>
  <c r="LZ44" i="30"/>
  <c r="MA44" i="30"/>
  <c r="MB44" i="30"/>
  <c r="MC44" i="30"/>
  <c r="MD44" i="30"/>
  <c r="ME44" i="30"/>
  <c r="MF44" i="30"/>
  <c r="MG44" i="30"/>
  <c r="MH44" i="30"/>
  <c r="MI44" i="30"/>
  <c r="MJ44" i="30"/>
  <c r="MK44" i="30"/>
  <c r="ML44" i="30"/>
  <c r="MM44" i="30"/>
  <c r="MN44" i="30"/>
  <c r="MO44" i="30"/>
  <c r="MP44" i="30"/>
  <c r="MQ44" i="30"/>
  <c r="MR44" i="30"/>
  <c r="MS44" i="30"/>
  <c r="MT44" i="30"/>
  <c r="MU44" i="30"/>
  <c r="MV44" i="30"/>
  <c r="MW44" i="30"/>
  <c r="MX44" i="30"/>
  <c r="MY44" i="30"/>
  <c r="MZ44" i="30"/>
  <c r="NA44" i="30"/>
  <c r="NB44" i="30"/>
  <c r="NC44" i="30"/>
  <c r="ND44" i="30"/>
  <c r="NE44" i="30"/>
  <c r="NF44" i="30"/>
  <c r="NG44" i="30"/>
  <c r="NH44" i="30"/>
  <c r="NI44" i="30"/>
  <c r="NJ44" i="30"/>
  <c r="NK44" i="30"/>
  <c r="NL44" i="30"/>
  <c r="NM44" i="30"/>
  <c r="NN44" i="30"/>
  <c r="NO44" i="30"/>
  <c r="NP44" i="30"/>
  <c r="NQ44" i="30"/>
  <c r="NR44" i="30"/>
  <c r="NS44" i="30"/>
  <c r="NT44" i="30"/>
  <c r="NU44" i="30"/>
  <c r="NV44" i="30"/>
  <c r="NW44" i="30"/>
  <c r="NX44" i="30"/>
  <c r="NY44" i="30"/>
  <c r="NZ44" i="30"/>
  <c r="OA44" i="30"/>
  <c r="OB44" i="30"/>
  <c r="OC44" i="30"/>
  <c r="OD44" i="30"/>
  <c r="OE44" i="30"/>
  <c r="OF44" i="30"/>
  <c r="OG44" i="30"/>
  <c r="OH44" i="30"/>
  <c r="OI44" i="30"/>
  <c r="OJ44" i="30"/>
  <c r="OK44" i="30"/>
  <c r="OL44" i="30"/>
  <c r="OM44" i="30"/>
  <c r="ON44" i="30"/>
  <c r="OO44" i="30"/>
  <c r="OP44" i="30"/>
  <c r="OQ44" i="30"/>
  <c r="OR44" i="30"/>
  <c r="OS44" i="30"/>
  <c r="OT44" i="30"/>
  <c r="OU44" i="30"/>
  <c r="OV44" i="30"/>
  <c r="OW44" i="30"/>
  <c r="OX44" i="30"/>
  <c r="OY44" i="30"/>
  <c r="OZ44" i="30"/>
  <c r="PA44" i="30"/>
  <c r="PB44" i="30"/>
  <c r="PC44" i="30"/>
  <c r="PD44" i="30"/>
  <c r="PE44" i="30"/>
  <c r="PF44" i="30"/>
  <c r="PG44" i="30"/>
  <c r="PH44" i="30"/>
  <c r="PI44" i="30"/>
  <c r="PJ44" i="30"/>
  <c r="PK44" i="30"/>
  <c r="PL44" i="30"/>
  <c r="PM44" i="30"/>
  <c r="PN44" i="30"/>
  <c r="PO44" i="30"/>
  <c r="PP44" i="30"/>
  <c r="PQ44" i="30"/>
  <c r="PR44" i="30"/>
  <c r="PS44" i="30"/>
  <c r="BW34" i="30"/>
  <c r="BV34" i="30"/>
  <c r="BU34" i="30"/>
  <c r="BT34" i="30"/>
  <c r="BS34" i="30"/>
  <c r="BR34" i="30"/>
  <c r="BQ34" i="30"/>
  <c r="BP34" i="30"/>
  <c r="BO34" i="30"/>
  <c r="BN34" i="30"/>
  <c r="BM34" i="30"/>
  <c r="BL34" i="30"/>
  <c r="BK34" i="30"/>
  <c r="BJ34" i="30"/>
  <c r="BI34" i="30"/>
  <c r="W19" i="30"/>
  <c r="V19" i="30"/>
  <c r="ALW49" i="30" l="1"/>
  <c r="ALW48" i="30" s="1"/>
  <c r="ALV49" i="30"/>
  <c r="ALV48" i="30" s="1"/>
  <c r="ALU49" i="30"/>
  <c r="ALU48" i="30" s="1"/>
  <c r="ALT49" i="30"/>
  <c r="ALT48" i="30" s="1"/>
  <c r="ALS49" i="30"/>
  <c r="ALS48" i="30" s="1"/>
  <c r="ALR49" i="30"/>
  <c r="ALR48" i="30" s="1"/>
  <c r="ALQ49" i="30"/>
  <c r="ALQ48" i="30" s="1"/>
  <c r="ALP49" i="30"/>
  <c r="ALP48" i="30" s="1"/>
  <c r="ALO49" i="30"/>
  <c r="ALN49" i="30"/>
  <c r="ALN48" i="30" s="1"/>
  <c r="ALM49" i="30"/>
  <c r="ALM48" i="30" s="1"/>
  <c r="ALL49" i="30"/>
  <c r="ALK49" i="30"/>
  <c r="ALK48" i="30" s="1"/>
  <c r="ALJ49" i="30"/>
  <c r="ALJ48" i="30" s="1"/>
  <c r="ALI49" i="30"/>
  <c r="ALI48" i="30" s="1"/>
  <c r="ALH49" i="30"/>
  <c r="ALH48" i="30" s="1"/>
  <c r="ALG49" i="30"/>
  <c r="ALG48" i="30" s="1"/>
  <c r="ALF49" i="30"/>
  <c r="ALF48" i="30" s="1"/>
  <c r="ALE49" i="30"/>
  <c r="ALD49" i="30"/>
  <c r="ALD48" i="30" s="1"/>
  <c r="ALC49" i="30"/>
  <c r="ALC48" i="30" s="1"/>
  <c r="ALB49" i="30"/>
  <c r="ALB48" i="30" s="1"/>
  <c r="ALA49" i="30"/>
  <c r="ALA48" i="30" s="1"/>
  <c r="AKZ49" i="30"/>
  <c r="AKY49" i="30"/>
  <c r="AKY48" i="30" s="1"/>
  <c r="AKX49" i="30"/>
  <c r="AKX48" i="30" s="1"/>
  <c r="AKW49" i="30"/>
  <c r="AKW48" i="30" s="1"/>
  <c r="AKV49" i="30"/>
  <c r="AKV48" i="30" s="1"/>
  <c r="AKU49" i="30"/>
  <c r="AKU48" i="30" s="1"/>
  <c r="AKT49" i="30"/>
  <c r="AKS49" i="30"/>
  <c r="AKS48" i="30" s="1"/>
  <c r="AKR49" i="30"/>
  <c r="AKR48" i="30" s="1"/>
  <c r="AKQ49" i="30"/>
  <c r="AKQ48" i="30" s="1"/>
  <c r="AKP49" i="30"/>
  <c r="AKP48" i="30" s="1"/>
  <c r="AKO49" i="30"/>
  <c r="AKO48" i="30" s="1"/>
  <c r="AKN49" i="30"/>
  <c r="AKM49" i="30"/>
  <c r="AKM48" i="30" s="1"/>
  <c r="AKL49" i="30"/>
  <c r="AKL48" i="30" s="1"/>
  <c r="AKK49" i="30"/>
  <c r="AKK48" i="30" s="1"/>
  <c r="AKJ49" i="30"/>
  <c r="AKJ48" i="30" s="1"/>
  <c r="AKI49" i="30"/>
  <c r="AKI48" i="30" s="1"/>
  <c r="AKH49" i="30"/>
  <c r="AKH48" i="30" s="1"/>
  <c r="AKG49" i="30"/>
  <c r="AKF49" i="30"/>
  <c r="AKF48" i="30" s="1"/>
  <c r="AKE49" i="30"/>
  <c r="AKE48" i="30" s="1"/>
  <c r="AKD49" i="30"/>
  <c r="AKD48" i="30" s="1"/>
  <c r="AKC49" i="30"/>
  <c r="AKC48" i="30" s="1"/>
  <c r="AKB49" i="30"/>
  <c r="AKB48" i="30" s="1"/>
  <c r="AKA49" i="30"/>
  <c r="AKA48" i="30" s="1"/>
  <c r="AJZ49" i="30"/>
  <c r="AJZ48" i="30" s="1"/>
  <c r="AJY49" i="30"/>
  <c r="AJY48" i="30" s="1"/>
  <c r="AJX49" i="30"/>
  <c r="AJX48" i="30" s="1"/>
  <c r="AJW49" i="30"/>
  <c r="AJW48" i="30" s="1"/>
  <c r="AJV49" i="30"/>
  <c r="AJU49" i="30"/>
  <c r="AJU48" i="30" s="1"/>
  <c r="AJT49" i="30"/>
  <c r="AJT48" i="30" s="1"/>
  <c r="AJS49" i="30"/>
  <c r="AJS48" i="30" s="1"/>
  <c r="AJR49" i="30"/>
  <c r="AJR48" i="30" s="1"/>
  <c r="AJQ49" i="30"/>
  <c r="AJQ48" i="30" s="1"/>
  <c r="AJP49" i="30"/>
  <c r="AJP48" i="30" s="1"/>
  <c r="AJO49" i="30"/>
  <c r="AJO48" i="30" s="1"/>
  <c r="AJN49" i="30"/>
  <c r="AJN48" i="30" s="1"/>
  <c r="AJM49" i="30"/>
  <c r="AJM48" i="30" s="1"/>
  <c r="AJL49" i="30"/>
  <c r="AJL48" i="30" s="1"/>
  <c r="AJK49" i="30"/>
  <c r="AJK48" i="30" s="1"/>
  <c r="AJJ49" i="30"/>
  <c r="AJI49" i="30"/>
  <c r="AJI48" i="30" s="1"/>
  <c r="AJH49" i="30"/>
  <c r="AJH48" i="30" s="1"/>
  <c r="AJG49" i="30"/>
  <c r="AJG48" i="30" s="1"/>
  <c r="AJF49" i="30"/>
  <c r="AJF48" i="30" s="1"/>
  <c r="AJE49" i="30"/>
  <c r="AJE48" i="30" s="1"/>
  <c r="AJD49" i="30"/>
  <c r="AJD48" i="30" s="1"/>
  <c r="AJC49" i="30"/>
  <c r="AJC48" i="30" s="1"/>
  <c r="AJB49" i="30"/>
  <c r="AJB48" i="30" s="1"/>
  <c r="AJA49" i="30"/>
  <c r="AJA48" i="30" s="1"/>
  <c r="AIZ49" i="30"/>
  <c r="AIZ48" i="30" s="1"/>
  <c r="AIY49" i="30"/>
  <c r="AIY48" i="30" s="1"/>
  <c r="AIX49" i="30"/>
  <c r="AIW49" i="30"/>
  <c r="AIW48" i="30" s="1"/>
  <c r="AIV49" i="30"/>
  <c r="AIV48" i="30" s="1"/>
  <c r="AIU49" i="30"/>
  <c r="AIU48" i="30" s="1"/>
  <c r="AIT49" i="30"/>
  <c r="AIT48" i="30" s="1"/>
  <c r="AIS49" i="30"/>
  <c r="AIS48" i="30" s="1"/>
  <c r="AIR49" i="30"/>
  <c r="AIR48" i="30" s="1"/>
  <c r="AIQ49" i="30"/>
  <c r="AIQ48" i="30" s="1"/>
  <c r="AIP49" i="30"/>
  <c r="AIP48" i="30" s="1"/>
  <c r="AIO49" i="30"/>
  <c r="AIO48" i="30" s="1"/>
  <c r="AIN49" i="30"/>
  <c r="AIN48" i="30" s="1"/>
  <c r="AIM49" i="30"/>
  <c r="AIM48" i="30" s="1"/>
  <c r="AIL49" i="30"/>
  <c r="AIL48" i="30" s="1"/>
  <c r="AIK49" i="30"/>
  <c r="AIK48" i="30" s="1"/>
  <c r="AIJ49" i="30"/>
  <c r="AIJ48" i="30" s="1"/>
  <c r="AII49" i="30"/>
  <c r="AII48" i="30" s="1"/>
  <c r="AIH49" i="30"/>
  <c r="AIH48" i="30" s="1"/>
  <c r="AIG49" i="30"/>
  <c r="AIG48" i="30" s="1"/>
  <c r="AIF49" i="30"/>
  <c r="AIF48" i="30" s="1"/>
  <c r="AIE49" i="30"/>
  <c r="AIE48" i="30" s="1"/>
  <c r="AID49" i="30"/>
  <c r="AID48" i="30" s="1"/>
  <c r="AIC49" i="30"/>
  <c r="AIC48" i="30" s="1"/>
  <c r="AIB49" i="30"/>
  <c r="AIB48" i="30" s="1"/>
  <c r="AIA49" i="30"/>
  <c r="AIA48" i="30" s="1"/>
  <c r="AHZ49" i="30"/>
  <c r="AHZ48" i="30" s="1"/>
  <c r="AHY49" i="30"/>
  <c r="AHY48" i="30" s="1"/>
  <c r="AHX49" i="30"/>
  <c r="AHX48" i="30" s="1"/>
  <c r="AHW49" i="30"/>
  <c r="AHW48" i="30" s="1"/>
  <c r="AHV49" i="30"/>
  <c r="AHV48" i="30" s="1"/>
  <c r="AHU49" i="30"/>
  <c r="AHU48" i="30" s="1"/>
  <c r="AHT49" i="30"/>
  <c r="AHT48" i="30" s="1"/>
  <c r="AHS49" i="30"/>
  <c r="AHS48" i="30" s="1"/>
  <c r="AHR49" i="30"/>
  <c r="AHR48" i="30" s="1"/>
  <c r="AHQ49" i="30"/>
  <c r="AHQ48" i="30" s="1"/>
  <c r="AHP49" i="30"/>
  <c r="AHP48" i="30" s="1"/>
  <c r="AHO49" i="30"/>
  <c r="AHO48" i="30" s="1"/>
  <c r="AHN49" i="30"/>
  <c r="AHN48" i="30" s="1"/>
  <c r="AHM49" i="30"/>
  <c r="AHM48" i="30" s="1"/>
  <c r="AHL49" i="30"/>
  <c r="AHL48" i="30" s="1"/>
  <c r="AHK49" i="30"/>
  <c r="AHK48" i="30" s="1"/>
  <c r="AHJ49" i="30"/>
  <c r="AHJ48" i="30" s="1"/>
  <c r="AHI49" i="30"/>
  <c r="AHI48" i="30" s="1"/>
  <c r="AHH49" i="30"/>
  <c r="AHH48" i="30" s="1"/>
  <c r="AHG49" i="30"/>
  <c r="AHG48" i="30" s="1"/>
  <c r="AHF49" i="30"/>
  <c r="AHF48" i="30" s="1"/>
  <c r="AHE49" i="30"/>
  <c r="AHE48" i="30" s="1"/>
  <c r="AHD49" i="30"/>
  <c r="AHC49" i="30"/>
  <c r="AHC48" i="30" s="1"/>
  <c r="AHB49" i="30"/>
  <c r="AHB48" i="30" s="1"/>
  <c r="AHA49" i="30"/>
  <c r="AHA48" i="30" s="1"/>
  <c r="AGZ49" i="30"/>
  <c r="AGZ48" i="30" s="1"/>
  <c r="AGY49" i="30"/>
  <c r="AGY48" i="30" s="1"/>
  <c r="AGX49" i="30"/>
  <c r="AGX48" i="30" s="1"/>
  <c r="AGW49" i="30"/>
  <c r="AGW48" i="30" s="1"/>
  <c r="AGV49" i="30"/>
  <c r="AGV48" i="30" s="1"/>
  <c r="AGU49" i="30"/>
  <c r="AGU48" i="30" s="1"/>
  <c r="AGT49" i="30"/>
  <c r="AGT48" i="30" s="1"/>
  <c r="AGS49" i="30"/>
  <c r="AGS48" i="30" s="1"/>
  <c r="AGR49" i="30"/>
  <c r="AGR48" i="30" s="1"/>
  <c r="AGQ49" i="30"/>
  <c r="AGQ48" i="30" s="1"/>
  <c r="AGP49" i="30"/>
  <c r="AGP48" i="30" s="1"/>
  <c r="AGO49" i="30"/>
  <c r="AGO48" i="30" s="1"/>
  <c r="AGN49" i="30"/>
  <c r="AGN48" i="30" s="1"/>
  <c r="AGM49" i="30"/>
  <c r="AGM48" i="30" s="1"/>
  <c r="AGL49" i="30"/>
  <c r="AGL48" i="30" s="1"/>
  <c r="AGK49" i="30"/>
  <c r="AGK48" i="30" s="1"/>
  <c r="AGJ49" i="30"/>
  <c r="AGJ48" i="30" s="1"/>
  <c r="ALO48" i="30"/>
  <c r="ALL48" i="30"/>
  <c r="ALE48" i="30"/>
  <c r="AKZ48" i="30"/>
  <c r="AKT48" i="30"/>
  <c r="AKN48" i="30"/>
  <c r="AKG48" i="30"/>
  <c r="AJV48" i="30"/>
  <c r="AJJ48" i="30"/>
  <c r="AIX48" i="30"/>
  <c r="AHD48" i="30"/>
  <c r="ALW44" i="30"/>
  <c r="ALV44" i="30"/>
  <c r="ALU44" i="30"/>
  <c r="ALT44" i="30"/>
  <c r="ALS44" i="30"/>
  <c r="ALR44" i="30"/>
  <c r="ALQ44" i="30"/>
  <c r="ALP44" i="30"/>
  <c r="ALO44" i="30"/>
  <c r="ALN44" i="30"/>
  <c r="ALM44" i="30"/>
  <c r="ALL44" i="30"/>
  <c r="ALK44" i="30"/>
  <c r="ALJ44" i="30"/>
  <c r="ALI44" i="30"/>
  <c r="ALH44" i="30"/>
  <c r="ALG44" i="30"/>
  <c r="ALF44" i="30"/>
  <c r="ALE44" i="30"/>
  <c r="ALD44" i="30"/>
  <c r="ALC44" i="30"/>
  <c r="ALB44" i="30"/>
  <c r="ALA44" i="30"/>
  <c r="AKZ44" i="30"/>
  <c r="AKY44" i="30"/>
  <c r="AKX44" i="30"/>
  <c r="AKW44" i="30"/>
  <c r="AKV44" i="30"/>
  <c r="AKU44" i="30"/>
  <c r="AKT44" i="30"/>
  <c r="AKS44" i="30"/>
  <c r="AKR44" i="30"/>
  <c r="AKQ44" i="30"/>
  <c r="AKP44" i="30"/>
  <c r="AKO44" i="30"/>
  <c r="AKN44" i="30"/>
  <c r="AKM44" i="30"/>
  <c r="AKL44" i="30"/>
  <c r="AKK44" i="30"/>
  <c r="AKJ44" i="30"/>
  <c r="AKJ43" i="30" s="1"/>
  <c r="AKI44" i="30"/>
  <c r="AKI43" i="30" s="1"/>
  <c r="AKI59" i="30" s="1"/>
  <c r="AKH44" i="30"/>
  <c r="AKH43" i="30" s="1"/>
  <c r="AKH59" i="30" s="1"/>
  <c r="AKG44" i="30"/>
  <c r="AKG43" i="30" s="1"/>
  <c r="AKG66" i="30" s="1"/>
  <c r="AKF44" i="30"/>
  <c r="AKF43" i="30" s="1"/>
  <c r="AKF66" i="30" s="1"/>
  <c r="AKE44" i="30"/>
  <c r="AKE43" i="30" s="1"/>
  <c r="AKE66" i="30" s="1"/>
  <c r="AKD44" i="30"/>
  <c r="AKC44" i="30"/>
  <c r="AKB44" i="30"/>
  <c r="AKA44" i="30"/>
  <c r="AKA43" i="30" s="1"/>
  <c r="AKA59" i="30" s="1"/>
  <c r="AJZ44" i="30"/>
  <c r="AJY44" i="30"/>
  <c r="AJY43" i="30" s="1"/>
  <c r="AJX44" i="30"/>
  <c r="AJX43" i="30" s="1"/>
  <c r="AJW44" i="30"/>
  <c r="AJW43" i="30" s="1"/>
  <c r="AJV44" i="30"/>
  <c r="AJV43" i="30" s="1"/>
  <c r="AJU44" i="30"/>
  <c r="AJU43" i="30" s="1"/>
  <c r="AJU59" i="30" s="1"/>
  <c r="AJT44" i="30"/>
  <c r="AJT43" i="30" s="1"/>
  <c r="AJS44" i="30"/>
  <c r="AJS43" i="30" s="1"/>
  <c r="AJR44" i="30"/>
  <c r="AJQ44" i="30"/>
  <c r="AJQ43" i="30" s="1"/>
  <c r="AJQ66" i="30" s="1"/>
  <c r="AJP44" i="30"/>
  <c r="AJO44" i="30"/>
  <c r="AJN44" i="30"/>
  <c r="AJM44" i="30"/>
  <c r="AJM43" i="30" s="1"/>
  <c r="AJM66" i="30" s="1"/>
  <c r="AJL44" i="30"/>
  <c r="AJK44" i="30"/>
  <c r="AJJ44" i="30"/>
  <c r="AJJ43" i="30" s="1"/>
  <c r="AJI44" i="30"/>
  <c r="AJI43" i="30" s="1"/>
  <c r="AJI66" i="30" s="1"/>
  <c r="AJH44" i="30"/>
  <c r="AJH43" i="30" s="1"/>
  <c r="AJG44" i="30"/>
  <c r="AJG43" i="30" s="1"/>
  <c r="AJF44" i="30"/>
  <c r="AJF43" i="30" s="1"/>
  <c r="AJF66" i="30" s="1"/>
  <c r="AJE44" i="30"/>
  <c r="AJD44" i="30"/>
  <c r="AJC44" i="30"/>
  <c r="AJB44" i="30"/>
  <c r="AJA44" i="30"/>
  <c r="AJA43" i="30" s="1"/>
  <c r="AIZ44" i="30"/>
  <c r="AIZ43" i="30" s="1"/>
  <c r="AIY44" i="30"/>
  <c r="AIY43" i="30" s="1"/>
  <c r="AIX44" i="30"/>
  <c r="AIX43" i="30" s="1"/>
  <c r="AIW44" i="30"/>
  <c r="AIW43" i="30" s="1"/>
  <c r="AIW66" i="30" s="1"/>
  <c r="AIV44" i="30"/>
  <c r="AIV43" i="30" s="1"/>
  <c r="AIV66" i="30" s="1"/>
  <c r="AIU44" i="30"/>
  <c r="AIU43" i="30" s="1"/>
  <c r="AIT44" i="30"/>
  <c r="AIS44" i="30"/>
  <c r="AIR44" i="30"/>
  <c r="AIQ44" i="30"/>
  <c r="AIQ43" i="30" s="1"/>
  <c r="AIP44" i="30"/>
  <c r="AIP43" i="30" s="1"/>
  <c r="AIO44" i="30"/>
  <c r="AIO43" i="30" s="1"/>
  <c r="AIN44" i="30"/>
  <c r="AIM44" i="30"/>
  <c r="AIM43" i="30" s="1"/>
  <c r="AIL44" i="30"/>
  <c r="AIL43" i="30" s="1"/>
  <c r="AIK44" i="30"/>
  <c r="AIK43" i="30" s="1"/>
  <c r="AIK59" i="30" s="1"/>
  <c r="AIJ44" i="30"/>
  <c r="AIJ43" i="30" s="1"/>
  <c r="AII44" i="30"/>
  <c r="AII43" i="30" s="1"/>
  <c r="AII66" i="30" s="1"/>
  <c r="AIH44" i="30"/>
  <c r="AIG44" i="30"/>
  <c r="AIG43" i="30" s="1"/>
  <c r="AIF44" i="30"/>
  <c r="AIE44" i="30"/>
  <c r="AID44" i="30"/>
  <c r="AIC44" i="30"/>
  <c r="AIC43" i="30" s="1"/>
  <c r="AIC66" i="30" s="1"/>
  <c r="AIB44" i="30"/>
  <c r="AIB43" i="30" s="1"/>
  <c r="AIA44" i="30"/>
  <c r="AHZ44" i="30"/>
  <c r="AHZ43" i="30" s="1"/>
  <c r="AHY44" i="30"/>
  <c r="AHY43" i="30" s="1"/>
  <c r="AHY59" i="30" s="1"/>
  <c r="AHX44" i="30"/>
  <c r="AHX43" i="30" s="1"/>
  <c r="AHW44" i="30"/>
  <c r="AHW43" i="30" s="1"/>
  <c r="AHW66" i="30" s="1"/>
  <c r="AHV44" i="30"/>
  <c r="AHU44" i="30"/>
  <c r="AHU43" i="30" s="1"/>
  <c r="AHT44" i="30"/>
  <c r="AHS44" i="30"/>
  <c r="AHS43" i="30" s="1"/>
  <c r="AHR44" i="30"/>
  <c r="AHQ44" i="30"/>
  <c r="AHQ43" i="30" s="1"/>
  <c r="AHP44" i="30"/>
  <c r="AHP43" i="30" s="1"/>
  <c r="AHO44" i="30"/>
  <c r="AHO43" i="30" s="1"/>
  <c r="AHO59" i="30" s="1"/>
  <c r="AHN44" i="30"/>
  <c r="AHN43" i="30" s="1"/>
  <c r="AHN59" i="30" s="1"/>
  <c r="AHM44" i="30"/>
  <c r="AHM43" i="30" s="1"/>
  <c r="AHM66" i="30" s="1"/>
  <c r="AHL44" i="30"/>
  <c r="AHL43" i="30" s="1"/>
  <c r="AHK44" i="30"/>
  <c r="AHK43" i="30" s="1"/>
  <c r="AHK66" i="30" s="1"/>
  <c r="AHJ44" i="30"/>
  <c r="AHJ43" i="30" s="1"/>
  <c r="AHI44" i="30"/>
  <c r="AHI43" i="30" s="1"/>
  <c r="AHH44" i="30"/>
  <c r="AHG44" i="30"/>
  <c r="AHG43" i="30" s="1"/>
  <c r="AHF44" i="30"/>
  <c r="AHE44" i="30"/>
  <c r="AHE43" i="30" s="1"/>
  <c r="AHE66" i="30" s="1"/>
  <c r="AHD44" i="30"/>
  <c r="AHD43" i="30" s="1"/>
  <c r="AHC44" i="30"/>
  <c r="AHC43" i="30" s="1"/>
  <c r="AHB44" i="30"/>
  <c r="AHB43" i="30" s="1"/>
  <c r="AHA44" i="30"/>
  <c r="AHA43" i="30" s="1"/>
  <c r="AHA66" i="30" s="1"/>
  <c r="AGZ44" i="30"/>
  <c r="AGZ43" i="30" s="1"/>
  <c r="AGZ66" i="30" s="1"/>
  <c r="AGY44" i="30"/>
  <c r="AGY43" i="30" s="1"/>
  <c r="AGX44" i="30"/>
  <c r="AGX43" i="30" s="1"/>
  <c r="AGW44" i="30"/>
  <c r="AGW43" i="30" s="1"/>
  <c r="AGW66" i="30" s="1"/>
  <c r="AGV44" i="30"/>
  <c r="AGV43" i="30" s="1"/>
  <c r="AGU44" i="30"/>
  <c r="AGU43" i="30" s="1"/>
  <c r="AGT44" i="30"/>
  <c r="AGS44" i="30"/>
  <c r="AGS43" i="30" s="1"/>
  <c r="AGS66" i="30" s="1"/>
  <c r="AGR44" i="30"/>
  <c r="AGR43" i="30" s="1"/>
  <c r="AGQ44" i="30"/>
  <c r="AGQ43" i="30" s="1"/>
  <c r="AGQ66" i="30" s="1"/>
  <c r="AGP44" i="30"/>
  <c r="AGP43" i="30" s="1"/>
  <c r="AGO44" i="30"/>
  <c r="AGO43" i="30" s="1"/>
  <c r="AGO59" i="30" s="1"/>
  <c r="AGN44" i="30"/>
  <c r="AGN43" i="30" s="1"/>
  <c r="AGN66" i="30" s="1"/>
  <c r="AGM44" i="30"/>
  <c r="AGM43" i="30" s="1"/>
  <c r="AGM66" i="30" s="1"/>
  <c r="AGL44" i="30"/>
  <c r="AGL43" i="30" s="1"/>
  <c r="AGK44" i="30"/>
  <c r="AGK43" i="30" s="1"/>
  <c r="AGJ44" i="30"/>
  <c r="ALW43" i="30"/>
  <c r="ALW59" i="30" s="1"/>
  <c r="ALV43" i="30"/>
  <c r="ALV66" i="30" s="1"/>
  <c r="ALU43" i="30"/>
  <c r="ALU66" i="30" s="1"/>
  <c r="ALT43" i="30"/>
  <c r="ALS43" i="30"/>
  <c r="ALR43" i="30"/>
  <c r="ALQ43" i="30"/>
  <c r="ALQ66" i="30" s="1"/>
  <c r="ALP43" i="30"/>
  <c r="ALO43" i="30"/>
  <c r="ALN43" i="30"/>
  <c r="ALN66" i="30" s="1"/>
  <c r="ALM43" i="30"/>
  <c r="ALL43" i="30"/>
  <c r="ALL66" i="30" s="1"/>
  <c r="ALK43" i="30"/>
  <c r="ALJ43" i="30"/>
  <c r="ALI43" i="30"/>
  <c r="ALH43" i="30"/>
  <c r="ALG43" i="30"/>
  <c r="ALF43" i="30"/>
  <c r="ALE43" i="30"/>
  <c r="ALE66" i="30" s="1"/>
  <c r="ALD43" i="30"/>
  <c r="ALC43" i="30"/>
  <c r="ALB43" i="30"/>
  <c r="ALB59" i="30" s="1"/>
  <c r="ALA43" i="30"/>
  <c r="ALA59" i="30" s="1"/>
  <c r="AKZ43" i="30"/>
  <c r="AKY43" i="30"/>
  <c r="AKX43" i="30"/>
  <c r="AKW43" i="30"/>
  <c r="AKV43" i="30"/>
  <c r="AKU43" i="30"/>
  <c r="AKT43" i="30"/>
  <c r="AKS43" i="30"/>
  <c r="AKR43" i="30"/>
  <c r="AKQ43" i="30"/>
  <c r="AKP43" i="30"/>
  <c r="AKP66" i="30" s="1"/>
  <c r="AKO43" i="30"/>
  <c r="AKN43" i="30"/>
  <c r="AKN66" i="30" s="1"/>
  <c r="AKM43" i="30"/>
  <c r="AKL43" i="30"/>
  <c r="AKK43" i="30"/>
  <c r="AKD43" i="30"/>
  <c r="AKD66" i="30" s="1"/>
  <c r="AKC43" i="30"/>
  <c r="AKC66" i="30" s="1"/>
  <c r="AKB43" i="30"/>
  <c r="AKB66" i="30" s="1"/>
  <c r="AJZ43" i="30"/>
  <c r="AJR43" i="30"/>
  <c r="AJP43" i="30"/>
  <c r="AJO43" i="30"/>
  <c r="AJN43" i="30"/>
  <c r="AJN66" i="30" s="1"/>
  <c r="AJL43" i="30"/>
  <c r="AJK43" i="30"/>
  <c r="AJK66" i="30" s="1"/>
  <c r="AJE43" i="30"/>
  <c r="AJD43" i="30"/>
  <c r="AJC43" i="30"/>
  <c r="AJB43" i="30"/>
  <c r="AIT43" i="30"/>
  <c r="AIS43" i="30"/>
  <c r="AIR43" i="30"/>
  <c r="AIN43" i="30"/>
  <c r="AIH43" i="30"/>
  <c r="AIH66" i="30" s="1"/>
  <c r="AIF43" i="30"/>
  <c r="AIE43" i="30"/>
  <c r="AIE66" i="30" s="1"/>
  <c r="AID43" i="30"/>
  <c r="AID66" i="30" s="1"/>
  <c r="AIA43" i="30"/>
  <c r="AIA66" i="30" s="1"/>
  <c r="AHV43" i="30"/>
  <c r="AHT43" i="30"/>
  <c r="AHT66" i="30" s="1"/>
  <c r="AHR43" i="30"/>
  <c r="AHH43" i="30"/>
  <c r="AHF43" i="30"/>
  <c r="AGT43" i="30"/>
  <c r="AGJ43" i="30"/>
  <c r="ALW40" i="30"/>
  <c r="ALW39" i="30" s="1"/>
  <c r="ALV40" i="30"/>
  <c r="ALV39" i="30" s="1"/>
  <c r="ALU40" i="30"/>
  <c r="ALU39" i="30" s="1"/>
  <c r="ALT40" i="30"/>
  <c r="ALT39" i="30" s="1"/>
  <c r="ALS40" i="30"/>
  <c r="ALS39" i="30" s="1"/>
  <c r="ALR40" i="30"/>
  <c r="ALR39" i="30" s="1"/>
  <c r="ALQ40" i="30"/>
  <c r="ALQ39" i="30" s="1"/>
  <c r="ALP40" i="30"/>
  <c r="ALP39" i="30" s="1"/>
  <c r="ALO40" i="30"/>
  <c r="ALO39" i="30" s="1"/>
  <c r="ALN40" i="30"/>
  <c r="ALN39" i="30" s="1"/>
  <c r="ALM40" i="30"/>
  <c r="ALM39" i="30" s="1"/>
  <c r="ALL40" i="30"/>
  <c r="ALL39" i="30" s="1"/>
  <c r="ALK40" i="30"/>
  <c r="ALK39" i="30" s="1"/>
  <c r="ALK65" i="30" s="1"/>
  <c r="ALJ40" i="30"/>
  <c r="ALJ39" i="30" s="1"/>
  <c r="ALJ65" i="30" s="1"/>
  <c r="ALI40" i="30"/>
  <c r="ALI39" i="30" s="1"/>
  <c r="ALH40" i="30"/>
  <c r="ALH39" i="30" s="1"/>
  <c r="ALG40" i="30"/>
  <c r="ALF40" i="30"/>
  <c r="ALE40" i="30"/>
  <c r="ALE39" i="30" s="1"/>
  <c r="ALE65" i="30" s="1"/>
  <c r="ALD40" i="30"/>
  <c r="ALD39" i="30" s="1"/>
  <c r="ALC40" i="30"/>
  <c r="ALC39" i="30" s="1"/>
  <c r="ALB40" i="30"/>
  <c r="ALB39" i="30" s="1"/>
  <c r="ALA40" i="30"/>
  <c r="ALA39" i="30" s="1"/>
  <c r="AKZ40" i="30"/>
  <c r="AKZ39" i="30" s="1"/>
  <c r="AKZ65" i="30" s="1"/>
  <c r="AKY40" i="30"/>
  <c r="AKY39" i="30" s="1"/>
  <c r="AKX40" i="30"/>
  <c r="AKX39" i="30" s="1"/>
  <c r="AKW40" i="30"/>
  <c r="AKW39" i="30" s="1"/>
  <c r="AKW65" i="30" s="1"/>
  <c r="AKV40" i="30"/>
  <c r="AKV39" i="30" s="1"/>
  <c r="AKV58" i="30" s="1"/>
  <c r="AKU40" i="30"/>
  <c r="AKU39" i="30" s="1"/>
  <c r="AKU58" i="30" s="1"/>
  <c r="AKT40" i="30"/>
  <c r="AKT39" i="30" s="1"/>
  <c r="AKS40" i="30"/>
  <c r="AKS39" i="30" s="1"/>
  <c r="AKR40" i="30"/>
  <c r="AKR39" i="30" s="1"/>
  <c r="AKR65" i="30" s="1"/>
  <c r="AKQ40" i="30"/>
  <c r="AKQ39" i="30" s="1"/>
  <c r="AKP40" i="30"/>
  <c r="AKP39" i="30" s="1"/>
  <c r="AKO40" i="30"/>
  <c r="AKO39" i="30" s="1"/>
  <c r="AKN40" i="30"/>
  <c r="AKN39" i="30" s="1"/>
  <c r="AKN65" i="30" s="1"/>
  <c r="AKM40" i="30"/>
  <c r="AKM39" i="30" s="1"/>
  <c r="AKL40" i="30"/>
  <c r="AKL39" i="30" s="1"/>
  <c r="AKK40" i="30"/>
  <c r="AKJ40" i="30"/>
  <c r="AKJ39" i="30" s="1"/>
  <c r="AKI40" i="30"/>
  <c r="AKI39" i="30" s="1"/>
  <c r="AKH40" i="30"/>
  <c r="AKG40" i="30"/>
  <c r="AKG39" i="30" s="1"/>
  <c r="AKF40" i="30"/>
  <c r="AKF39" i="30" s="1"/>
  <c r="AKE40" i="30"/>
  <c r="AKE39" i="30" s="1"/>
  <c r="AKD40" i="30"/>
  <c r="AKD39" i="30" s="1"/>
  <c r="AKC40" i="30"/>
  <c r="AKC39" i="30" s="1"/>
  <c r="AKB40" i="30"/>
  <c r="AKB39" i="30" s="1"/>
  <c r="AKA40" i="30"/>
  <c r="AKA39" i="30" s="1"/>
  <c r="AJZ40" i="30"/>
  <c r="AJZ39" i="30" s="1"/>
  <c r="AJY40" i="30"/>
  <c r="AJY39" i="30" s="1"/>
  <c r="AJX40" i="30"/>
  <c r="AJX39" i="30" s="1"/>
  <c r="AJW40" i="30"/>
  <c r="AJV40" i="30"/>
  <c r="AJV39" i="30" s="1"/>
  <c r="AJU40" i="30"/>
  <c r="AJU39" i="30" s="1"/>
  <c r="AJT40" i="30"/>
  <c r="AJT39" i="30" s="1"/>
  <c r="AJS40" i="30"/>
  <c r="AJS39" i="30" s="1"/>
  <c r="AJS65" i="30" s="1"/>
  <c r="AJR40" i="30"/>
  <c r="AJR39" i="30" s="1"/>
  <c r="AJQ40" i="30"/>
  <c r="AJQ39" i="30" s="1"/>
  <c r="AJP40" i="30"/>
  <c r="AJP39" i="30" s="1"/>
  <c r="AJP65" i="30" s="1"/>
  <c r="AJO40" i="30"/>
  <c r="AJO39" i="30" s="1"/>
  <c r="AJN40" i="30"/>
  <c r="AJN39" i="30" s="1"/>
  <c r="AJN65" i="30" s="1"/>
  <c r="AJM40" i="30"/>
  <c r="AJM39" i="30" s="1"/>
  <c r="AJM65" i="30" s="1"/>
  <c r="AJL40" i="30"/>
  <c r="AJL39" i="30" s="1"/>
  <c r="AJK40" i="30"/>
  <c r="AJK39" i="30" s="1"/>
  <c r="AJK65" i="30" s="1"/>
  <c r="AJJ40" i="30"/>
  <c r="AJJ39" i="30" s="1"/>
  <c r="AJJ58" i="30" s="1"/>
  <c r="AJI40" i="30"/>
  <c r="AJI39" i="30" s="1"/>
  <c r="AJH40" i="30"/>
  <c r="AJH39" i="30" s="1"/>
  <c r="AJH58" i="30" s="1"/>
  <c r="AJG40" i="30"/>
  <c r="AJG39" i="30" s="1"/>
  <c r="AJG65" i="30" s="1"/>
  <c r="AJF40" i="30"/>
  <c r="AJF39" i="30" s="1"/>
  <c r="AJF65" i="30" s="1"/>
  <c r="AJE40" i="30"/>
  <c r="AJE39" i="30" s="1"/>
  <c r="AJD40" i="30"/>
  <c r="AJD39" i="30" s="1"/>
  <c r="AJC40" i="30"/>
  <c r="AJC39" i="30" s="1"/>
  <c r="AJC58" i="30" s="1"/>
  <c r="AJB40" i="30"/>
  <c r="AJB39" i="30" s="1"/>
  <c r="AJA40" i="30"/>
  <c r="AJA39" i="30" s="1"/>
  <c r="AIZ40" i="30"/>
  <c r="AIZ39" i="30" s="1"/>
  <c r="AIY40" i="30"/>
  <c r="AIY39" i="30" s="1"/>
  <c r="AIX40" i="30"/>
  <c r="AIX39" i="30" s="1"/>
  <c r="AIW40" i="30"/>
  <c r="AIW39" i="30" s="1"/>
  <c r="AIW65" i="30" s="1"/>
  <c r="AIV40" i="30"/>
  <c r="AIV39" i="30" s="1"/>
  <c r="AIU40" i="30"/>
  <c r="AIU39" i="30" s="1"/>
  <c r="AIU58" i="30" s="1"/>
  <c r="AIT40" i="30"/>
  <c r="AIT39" i="30" s="1"/>
  <c r="AIT65" i="30" s="1"/>
  <c r="AIS40" i="30"/>
  <c r="AIS39" i="30" s="1"/>
  <c r="AIS65" i="30" s="1"/>
  <c r="AIR40" i="30"/>
  <c r="AIR39" i="30" s="1"/>
  <c r="AIQ40" i="30"/>
  <c r="AIQ39" i="30" s="1"/>
  <c r="AIP40" i="30"/>
  <c r="AIP39" i="30" s="1"/>
  <c r="AIP65" i="30" s="1"/>
  <c r="AIO40" i="30"/>
  <c r="AIO39" i="30" s="1"/>
  <c r="AIO65" i="30" s="1"/>
  <c r="AIN40" i="30"/>
  <c r="AIN39" i="30" s="1"/>
  <c r="AIM40" i="30"/>
  <c r="AIM39" i="30" s="1"/>
  <c r="AIL40" i="30"/>
  <c r="AIL39" i="30" s="1"/>
  <c r="AIK40" i="30"/>
  <c r="AIK39" i="30" s="1"/>
  <c r="AIJ40" i="30"/>
  <c r="AIJ39" i="30" s="1"/>
  <c r="AII40" i="30"/>
  <c r="AII39" i="30" s="1"/>
  <c r="AII65" i="30" s="1"/>
  <c r="AIH40" i="30"/>
  <c r="AIH39" i="30" s="1"/>
  <c r="AIH65" i="30" s="1"/>
  <c r="AIG40" i="30"/>
  <c r="AIG39" i="30" s="1"/>
  <c r="AIG65" i="30" s="1"/>
  <c r="AIF40" i="30"/>
  <c r="AIF39" i="30" s="1"/>
  <c r="AIF65" i="30" s="1"/>
  <c r="AIE40" i="30"/>
  <c r="AIE39" i="30" s="1"/>
  <c r="AIE65" i="30" s="1"/>
  <c r="AID40" i="30"/>
  <c r="AID39" i="30" s="1"/>
  <c r="AID65" i="30" s="1"/>
  <c r="AIC40" i="30"/>
  <c r="AIC39" i="30" s="1"/>
  <c r="AIC65" i="30" s="1"/>
  <c r="AIB40" i="30"/>
  <c r="AIB39" i="30" s="1"/>
  <c r="AIB58" i="30" s="1"/>
  <c r="AIA40" i="30"/>
  <c r="AIA39" i="30" s="1"/>
  <c r="AIA65" i="30" s="1"/>
  <c r="AHZ40" i="30"/>
  <c r="AHZ39" i="30" s="1"/>
  <c r="AHZ65" i="30" s="1"/>
  <c r="AHY40" i="30"/>
  <c r="AHY39" i="30" s="1"/>
  <c r="AHY65" i="30" s="1"/>
  <c r="AHX40" i="30"/>
  <c r="AHX39" i="30" s="1"/>
  <c r="AHX65" i="30" s="1"/>
  <c r="AHW40" i="30"/>
  <c r="AHW39" i="30" s="1"/>
  <c r="AHV40" i="30"/>
  <c r="AHV39" i="30" s="1"/>
  <c r="AHV58" i="30" s="1"/>
  <c r="AHU40" i="30"/>
  <c r="AHU39" i="30" s="1"/>
  <c r="AHU58" i="30" s="1"/>
  <c r="AHT40" i="30"/>
  <c r="AHT39" i="30" s="1"/>
  <c r="AHT65" i="30" s="1"/>
  <c r="AHS40" i="30"/>
  <c r="AHS39" i="30" s="1"/>
  <c r="AHR40" i="30"/>
  <c r="AHR39" i="30" s="1"/>
  <c r="AHQ40" i="30"/>
  <c r="AHQ39" i="30" s="1"/>
  <c r="AHP40" i="30"/>
  <c r="AHP39" i="30" s="1"/>
  <c r="AHO40" i="30"/>
  <c r="AHO39" i="30" s="1"/>
  <c r="AHN40" i="30"/>
  <c r="AHN39" i="30" s="1"/>
  <c r="AHN65" i="30" s="1"/>
  <c r="AHM40" i="30"/>
  <c r="AHM39" i="30" s="1"/>
  <c r="AHL40" i="30"/>
  <c r="AHL39" i="30" s="1"/>
  <c r="AHL65" i="30" s="1"/>
  <c r="AHK40" i="30"/>
  <c r="AHK39" i="30" s="1"/>
  <c r="AHJ40" i="30"/>
  <c r="AHJ39" i="30" s="1"/>
  <c r="AHI40" i="30"/>
  <c r="AHI39" i="30" s="1"/>
  <c r="AHH40" i="30"/>
  <c r="AHH39" i="30" s="1"/>
  <c r="AHG40" i="30"/>
  <c r="AHG39" i="30" s="1"/>
  <c r="AHF40" i="30"/>
  <c r="AHF39" i="30" s="1"/>
  <c r="AHE40" i="30"/>
  <c r="AHE39" i="30" s="1"/>
  <c r="AHD40" i="30"/>
  <c r="AHD39" i="30" s="1"/>
  <c r="AHC40" i="30"/>
  <c r="AHC39" i="30" s="1"/>
  <c r="AHB40" i="30"/>
  <c r="AHB39" i="30" s="1"/>
  <c r="AHA40" i="30"/>
  <c r="AHA39" i="30" s="1"/>
  <c r="AHA65" i="30" s="1"/>
  <c r="AGZ40" i="30"/>
  <c r="AGZ39" i="30" s="1"/>
  <c r="AGY40" i="30"/>
  <c r="AGY39" i="30" s="1"/>
  <c r="AGY65" i="30" s="1"/>
  <c r="AGX40" i="30"/>
  <c r="AGX39" i="30" s="1"/>
  <c r="AGX65" i="30" s="1"/>
  <c r="AGW40" i="30"/>
  <c r="AGW39" i="30" s="1"/>
  <c r="AGV40" i="30"/>
  <c r="AGV39" i="30" s="1"/>
  <c r="AGU40" i="30"/>
  <c r="AGU39" i="30" s="1"/>
  <c r="AGT40" i="30"/>
  <c r="AGT39" i="30" s="1"/>
  <c r="AGT65" i="30" s="1"/>
  <c r="AGS40" i="30"/>
  <c r="AGS39" i="30" s="1"/>
  <c r="AGS65" i="30" s="1"/>
  <c r="AGR40" i="30"/>
  <c r="AGR39" i="30" s="1"/>
  <c r="AGQ40" i="30"/>
  <c r="AGQ39" i="30" s="1"/>
  <c r="AGP40" i="30"/>
  <c r="AGP39" i="30" s="1"/>
  <c r="AGP58" i="30" s="1"/>
  <c r="AGO40" i="30"/>
  <c r="AGO39" i="30" s="1"/>
  <c r="AGN40" i="30"/>
  <c r="AGN39" i="30" s="1"/>
  <c r="AGN65" i="30" s="1"/>
  <c r="AGM40" i="30"/>
  <c r="AGM39" i="30" s="1"/>
  <c r="AGL40" i="30"/>
  <c r="AGK40" i="30"/>
  <c r="AGK39" i="30" s="1"/>
  <c r="AGJ40" i="30"/>
  <c r="AGJ39" i="30" s="1"/>
  <c r="AGJ65" i="30" s="1"/>
  <c r="ALG39" i="30"/>
  <c r="ALF39" i="30"/>
  <c r="AKK39" i="30"/>
  <c r="AKH39" i="30"/>
  <c r="AJW39" i="30"/>
  <c r="AGL39" i="30"/>
  <c r="AKH33" i="30"/>
  <c r="AIX33" i="30"/>
  <c r="ALW33" i="30"/>
  <c r="ALW64" i="30" s="1"/>
  <c r="ALV33" i="30"/>
  <c r="ALV64" i="30" s="1"/>
  <c r="ALU33" i="30"/>
  <c r="ALU64" i="30" s="1"/>
  <c r="ALT33" i="30"/>
  <c r="ALT64" i="30" s="1"/>
  <c r="ALS33" i="30"/>
  <c r="ALS64" i="30" s="1"/>
  <c r="ALR33" i="30"/>
  <c r="ALR64" i="30" s="1"/>
  <c r="ALQ33" i="30"/>
  <c r="ALQ64" i="30" s="1"/>
  <c r="ALP33" i="30"/>
  <c r="ALP64" i="30" s="1"/>
  <c r="ALO33" i="30"/>
  <c r="ALO57" i="30" s="1"/>
  <c r="ALN33" i="30"/>
  <c r="ALN57" i="30" s="1"/>
  <c r="ALM33" i="30"/>
  <c r="ALM57" i="30" s="1"/>
  <c r="ALL33" i="30"/>
  <c r="ALL64" i="30" s="1"/>
  <c r="ALK33" i="30"/>
  <c r="ALK57" i="30" s="1"/>
  <c r="ALJ33" i="30"/>
  <c r="ALJ57" i="30" s="1"/>
  <c r="ALI33" i="30"/>
  <c r="ALH33" i="30"/>
  <c r="ALH64" i="30" s="1"/>
  <c r="ALG33" i="30"/>
  <c r="ALG64" i="30" s="1"/>
  <c r="ALF33" i="30"/>
  <c r="ALF64" i="30" s="1"/>
  <c r="ALE33" i="30"/>
  <c r="ALE64" i="30" s="1"/>
  <c r="ALD33" i="30"/>
  <c r="ALD64" i="30" s="1"/>
  <c r="ALC33" i="30"/>
  <c r="ALC64" i="30" s="1"/>
  <c r="ALB33" i="30"/>
  <c r="ALB64" i="30" s="1"/>
  <c r="ALA33" i="30"/>
  <c r="AKZ33" i="30"/>
  <c r="AKZ64" i="30" s="1"/>
  <c r="AKY33" i="30"/>
  <c r="AKY57" i="30" s="1"/>
  <c r="AKX33" i="30"/>
  <c r="AKW33" i="30"/>
  <c r="AKV33" i="30"/>
  <c r="AKU33" i="30"/>
  <c r="AKT33" i="30"/>
  <c r="AKS33" i="30"/>
  <c r="AKR33" i="30"/>
  <c r="AKQ33" i="30"/>
  <c r="AKQ57" i="30" s="1"/>
  <c r="AKP33" i="30"/>
  <c r="AKP57" i="30" s="1"/>
  <c r="AKO33" i="30"/>
  <c r="AKO57" i="30" s="1"/>
  <c r="AKN33" i="30"/>
  <c r="AKN64" i="30" s="1"/>
  <c r="AKM33" i="30"/>
  <c r="AKM64" i="30" s="1"/>
  <c r="AKL33" i="30"/>
  <c r="AKL64" i="30" s="1"/>
  <c r="AKK33" i="30"/>
  <c r="AKK64" i="30" s="1"/>
  <c r="AKJ33" i="30"/>
  <c r="AKI33" i="30"/>
  <c r="AKG33" i="30"/>
  <c r="AKF33" i="30"/>
  <c r="AKE33" i="30"/>
  <c r="AKE64" i="30" s="1"/>
  <c r="AKD33" i="30"/>
  <c r="AKD57" i="30" s="1"/>
  <c r="AKC33" i="30"/>
  <c r="AKC57" i="30" s="1"/>
  <c r="AKB33" i="30"/>
  <c r="AKB57" i="30" s="1"/>
  <c r="AKA33" i="30"/>
  <c r="AKA64" i="30" s="1"/>
  <c r="AJZ33" i="30"/>
  <c r="AJY33" i="30"/>
  <c r="AJX33" i="30"/>
  <c r="AJX64" i="30" s="1"/>
  <c r="AJW33" i="30"/>
  <c r="AJW64" i="30" s="1"/>
  <c r="AJV33" i="30"/>
  <c r="AJV64" i="30" s="1"/>
  <c r="AJU33" i="30"/>
  <c r="AJU64" i="30" s="1"/>
  <c r="AJT33" i="30"/>
  <c r="AJT64" i="30" s="1"/>
  <c r="AJS33" i="30"/>
  <c r="AJS64" i="30" s="1"/>
  <c r="AJR33" i="30"/>
  <c r="AJR64" i="30" s="1"/>
  <c r="AJQ33" i="30"/>
  <c r="AJQ57" i="30" s="1"/>
  <c r="AJP33" i="30"/>
  <c r="AJP57" i="30" s="1"/>
  <c r="AJO33" i="30"/>
  <c r="AJO57" i="30" s="1"/>
  <c r="AJN33" i="30"/>
  <c r="AJM33" i="30"/>
  <c r="AJL33" i="30"/>
  <c r="AJL64" i="30" s="1"/>
  <c r="AJK33" i="30"/>
  <c r="AJK64" i="30" s="1"/>
  <c r="AJJ33" i="30"/>
  <c r="AJJ64" i="30" s="1"/>
  <c r="AJI33" i="30"/>
  <c r="AJH33" i="30"/>
  <c r="AJG33" i="30"/>
  <c r="AJG64" i="30" s="1"/>
  <c r="AJF33" i="30"/>
  <c r="AJF64" i="30" s="1"/>
  <c r="AJE33" i="30"/>
  <c r="AJE64" i="30" s="1"/>
  <c r="AJD33" i="30"/>
  <c r="AJD64" i="30" s="1"/>
  <c r="AJC33" i="30"/>
  <c r="AJB33" i="30"/>
  <c r="AJA33" i="30"/>
  <c r="AIZ33" i="30"/>
  <c r="AIY33" i="30"/>
  <c r="AIW33" i="30"/>
  <c r="AIW64" i="30" s="1"/>
  <c r="AIV33" i="30"/>
  <c r="AIU33" i="30"/>
  <c r="AIU57" i="30" s="1"/>
  <c r="AIT33" i="30"/>
  <c r="AIT64" i="30" s="1"/>
  <c r="AIS33" i="30"/>
  <c r="AIS64" i="30" s="1"/>
  <c r="AIR33" i="30"/>
  <c r="AIR64" i="30" s="1"/>
  <c r="AIQ33" i="30"/>
  <c r="AIQ57" i="30" s="1"/>
  <c r="AIP33" i="30"/>
  <c r="AIP57" i="30" s="1"/>
  <c r="AIO33" i="30"/>
  <c r="AIO64" i="30" s="1"/>
  <c r="AIN33" i="30"/>
  <c r="AIN57" i="30" s="1"/>
  <c r="AIM33" i="30"/>
  <c r="AIL33" i="30"/>
  <c r="AIK33" i="30"/>
  <c r="AIK64" i="30" s="1"/>
  <c r="AIJ33" i="30"/>
  <c r="AIJ57" i="30" s="1"/>
  <c r="AII33" i="30"/>
  <c r="AII57" i="30" s="1"/>
  <c r="AIH33" i="30"/>
  <c r="AIH57" i="30" s="1"/>
  <c r="AIG33" i="30"/>
  <c r="AIG64" i="30" s="1"/>
  <c r="AIF33" i="30"/>
  <c r="AIF64" i="30" s="1"/>
  <c r="AIE33" i="30"/>
  <c r="AIE64" i="30" s="1"/>
  <c r="AID33" i="30"/>
  <c r="AID64" i="30" s="1"/>
  <c r="AIC33" i="30"/>
  <c r="AIC64" i="30" s="1"/>
  <c r="AIB33" i="30"/>
  <c r="AIB64" i="30" s="1"/>
  <c r="AIA33" i="30"/>
  <c r="AIA64" i="30" s="1"/>
  <c r="AHZ33" i="30"/>
  <c r="AHZ64" i="30" s="1"/>
  <c r="AHY33" i="30"/>
  <c r="AHY57" i="30" s="1"/>
  <c r="AHX33" i="30"/>
  <c r="AHX57" i="30" s="1"/>
  <c r="AHW33" i="30"/>
  <c r="AHW64" i="30" s="1"/>
  <c r="AHV33" i="30"/>
  <c r="AHV64" i="30" s="1"/>
  <c r="AHU33" i="30"/>
  <c r="AHU64" i="30" s="1"/>
  <c r="AHT33" i="30"/>
  <c r="AHT64" i="30" s="1"/>
  <c r="AHS33" i="30"/>
  <c r="AHR33" i="30"/>
  <c r="AHQ33" i="30"/>
  <c r="AHP33" i="30"/>
  <c r="AHP64" i="30" s="1"/>
  <c r="AHO33" i="30"/>
  <c r="AHO64" i="30" s="1"/>
  <c r="AHN33" i="30"/>
  <c r="AHN57" i="30" s="1"/>
  <c r="AHM33" i="30"/>
  <c r="AHM57" i="30" s="1"/>
  <c r="AHL33" i="30"/>
  <c r="AHK33" i="30"/>
  <c r="AHJ33" i="30"/>
  <c r="AHJ64" i="30" s="1"/>
  <c r="AHI33" i="30"/>
  <c r="AHI64" i="30" s="1"/>
  <c r="AHH33" i="30"/>
  <c r="AHH64" i="30" s="1"/>
  <c r="AHG33" i="30"/>
  <c r="AHF33" i="30"/>
  <c r="AHE33" i="30"/>
  <c r="AHD33" i="30"/>
  <c r="AHC33" i="30"/>
  <c r="AHB33" i="30"/>
  <c r="AHA33" i="30"/>
  <c r="AHA64" i="30" s="1"/>
  <c r="AGZ33" i="30"/>
  <c r="AGY33" i="30"/>
  <c r="AGX33" i="30"/>
  <c r="AGX57" i="30" s="1"/>
  <c r="AGW33" i="30"/>
  <c r="AGW57" i="30" s="1"/>
  <c r="AGV33" i="30"/>
  <c r="AGV64" i="30" s="1"/>
  <c r="AGU33" i="30"/>
  <c r="AGU64" i="30" s="1"/>
  <c r="AGT33" i="30"/>
  <c r="AGT64" i="30" s="1"/>
  <c r="AGS33" i="30"/>
  <c r="AGS64" i="30" s="1"/>
  <c r="AGR33" i="30"/>
  <c r="AGQ33" i="30"/>
  <c r="AGP33" i="30"/>
  <c r="AGO33" i="30"/>
  <c r="AGO57" i="30" s="1"/>
  <c r="AGN33" i="30"/>
  <c r="AGN57" i="30" s="1"/>
  <c r="AGM33" i="30"/>
  <c r="AGM64" i="30" s="1"/>
  <c r="AGL33" i="30"/>
  <c r="AGL64" i="30" s="1"/>
  <c r="AGK33" i="30"/>
  <c r="AGK64" i="30" s="1"/>
  <c r="AGJ33" i="30"/>
  <c r="AGJ64" i="30" s="1"/>
  <c r="ALW26" i="30"/>
  <c r="ALW63" i="30" s="1"/>
  <c r="ALV26" i="30"/>
  <c r="ALV63" i="30" s="1"/>
  <c r="ALU26" i="30"/>
  <c r="ALU63" i="30" s="1"/>
  <c r="ALT26" i="30"/>
  <c r="ALT63" i="30" s="1"/>
  <c r="ALS26" i="30"/>
  <c r="ALS63" i="30" s="1"/>
  <c r="ALR26" i="30"/>
  <c r="ALR63" i="30" s="1"/>
  <c r="ALQ26" i="30"/>
  <c r="ALQ63" i="30" s="1"/>
  <c r="ALP26" i="30"/>
  <c r="ALP56" i="30" s="1"/>
  <c r="ALO26" i="30"/>
  <c r="ALO56" i="30" s="1"/>
  <c r="ALN26" i="30"/>
  <c r="ALN56" i="30" s="1"/>
  <c r="ALM26" i="30"/>
  <c r="ALM56" i="30" s="1"/>
  <c r="ALL26" i="30"/>
  <c r="ALL56" i="30" s="1"/>
  <c r="ALK26" i="30"/>
  <c r="ALJ26" i="30"/>
  <c r="ALI26" i="30"/>
  <c r="ALH26" i="30"/>
  <c r="ALH63" i="30" s="1"/>
  <c r="ALG26" i="30"/>
  <c r="ALG63" i="30" s="1"/>
  <c r="ALF26" i="30"/>
  <c r="ALF63" i="30" s="1"/>
  <c r="ALE26" i="30"/>
  <c r="ALE63" i="30" s="1"/>
  <c r="ALD26" i="30"/>
  <c r="ALD56" i="30" s="1"/>
  <c r="ALC26" i="30"/>
  <c r="ALC56" i="30" s="1"/>
  <c r="ALB26" i="30"/>
  <c r="ALB56" i="30" s="1"/>
  <c r="ALA26" i="30"/>
  <c r="ALA63" i="30" s="1"/>
  <c r="AKZ26" i="30"/>
  <c r="AKZ63" i="30" s="1"/>
  <c r="AKY26" i="30"/>
  <c r="AKX26" i="30"/>
  <c r="AKW26" i="30"/>
  <c r="AKV26" i="30"/>
  <c r="AKU26" i="30"/>
  <c r="AKT26" i="30"/>
  <c r="AKS26" i="30"/>
  <c r="AKS63" i="30" s="1"/>
  <c r="AKR26" i="30"/>
  <c r="AKR63" i="30" s="1"/>
  <c r="AKQ26" i="30"/>
  <c r="AKQ63" i="30" s="1"/>
  <c r="AKP26" i="30"/>
  <c r="AKP63" i="30" s="1"/>
  <c r="AKO26" i="30"/>
  <c r="AKO63" i="30" s="1"/>
  <c r="AKN26" i="30"/>
  <c r="AKN63" i="30" s="1"/>
  <c r="AKM26" i="30"/>
  <c r="AKM63" i="30" s="1"/>
  <c r="AKL26" i="30"/>
  <c r="AKL56" i="30" s="1"/>
  <c r="AKK26" i="30"/>
  <c r="AKK63" i="30" s="1"/>
  <c r="AKJ26" i="30"/>
  <c r="AKJ56" i="30" s="1"/>
  <c r="AKI26" i="30"/>
  <c r="AKI56" i="30" s="1"/>
  <c r="AKH26" i="30"/>
  <c r="AKH56" i="30" s="1"/>
  <c r="AKG26" i="30"/>
  <c r="AKG63" i="30" s="1"/>
  <c r="AKF26" i="30"/>
  <c r="AKF63" i="30" s="1"/>
  <c r="AKE26" i="30"/>
  <c r="AKE63" i="30" s="1"/>
  <c r="AKD26" i="30"/>
  <c r="AKD63" i="30" s="1"/>
  <c r="AKC26" i="30"/>
  <c r="AKC63" i="30" s="1"/>
  <c r="AKB26" i="30"/>
  <c r="AKB63" i="30" s="1"/>
  <c r="AKA26" i="30"/>
  <c r="AKA63" i="30" s="1"/>
  <c r="AJZ26" i="30"/>
  <c r="AJZ63" i="30" s="1"/>
  <c r="AJY26" i="30"/>
  <c r="AJY63" i="30" s="1"/>
  <c r="AJX26" i="30"/>
  <c r="AJX63" i="30" s="1"/>
  <c r="AJW26" i="30"/>
  <c r="AJW63" i="30" s="1"/>
  <c r="AJV26" i="30"/>
  <c r="AJV56" i="30" s="1"/>
  <c r="AJU26" i="30"/>
  <c r="AJU56" i="30" s="1"/>
  <c r="AJT26" i="30"/>
  <c r="AJT63" i="30" s="1"/>
  <c r="AJS26" i="30"/>
  <c r="AJS63" i="30" s="1"/>
  <c r="AJR26" i="30"/>
  <c r="AJR63" i="30" s="1"/>
  <c r="AJQ26" i="30"/>
  <c r="AJQ56" i="30" s="1"/>
  <c r="AJP26" i="30"/>
  <c r="AJP63" i="30" s="1"/>
  <c r="AJO26" i="30"/>
  <c r="AJN26" i="30"/>
  <c r="AJM26" i="30"/>
  <c r="AJL26" i="30"/>
  <c r="AJL63" i="30" s="1"/>
  <c r="AJK26" i="30"/>
  <c r="AJK63" i="30" s="1"/>
  <c r="AJJ26" i="30"/>
  <c r="AJJ63" i="30" s="1"/>
  <c r="AJI26" i="30"/>
  <c r="AJI63" i="30" s="1"/>
  <c r="AJH26" i="30"/>
  <c r="AJH63" i="30" s="1"/>
  <c r="AJG26" i="30"/>
  <c r="AJG63" i="30" s="1"/>
  <c r="AJF26" i="30"/>
  <c r="AJF63" i="30" s="1"/>
  <c r="AJE26" i="30"/>
  <c r="AJE63" i="30" s="1"/>
  <c r="AJD26" i="30"/>
  <c r="AJD63" i="30" s="1"/>
  <c r="AJC26" i="30"/>
  <c r="AJB26" i="30"/>
  <c r="AJA26" i="30"/>
  <c r="AIZ26" i="30"/>
  <c r="AIY26" i="30"/>
  <c r="AIY56" i="30" s="1"/>
  <c r="AIX26" i="30"/>
  <c r="AIX56" i="30" s="1"/>
  <c r="AIW26" i="30"/>
  <c r="AIW63" i="30" s="1"/>
  <c r="AIV26" i="30"/>
  <c r="AIV63" i="30" s="1"/>
  <c r="AIU26" i="30"/>
  <c r="AIU56" i="30" s="1"/>
  <c r="AIT26" i="30"/>
  <c r="AIT63" i="30" s="1"/>
  <c r="AIS26" i="30"/>
  <c r="AIS63" i="30" s="1"/>
  <c r="AIR26" i="30"/>
  <c r="AIR63" i="30" s="1"/>
  <c r="AIQ26" i="30"/>
  <c r="AIP26" i="30"/>
  <c r="AIP63" i="30" s="1"/>
  <c r="AIO26" i="30"/>
  <c r="AIO63" i="30" s="1"/>
  <c r="AIN26" i="30"/>
  <c r="AIM26" i="30"/>
  <c r="AIM56" i="30" s="1"/>
  <c r="AIL26" i="30"/>
  <c r="AIK26" i="30"/>
  <c r="AIK56" i="30" s="1"/>
  <c r="AIJ26" i="30"/>
  <c r="AIJ63" i="30" s="1"/>
  <c r="AII26" i="30"/>
  <c r="AII56" i="30" s="1"/>
  <c r="AIH26" i="30"/>
  <c r="AIH56" i="30" s="1"/>
  <c r="AIG26" i="30"/>
  <c r="AIG63" i="30" s="1"/>
  <c r="AIF26" i="30"/>
  <c r="AIF63" i="30" s="1"/>
  <c r="AIE26" i="30"/>
  <c r="AIE63" i="30" s="1"/>
  <c r="AID26" i="30"/>
  <c r="AID63" i="30" s="1"/>
  <c r="AIC26" i="30"/>
  <c r="AIC63" i="30" s="1"/>
  <c r="AIB26" i="30"/>
  <c r="AIB63" i="30" s="1"/>
  <c r="AIA26" i="30"/>
  <c r="AIA63" i="30" s="1"/>
  <c r="AHZ26" i="30"/>
  <c r="AHZ63" i="30" s="1"/>
  <c r="AHY26" i="30"/>
  <c r="AHY63" i="30" s="1"/>
  <c r="AHX26" i="30"/>
  <c r="AHX63" i="30" s="1"/>
  <c r="AHW26" i="30"/>
  <c r="AHV26" i="30"/>
  <c r="AHU26" i="30"/>
  <c r="AHU56" i="30" s="1"/>
  <c r="AHT26" i="30"/>
  <c r="AHT63" i="30" s="1"/>
  <c r="AHS26" i="30"/>
  <c r="AHR26" i="30"/>
  <c r="AHQ26" i="30"/>
  <c r="AHP26" i="30"/>
  <c r="AHP63" i="30" s="1"/>
  <c r="AHO26" i="30"/>
  <c r="AHO63" i="30" s="1"/>
  <c r="AHN26" i="30"/>
  <c r="AHN56" i="30" s="1"/>
  <c r="AHM26" i="30"/>
  <c r="AHM63" i="30" s="1"/>
  <c r="AHL26" i="30"/>
  <c r="AHL63" i="30" s="1"/>
  <c r="AHK26" i="30"/>
  <c r="AHK56" i="30" s="1"/>
  <c r="AHJ26" i="30"/>
  <c r="AHJ63" i="30" s="1"/>
  <c r="AHI26" i="30"/>
  <c r="AHI63" i="30" s="1"/>
  <c r="AHH26" i="30"/>
  <c r="AHH63" i="30" s="1"/>
  <c r="AHG26" i="30"/>
  <c r="AHF26" i="30"/>
  <c r="AHE26" i="30"/>
  <c r="AHD26" i="30"/>
  <c r="AHC26" i="30"/>
  <c r="AHB26" i="30"/>
  <c r="AHB56" i="30" s="1"/>
  <c r="AHA26" i="30"/>
  <c r="AHA63" i="30" s="1"/>
  <c r="AGZ26" i="30"/>
  <c r="AGZ63" i="30" s="1"/>
  <c r="AGY26" i="30"/>
  <c r="AGY56" i="30" s="1"/>
  <c r="AGX26" i="30"/>
  <c r="AGX56" i="30" s="1"/>
  <c r="AGW26" i="30"/>
  <c r="AGW56" i="30" s="1"/>
  <c r="AGV26" i="30"/>
  <c r="AGV63" i="30" s="1"/>
  <c r="AGU26" i="30"/>
  <c r="AGU63" i="30" s="1"/>
  <c r="AGT26" i="30"/>
  <c r="AGT63" i="30" s="1"/>
  <c r="AGS26" i="30"/>
  <c r="AGS63" i="30" s="1"/>
  <c r="AGR26" i="30"/>
  <c r="AGQ26" i="30"/>
  <c r="AGP26" i="30"/>
  <c r="AGO26" i="30"/>
  <c r="AGO63" i="30" s="1"/>
  <c r="AGN26" i="30"/>
  <c r="AGN63" i="30" s="1"/>
  <c r="AGM26" i="30"/>
  <c r="AGM63" i="30" s="1"/>
  <c r="AGL26" i="30"/>
  <c r="AGL63" i="30" s="1"/>
  <c r="AGK26" i="30"/>
  <c r="AGK63" i="30" s="1"/>
  <c r="AGJ26" i="30"/>
  <c r="AGJ63" i="30" s="1"/>
  <c r="ALW23" i="30"/>
  <c r="ALV23" i="30"/>
  <c r="ALU23" i="30"/>
  <c r="ALT23" i="30"/>
  <c r="ALS23" i="30"/>
  <c r="ALR23" i="30"/>
  <c r="ALR22" i="30" s="1"/>
  <c r="ALR60" i="30" s="1"/>
  <c r="ALQ23" i="30"/>
  <c r="ALQ22" i="30" s="1"/>
  <c r="ALQ60" i="30" s="1"/>
  <c r="ALP23" i="30"/>
  <c r="ALP22" i="30" s="1"/>
  <c r="ALP60" i="30" s="1"/>
  <c r="ALO23" i="30"/>
  <c r="ALO22" i="30" s="1"/>
  <c r="ALO60" i="30" s="1"/>
  <c r="ALN23" i="30"/>
  <c r="ALN22" i="30" s="1"/>
  <c r="ALN60" i="30" s="1"/>
  <c r="ALM23" i="30"/>
  <c r="ALM22" i="30" s="1"/>
  <c r="ALM60" i="30" s="1"/>
  <c r="ALL23" i="30"/>
  <c r="ALL22" i="30" s="1"/>
  <c r="ALL60" i="30" s="1"/>
  <c r="ALK23" i="30"/>
  <c r="ALK22" i="30" s="1"/>
  <c r="ALK60" i="30" s="1"/>
  <c r="ALJ23" i="30"/>
  <c r="ALJ22" i="30" s="1"/>
  <c r="ALJ60" i="30" s="1"/>
  <c r="ALI23" i="30"/>
  <c r="ALI22" i="30" s="1"/>
  <c r="ALI60" i="30" s="1"/>
  <c r="ALH23" i="30"/>
  <c r="ALG23" i="30"/>
  <c r="ALG22" i="30" s="1"/>
  <c r="ALG60" i="30" s="1"/>
  <c r="ALF23" i="30"/>
  <c r="ALE23" i="30"/>
  <c r="ALE22" i="30" s="1"/>
  <c r="ALE60" i="30" s="1"/>
  <c r="ALD23" i="30"/>
  <c r="ALD22" i="30" s="1"/>
  <c r="ALD60" i="30" s="1"/>
  <c r="ALC23" i="30"/>
  <c r="ALC22" i="30" s="1"/>
  <c r="ALC60" i="30" s="1"/>
  <c r="ALB23" i="30"/>
  <c r="ALA23" i="30"/>
  <c r="ALA22" i="30" s="1"/>
  <c r="ALA60" i="30" s="1"/>
  <c r="AKZ23" i="30"/>
  <c r="AKZ22" i="30" s="1"/>
  <c r="AKZ60" i="30" s="1"/>
  <c r="AKY23" i="30"/>
  <c r="AKY22" i="30" s="1"/>
  <c r="AKY60" i="30" s="1"/>
  <c r="AKX23" i="30"/>
  <c r="AKX22" i="30" s="1"/>
  <c r="AKX60" i="30" s="1"/>
  <c r="AKW23" i="30"/>
  <c r="AKW22" i="30" s="1"/>
  <c r="AKW60" i="30" s="1"/>
  <c r="AKV23" i="30"/>
  <c r="AKU23" i="30"/>
  <c r="AKU22" i="30" s="1"/>
  <c r="AKU60" i="30" s="1"/>
  <c r="AKT23" i="30"/>
  <c r="AKS23" i="30"/>
  <c r="AKS22" i="30" s="1"/>
  <c r="AKS60" i="30" s="1"/>
  <c r="AKR23" i="30"/>
  <c r="AKR22" i="30" s="1"/>
  <c r="AKR60" i="30" s="1"/>
  <c r="AKQ23" i="30"/>
  <c r="AKQ22" i="30" s="1"/>
  <c r="AKQ60" i="30" s="1"/>
  <c r="AKP23" i="30"/>
  <c r="AKP22" i="30" s="1"/>
  <c r="AKP60" i="30" s="1"/>
  <c r="AKO23" i="30"/>
  <c r="AKO22" i="30" s="1"/>
  <c r="AKO60" i="30" s="1"/>
  <c r="AKN23" i="30"/>
  <c r="AKN22" i="30" s="1"/>
  <c r="AKN60" i="30" s="1"/>
  <c r="AKM23" i="30"/>
  <c r="AKM22" i="30" s="1"/>
  <c r="AKM60" i="30" s="1"/>
  <c r="AKL23" i="30"/>
  <c r="AKL22" i="30" s="1"/>
  <c r="AKL60" i="30" s="1"/>
  <c r="AKK23" i="30"/>
  <c r="AKK22" i="30" s="1"/>
  <c r="AKK60" i="30" s="1"/>
  <c r="AKJ23" i="30"/>
  <c r="AKI23" i="30"/>
  <c r="AKI22" i="30" s="1"/>
  <c r="AKI60" i="30" s="1"/>
  <c r="AKH23" i="30"/>
  <c r="AKG23" i="30"/>
  <c r="AKG22" i="30" s="1"/>
  <c r="AKG60" i="30" s="1"/>
  <c r="AKF23" i="30"/>
  <c r="AKF22" i="30" s="1"/>
  <c r="AKF60" i="30" s="1"/>
  <c r="AKE23" i="30"/>
  <c r="AKE22" i="30" s="1"/>
  <c r="AKE60" i="30" s="1"/>
  <c r="AKD23" i="30"/>
  <c r="AKC23" i="30"/>
  <c r="AKC22" i="30" s="1"/>
  <c r="AKC60" i="30" s="1"/>
  <c r="AKB23" i="30"/>
  <c r="AKB22" i="30" s="1"/>
  <c r="AKB60" i="30" s="1"/>
  <c r="AKA23" i="30"/>
  <c r="AKA22" i="30" s="1"/>
  <c r="AKA60" i="30" s="1"/>
  <c r="AJZ23" i="30"/>
  <c r="AJZ22" i="30" s="1"/>
  <c r="AJZ60" i="30" s="1"/>
  <c r="AJY23" i="30"/>
  <c r="AJY22" i="30" s="1"/>
  <c r="AJY60" i="30" s="1"/>
  <c r="AJX23" i="30"/>
  <c r="AJW23" i="30"/>
  <c r="AJW22" i="30" s="1"/>
  <c r="AJW60" i="30" s="1"/>
  <c r="AJV23" i="30"/>
  <c r="AJU23" i="30"/>
  <c r="AJU22" i="30" s="1"/>
  <c r="AJU60" i="30" s="1"/>
  <c r="AJT23" i="30"/>
  <c r="AJT22" i="30" s="1"/>
  <c r="AJT60" i="30" s="1"/>
  <c r="AJS23" i="30"/>
  <c r="AJS22" i="30" s="1"/>
  <c r="AJS60" i="30" s="1"/>
  <c r="AJR23" i="30"/>
  <c r="AJR22" i="30" s="1"/>
  <c r="AJR60" i="30" s="1"/>
  <c r="AJQ23" i="30"/>
  <c r="AJQ22" i="30" s="1"/>
  <c r="AJQ60" i="30" s="1"/>
  <c r="AJP23" i="30"/>
  <c r="AJP22" i="30" s="1"/>
  <c r="AJP60" i="30" s="1"/>
  <c r="AJO23" i="30"/>
  <c r="AJO22" i="30" s="1"/>
  <c r="AJO60" i="30" s="1"/>
  <c r="AJN23" i="30"/>
  <c r="AJN22" i="30" s="1"/>
  <c r="AJN60" i="30" s="1"/>
  <c r="AJM23" i="30"/>
  <c r="AJM22" i="30" s="1"/>
  <c r="AJM60" i="30" s="1"/>
  <c r="AJL23" i="30"/>
  <c r="AJK23" i="30"/>
  <c r="AJK22" i="30" s="1"/>
  <c r="AJK60" i="30" s="1"/>
  <c r="AJJ23" i="30"/>
  <c r="AJI23" i="30"/>
  <c r="AJI22" i="30" s="1"/>
  <c r="AJI60" i="30" s="1"/>
  <c r="AJH23" i="30"/>
  <c r="AJH22" i="30" s="1"/>
  <c r="AJH60" i="30" s="1"/>
  <c r="AJG23" i="30"/>
  <c r="AJG22" i="30" s="1"/>
  <c r="AJG60" i="30" s="1"/>
  <c r="AJF23" i="30"/>
  <c r="AJF22" i="30" s="1"/>
  <c r="AJF60" i="30" s="1"/>
  <c r="AJE23" i="30"/>
  <c r="AJE22" i="30" s="1"/>
  <c r="AJE60" i="30" s="1"/>
  <c r="AJD23" i="30"/>
  <c r="AJD22" i="30" s="1"/>
  <c r="AJD60" i="30" s="1"/>
  <c r="AJC23" i="30"/>
  <c r="AJC22" i="30" s="1"/>
  <c r="AJC60" i="30" s="1"/>
  <c r="AJB23" i="30"/>
  <c r="AJB22" i="30" s="1"/>
  <c r="AJB60" i="30" s="1"/>
  <c r="AJA23" i="30"/>
  <c r="AJA22" i="30" s="1"/>
  <c r="AJA60" i="30" s="1"/>
  <c r="AIZ23" i="30"/>
  <c r="AIY23" i="30"/>
  <c r="AIY22" i="30" s="1"/>
  <c r="AIY60" i="30" s="1"/>
  <c r="AIX23" i="30"/>
  <c r="AIW23" i="30"/>
  <c r="AIW22" i="30" s="1"/>
  <c r="AIW60" i="30" s="1"/>
  <c r="AIV23" i="30"/>
  <c r="AIV22" i="30" s="1"/>
  <c r="AIV60" i="30" s="1"/>
  <c r="AIU23" i="30"/>
  <c r="AIU22" i="30" s="1"/>
  <c r="AIU60" i="30" s="1"/>
  <c r="AIT23" i="30"/>
  <c r="AIT22" i="30" s="1"/>
  <c r="AIT60" i="30" s="1"/>
  <c r="AIS23" i="30"/>
  <c r="AIS22" i="30" s="1"/>
  <c r="AIS60" i="30" s="1"/>
  <c r="AIR23" i="30"/>
  <c r="AIR22" i="30" s="1"/>
  <c r="AIR60" i="30" s="1"/>
  <c r="AIQ23" i="30"/>
  <c r="AIQ22" i="30" s="1"/>
  <c r="AIQ60" i="30" s="1"/>
  <c r="AIP23" i="30"/>
  <c r="AIP22" i="30" s="1"/>
  <c r="AIP60" i="30" s="1"/>
  <c r="AIO23" i="30"/>
  <c r="AIO22" i="30" s="1"/>
  <c r="AIO60" i="30" s="1"/>
  <c r="AIN23" i="30"/>
  <c r="AIM23" i="30"/>
  <c r="AIM22" i="30" s="1"/>
  <c r="AIM60" i="30" s="1"/>
  <c r="AIL23" i="30"/>
  <c r="AIK23" i="30"/>
  <c r="AIK22" i="30" s="1"/>
  <c r="AIK60" i="30" s="1"/>
  <c r="AIJ23" i="30"/>
  <c r="AIJ22" i="30" s="1"/>
  <c r="AIJ60" i="30" s="1"/>
  <c r="AII23" i="30"/>
  <c r="AII22" i="30" s="1"/>
  <c r="AII60" i="30" s="1"/>
  <c r="AIH23" i="30"/>
  <c r="AIH22" i="30" s="1"/>
  <c r="AIH60" i="30" s="1"/>
  <c r="AIG23" i="30"/>
  <c r="AIG22" i="30" s="1"/>
  <c r="AIG60" i="30" s="1"/>
  <c r="AIF23" i="30"/>
  <c r="AIF22" i="30" s="1"/>
  <c r="AIF60" i="30" s="1"/>
  <c r="AIE23" i="30"/>
  <c r="AIE22" i="30" s="1"/>
  <c r="AIE60" i="30" s="1"/>
  <c r="AID23" i="30"/>
  <c r="AID22" i="30" s="1"/>
  <c r="AID60" i="30" s="1"/>
  <c r="AIC23" i="30"/>
  <c r="AIC22" i="30" s="1"/>
  <c r="AIC60" i="30" s="1"/>
  <c r="AIB23" i="30"/>
  <c r="AIA23" i="30"/>
  <c r="AIA22" i="30" s="1"/>
  <c r="AIA60" i="30" s="1"/>
  <c r="AHZ23" i="30"/>
  <c r="AHZ22" i="30" s="1"/>
  <c r="AHZ60" i="30" s="1"/>
  <c r="AHY23" i="30"/>
  <c r="AHY22" i="30" s="1"/>
  <c r="AHY60" i="30" s="1"/>
  <c r="AHX23" i="30"/>
  <c r="AHX22" i="30" s="1"/>
  <c r="AHX60" i="30" s="1"/>
  <c r="AHW23" i="30"/>
  <c r="AHW22" i="30" s="1"/>
  <c r="AHW60" i="30" s="1"/>
  <c r="AHV23" i="30"/>
  <c r="AHV22" i="30" s="1"/>
  <c r="AHV60" i="30" s="1"/>
  <c r="AHU23" i="30"/>
  <c r="AHU22" i="30" s="1"/>
  <c r="AHU60" i="30" s="1"/>
  <c r="AHT23" i="30"/>
  <c r="AHT22" i="30" s="1"/>
  <c r="AHT60" i="30" s="1"/>
  <c r="AHS23" i="30"/>
  <c r="AHS22" i="30" s="1"/>
  <c r="AHS60" i="30" s="1"/>
  <c r="AHR23" i="30"/>
  <c r="AHR22" i="30" s="1"/>
  <c r="AHR60" i="30" s="1"/>
  <c r="AHQ23" i="30"/>
  <c r="AHQ22" i="30" s="1"/>
  <c r="AHQ60" i="30" s="1"/>
  <c r="AHP23" i="30"/>
  <c r="AHO23" i="30"/>
  <c r="AHO22" i="30" s="1"/>
  <c r="AHO60" i="30" s="1"/>
  <c r="AHN23" i="30"/>
  <c r="AHM23" i="30"/>
  <c r="AHM22" i="30" s="1"/>
  <c r="AHM60" i="30" s="1"/>
  <c r="AHL23" i="30"/>
  <c r="AHL22" i="30" s="1"/>
  <c r="AHL60" i="30" s="1"/>
  <c r="AHK23" i="30"/>
  <c r="AHK22" i="30" s="1"/>
  <c r="AHK60" i="30" s="1"/>
  <c r="AHJ23" i="30"/>
  <c r="AHI23" i="30"/>
  <c r="AHI22" i="30" s="1"/>
  <c r="AHI60" i="30" s="1"/>
  <c r="AHH23" i="30"/>
  <c r="AHH22" i="30" s="1"/>
  <c r="AHH60" i="30" s="1"/>
  <c r="AHG23" i="30"/>
  <c r="AHG22" i="30" s="1"/>
  <c r="AHG60" i="30" s="1"/>
  <c r="AHF23" i="30"/>
  <c r="AHE23" i="30"/>
  <c r="AHE22" i="30" s="1"/>
  <c r="AHE60" i="30" s="1"/>
  <c r="AHD23" i="30"/>
  <c r="AHC23" i="30"/>
  <c r="AHC22" i="30" s="1"/>
  <c r="AHC60" i="30" s="1"/>
  <c r="AHB23" i="30"/>
  <c r="AHA23" i="30"/>
  <c r="AHA22" i="30" s="1"/>
  <c r="AHA60" i="30" s="1"/>
  <c r="AGZ23" i="30"/>
  <c r="AGZ22" i="30" s="1"/>
  <c r="AGZ60" i="30" s="1"/>
  <c r="AGY23" i="30"/>
  <c r="AGY22" i="30" s="1"/>
  <c r="AGY60" i="30" s="1"/>
  <c r="AGX23" i="30"/>
  <c r="AGX22" i="30" s="1"/>
  <c r="AGX60" i="30" s="1"/>
  <c r="AGW23" i="30"/>
  <c r="AGW22" i="30" s="1"/>
  <c r="AGW60" i="30" s="1"/>
  <c r="AGV23" i="30"/>
  <c r="AGV22" i="30" s="1"/>
  <c r="AGV60" i="30" s="1"/>
  <c r="AGU23" i="30"/>
  <c r="AGU22" i="30" s="1"/>
  <c r="AGU60" i="30" s="1"/>
  <c r="AGT23" i="30"/>
  <c r="AGT22" i="30" s="1"/>
  <c r="AGT60" i="30" s="1"/>
  <c r="AGS23" i="30"/>
  <c r="AGS22" i="30" s="1"/>
  <c r="AGS60" i="30" s="1"/>
  <c r="AGR23" i="30"/>
  <c r="AGQ23" i="30"/>
  <c r="AGQ22" i="30" s="1"/>
  <c r="AGQ60" i="30" s="1"/>
  <c r="AGP23" i="30"/>
  <c r="AGO23" i="30"/>
  <c r="AGO22" i="30" s="1"/>
  <c r="AGO60" i="30" s="1"/>
  <c r="AGN23" i="30"/>
  <c r="AGN22" i="30" s="1"/>
  <c r="AGN60" i="30" s="1"/>
  <c r="AGM23" i="30"/>
  <c r="AGM22" i="30" s="1"/>
  <c r="AGM60" i="30" s="1"/>
  <c r="AGL23" i="30"/>
  <c r="AGL22" i="30" s="1"/>
  <c r="AGL60" i="30" s="1"/>
  <c r="AGK23" i="30"/>
  <c r="AGK22" i="30" s="1"/>
  <c r="AGK60" i="30" s="1"/>
  <c r="AGJ23" i="30"/>
  <c r="AGJ22" i="30" s="1"/>
  <c r="AGJ60" i="30" s="1"/>
  <c r="ALW22" i="30"/>
  <c r="ALW60" i="30" s="1"/>
  <c r="ALV22" i="30"/>
  <c r="ALV60" i="30" s="1"/>
  <c r="ALU22" i="30"/>
  <c r="ALU60" i="30" s="1"/>
  <c r="ALT22" i="30"/>
  <c r="ALT60" i="30" s="1"/>
  <c r="ALS22" i="30"/>
  <c r="ALS60" i="30" s="1"/>
  <c r="ALH22" i="30"/>
  <c r="ALH60" i="30" s="1"/>
  <c r="ALF22" i="30"/>
  <c r="ALF60" i="30" s="1"/>
  <c r="ALB22" i="30"/>
  <c r="ALB60" i="30" s="1"/>
  <c r="AKV22" i="30"/>
  <c r="AKV60" i="30" s="1"/>
  <c r="AKT22" i="30"/>
  <c r="AKT60" i="30" s="1"/>
  <c r="AKJ22" i="30"/>
  <c r="AKJ60" i="30" s="1"/>
  <c r="AKH22" i="30"/>
  <c r="AKH60" i="30" s="1"/>
  <c r="AKD22" i="30"/>
  <c r="AKD60" i="30" s="1"/>
  <c r="AJX22" i="30"/>
  <c r="AJX60" i="30" s="1"/>
  <c r="AJV22" i="30"/>
  <c r="AJV60" i="30" s="1"/>
  <c r="AJL22" i="30"/>
  <c r="AJL60" i="30" s="1"/>
  <c r="AJJ22" i="30"/>
  <c r="AJJ60" i="30" s="1"/>
  <c r="AIZ22" i="30"/>
  <c r="AIZ60" i="30" s="1"/>
  <c r="AIX22" i="30"/>
  <c r="AIX60" i="30" s="1"/>
  <c r="AIN22" i="30"/>
  <c r="AIN60" i="30" s="1"/>
  <c r="AIL22" i="30"/>
  <c r="AIL60" i="30" s="1"/>
  <c r="AIB22" i="30"/>
  <c r="AIB60" i="30" s="1"/>
  <c r="AHP22" i="30"/>
  <c r="AHP60" i="30" s="1"/>
  <c r="AHN22" i="30"/>
  <c r="AHN60" i="30" s="1"/>
  <c r="AHJ22" i="30"/>
  <c r="AHJ60" i="30" s="1"/>
  <c r="AHF22" i="30"/>
  <c r="AHF60" i="30" s="1"/>
  <c r="AHD22" i="30"/>
  <c r="AHD60" i="30" s="1"/>
  <c r="AHB22" i="30"/>
  <c r="AHB60" i="30" s="1"/>
  <c r="AGR22" i="30"/>
  <c r="AGR60" i="30" s="1"/>
  <c r="AGP22" i="30"/>
  <c r="AGP60" i="30" s="1"/>
  <c r="ALW19" i="30"/>
  <c r="ALV19" i="30"/>
  <c r="ALU19" i="30"/>
  <c r="ALT19" i="30"/>
  <c r="ALS19" i="30"/>
  <c r="ALR19" i="30"/>
  <c r="ALQ19" i="30"/>
  <c r="ALP19" i="30"/>
  <c r="ALO19" i="30"/>
  <c r="ALN19" i="30"/>
  <c r="ALM19" i="30"/>
  <c r="ALL19" i="30"/>
  <c r="ALK19" i="30"/>
  <c r="ALJ19" i="30"/>
  <c r="ALI19" i="30"/>
  <c r="ALH19" i="30"/>
  <c r="ALG19" i="30"/>
  <c r="ALF19" i="30"/>
  <c r="ALE19" i="30"/>
  <c r="ALD19" i="30"/>
  <c r="ALC19" i="30"/>
  <c r="ALB19" i="30"/>
  <c r="ALA19" i="30"/>
  <c r="AKZ19" i="30"/>
  <c r="AKY19" i="30"/>
  <c r="AKX19" i="30"/>
  <c r="AKW19" i="30"/>
  <c r="AKV19" i="30"/>
  <c r="AKV18" i="30" s="1"/>
  <c r="AKV61" i="30" s="1"/>
  <c r="AKU19" i="30"/>
  <c r="AKU18" i="30" s="1"/>
  <c r="AKU61" i="30" s="1"/>
  <c r="AKT19" i="30"/>
  <c r="AKT18" i="30" s="1"/>
  <c r="AKT61" i="30" s="1"/>
  <c r="AKS19" i="30"/>
  <c r="AKS18" i="30" s="1"/>
  <c r="AKS61" i="30" s="1"/>
  <c r="AKR19" i="30"/>
  <c r="AKR18" i="30" s="1"/>
  <c r="AKR61" i="30" s="1"/>
  <c r="AKQ19" i="30"/>
  <c r="AKQ18" i="30" s="1"/>
  <c r="AKQ61" i="30" s="1"/>
  <c r="AKP19" i="30"/>
  <c r="AKP18" i="30" s="1"/>
  <c r="AKP61" i="30" s="1"/>
  <c r="AKO19" i="30"/>
  <c r="AKO18" i="30" s="1"/>
  <c r="AKO61" i="30" s="1"/>
  <c r="AKN19" i="30"/>
  <c r="AKN18" i="30" s="1"/>
  <c r="AKN61" i="30" s="1"/>
  <c r="AKM19" i="30"/>
  <c r="AKM18" i="30" s="1"/>
  <c r="AKM61" i="30" s="1"/>
  <c r="AKL19" i="30"/>
  <c r="AKL18" i="30" s="1"/>
  <c r="AKL61" i="30" s="1"/>
  <c r="AKK19" i="30"/>
  <c r="AKK18" i="30" s="1"/>
  <c r="AKK61" i="30" s="1"/>
  <c r="AKJ19" i="30"/>
  <c r="AKJ18" i="30" s="1"/>
  <c r="AKJ61" i="30" s="1"/>
  <c r="AKI19" i="30"/>
  <c r="AKI18" i="30" s="1"/>
  <c r="AKI61" i="30" s="1"/>
  <c r="AKH19" i="30"/>
  <c r="AKH18" i="30" s="1"/>
  <c r="AKH61" i="30" s="1"/>
  <c r="AKG19" i="30"/>
  <c r="AKG18" i="30" s="1"/>
  <c r="AKG61" i="30" s="1"/>
  <c r="AKF19" i="30"/>
  <c r="AKF18" i="30" s="1"/>
  <c r="AKF61" i="30" s="1"/>
  <c r="AKE19" i="30"/>
  <c r="AKE18" i="30" s="1"/>
  <c r="AKE61" i="30" s="1"/>
  <c r="AKD19" i="30"/>
  <c r="AKD18" i="30" s="1"/>
  <c r="AKD61" i="30" s="1"/>
  <c r="AKC19" i="30"/>
  <c r="AKC18" i="30" s="1"/>
  <c r="AKC61" i="30" s="1"/>
  <c r="AKB19" i="30"/>
  <c r="AKB18" i="30" s="1"/>
  <c r="AKB61" i="30" s="1"/>
  <c r="AKA19" i="30"/>
  <c r="AKA18" i="30" s="1"/>
  <c r="AKA61" i="30" s="1"/>
  <c r="AJZ19" i="30"/>
  <c r="AJZ18" i="30" s="1"/>
  <c r="AJZ61" i="30" s="1"/>
  <c r="AJY19" i="30"/>
  <c r="AJY18" i="30" s="1"/>
  <c r="AJY61" i="30" s="1"/>
  <c r="AJX19" i="30"/>
  <c r="AJX18" i="30" s="1"/>
  <c r="AJX61" i="30" s="1"/>
  <c r="AJW19" i="30"/>
  <c r="AJW18" i="30" s="1"/>
  <c r="AJW61" i="30" s="1"/>
  <c r="AJV19" i="30"/>
  <c r="AJV18" i="30" s="1"/>
  <c r="AJV61" i="30" s="1"/>
  <c r="AJU19" i="30"/>
  <c r="AJU18" i="30" s="1"/>
  <c r="AJU61" i="30" s="1"/>
  <c r="AJT19" i="30"/>
  <c r="AJS19" i="30"/>
  <c r="AJS18" i="30" s="1"/>
  <c r="AJS61" i="30" s="1"/>
  <c r="AJR19" i="30"/>
  <c r="AJQ19" i="30"/>
  <c r="AJQ18" i="30" s="1"/>
  <c r="AJQ61" i="30" s="1"/>
  <c r="AJP19" i="30"/>
  <c r="AJP18" i="30" s="1"/>
  <c r="AJP61" i="30" s="1"/>
  <c r="AJO19" i="30"/>
  <c r="AJO18" i="30" s="1"/>
  <c r="AJO61" i="30" s="1"/>
  <c r="AJN19" i="30"/>
  <c r="AJN18" i="30" s="1"/>
  <c r="AJN61" i="30" s="1"/>
  <c r="AJM19" i="30"/>
  <c r="AJM18" i="30" s="1"/>
  <c r="AJM61" i="30" s="1"/>
  <c r="AJL19" i="30"/>
  <c r="AJL18" i="30" s="1"/>
  <c r="AJL61" i="30" s="1"/>
  <c r="AJK19" i="30"/>
  <c r="AJJ19" i="30"/>
  <c r="AJJ18" i="30" s="1"/>
  <c r="AJJ61" i="30" s="1"/>
  <c r="AJI19" i="30"/>
  <c r="AJH19" i="30"/>
  <c r="AJH18" i="30" s="1"/>
  <c r="AJH61" i="30" s="1"/>
  <c r="AJG19" i="30"/>
  <c r="AJG18" i="30" s="1"/>
  <c r="AJG61" i="30" s="1"/>
  <c r="AJF19" i="30"/>
  <c r="AJF18" i="30" s="1"/>
  <c r="AJF61" i="30" s="1"/>
  <c r="AJE19" i="30"/>
  <c r="AJE18" i="30" s="1"/>
  <c r="AJE61" i="30" s="1"/>
  <c r="AJD19" i="30"/>
  <c r="AJD18" i="30" s="1"/>
  <c r="AJD61" i="30" s="1"/>
  <c r="AJC19" i="30"/>
  <c r="AJC18" i="30" s="1"/>
  <c r="AJC61" i="30" s="1"/>
  <c r="AJB19" i="30"/>
  <c r="AJB18" i="30" s="1"/>
  <c r="AJB61" i="30" s="1"/>
  <c r="AJA19" i="30"/>
  <c r="AJA18" i="30" s="1"/>
  <c r="AJA61" i="30" s="1"/>
  <c r="AIZ19" i="30"/>
  <c r="AIY19" i="30"/>
  <c r="AIY18" i="30" s="1"/>
  <c r="AIY61" i="30" s="1"/>
  <c r="AIX19" i="30"/>
  <c r="AIX18" i="30" s="1"/>
  <c r="AIX61" i="30" s="1"/>
  <c r="AIW19" i="30"/>
  <c r="AIW18" i="30" s="1"/>
  <c r="AIW61" i="30" s="1"/>
  <c r="AIV19" i="30"/>
  <c r="AIV18" i="30" s="1"/>
  <c r="AIV61" i="30" s="1"/>
  <c r="AIU19" i="30"/>
  <c r="AIU18" i="30" s="1"/>
  <c r="AIU61" i="30" s="1"/>
  <c r="AIT19" i="30"/>
  <c r="AIT18" i="30" s="1"/>
  <c r="AIT61" i="30" s="1"/>
  <c r="AIS19" i="30"/>
  <c r="AIS18" i="30" s="1"/>
  <c r="AIS61" i="30" s="1"/>
  <c r="AIR19" i="30"/>
  <c r="AIR18" i="30" s="1"/>
  <c r="AIR61" i="30" s="1"/>
  <c r="AIQ19" i="30"/>
  <c r="AIQ18" i="30" s="1"/>
  <c r="AIQ61" i="30" s="1"/>
  <c r="AIP19" i="30"/>
  <c r="AIP18" i="30" s="1"/>
  <c r="AIP61" i="30" s="1"/>
  <c r="AIO19" i="30"/>
  <c r="AIO18" i="30" s="1"/>
  <c r="AIO61" i="30" s="1"/>
  <c r="AIN19" i="30"/>
  <c r="AIM19" i="30"/>
  <c r="AIM18" i="30" s="1"/>
  <c r="AIM61" i="30" s="1"/>
  <c r="AIL19" i="30"/>
  <c r="AIL18" i="30" s="1"/>
  <c r="AIL61" i="30" s="1"/>
  <c r="AIK19" i="30"/>
  <c r="AIK18" i="30" s="1"/>
  <c r="AIK61" i="30" s="1"/>
  <c r="AIJ19" i="30"/>
  <c r="AIJ18" i="30" s="1"/>
  <c r="AIJ61" i="30" s="1"/>
  <c r="AII19" i="30"/>
  <c r="AII18" i="30" s="1"/>
  <c r="AII61" i="30" s="1"/>
  <c r="AIH19" i="30"/>
  <c r="AIH18" i="30" s="1"/>
  <c r="AIH61" i="30" s="1"/>
  <c r="AIG19" i="30"/>
  <c r="AIG18" i="30" s="1"/>
  <c r="AIG61" i="30" s="1"/>
  <c r="AIF19" i="30"/>
  <c r="AIF18" i="30" s="1"/>
  <c r="AIF61" i="30" s="1"/>
  <c r="AIE19" i="30"/>
  <c r="AIE18" i="30" s="1"/>
  <c r="AIE61" i="30" s="1"/>
  <c r="AID19" i="30"/>
  <c r="AID18" i="30" s="1"/>
  <c r="AID61" i="30" s="1"/>
  <c r="AIC19" i="30"/>
  <c r="AIC18" i="30" s="1"/>
  <c r="AIC61" i="30" s="1"/>
  <c r="AIB19" i="30"/>
  <c r="AIA19" i="30"/>
  <c r="AIA18" i="30" s="1"/>
  <c r="AIA61" i="30" s="1"/>
  <c r="AHZ19" i="30"/>
  <c r="AHZ18" i="30" s="1"/>
  <c r="AHZ61" i="30" s="1"/>
  <c r="AHY19" i="30"/>
  <c r="AHY18" i="30" s="1"/>
  <c r="AHY61" i="30" s="1"/>
  <c r="AHX19" i="30"/>
  <c r="AHX18" i="30" s="1"/>
  <c r="AHX61" i="30" s="1"/>
  <c r="AHW19" i="30"/>
  <c r="AHV19" i="30"/>
  <c r="AHV18" i="30" s="1"/>
  <c r="AHV61" i="30" s="1"/>
  <c r="AHU19" i="30"/>
  <c r="AHU18" i="30" s="1"/>
  <c r="AHU61" i="30" s="1"/>
  <c r="AHT19" i="30"/>
  <c r="AHT18" i="30" s="1"/>
  <c r="AHT61" i="30" s="1"/>
  <c r="AHS19" i="30"/>
  <c r="AHS18" i="30" s="1"/>
  <c r="AHS61" i="30" s="1"/>
  <c r="AHR19" i="30"/>
  <c r="AHR18" i="30" s="1"/>
  <c r="AHR61" i="30" s="1"/>
  <c r="AHQ19" i="30"/>
  <c r="AHQ18" i="30" s="1"/>
  <c r="AHQ61" i="30" s="1"/>
  <c r="AHP19" i="30"/>
  <c r="AHO19" i="30"/>
  <c r="AHO18" i="30" s="1"/>
  <c r="AHO61" i="30" s="1"/>
  <c r="AHN19" i="30"/>
  <c r="AHN18" i="30" s="1"/>
  <c r="AHN61" i="30" s="1"/>
  <c r="AHM19" i="30"/>
  <c r="AHM18" i="30" s="1"/>
  <c r="AHM61" i="30" s="1"/>
  <c r="AHL19" i="30"/>
  <c r="AHL18" i="30" s="1"/>
  <c r="AHL61" i="30" s="1"/>
  <c r="AHK19" i="30"/>
  <c r="AHK18" i="30" s="1"/>
  <c r="AHK61" i="30" s="1"/>
  <c r="AHJ19" i="30"/>
  <c r="AHJ18" i="30" s="1"/>
  <c r="AHJ61" i="30" s="1"/>
  <c r="AHI19" i="30"/>
  <c r="AHI18" i="30" s="1"/>
  <c r="AHI61" i="30" s="1"/>
  <c r="AHH19" i="30"/>
  <c r="AHH18" i="30" s="1"/>
  <c r="AHH61" i="30" s="1"/>
  <c r="AHG19" i="30"/>
  <c r="AHG18" i="30" s="1"/>
  <c r="AHG61" i="30" s="1"/>
  <c r="AHF19" i="30"/>
  <c r="AHF18" i="30" s="1"/>
  <c r="AHF61" i="30" s="1"/>
  <c r="AHE19" i="30"/>
  <c r="AHE18" i="30" s="1"/>
  <c r="AHE61" i="30" s="1"/>
  <c r="AHD19" i="30"/>
  <c r="AHD18" i="30" s="1"/>
  <c r="AHD61" i="30" s="1"/>
  <c r="AHC19" i="30"/>
  <c r="AHC18" i="30" s="1"/>
  <c r="AHC61" i="30" s="1"/>
  <c r="AHB19" i="30"/>
  <c r="AHB18" i="30" s="1"/>
  <c r="AHB61" i="30" s="1"/>
  <c r="AHA19" i="30"/>
  <c r="AHA18" i="30" s="1"/>
  <c r="AHA61" i="30" s="1"/>
  <c r="AGZ19" i="30"/>
  <c r="AGZ18" i="30" s="1"/>
  <c r="AGZ61" i="30" s="1"/>
  <c r="AGY19" i="30"/>
  <c r="AGY18" i="30" s="1"/>
  <c r="AGY61" i="30" s="1"/>
  <c r="AGX19" i="30"/>
  <c r="AGX18" i="30" s="1"/>
  <c r="AGX61" i="30" s="1"/>
  <c r="AGW19" i="30"/>
  <c r="AGW18" i="30" s="1"/>
  <c r="AGW61" i="30" s="1"/>
  <c r="AGV19" i="30"/>
  <c r="AGV18" i="30" s="1"/>
  <c r="AGV61" i="30" s="1"/>
  <c r="AGU19" i="30"/>
  <c r="AGU18" i="30" s="1"/>
  <c r="AGU61" i="30" s="1"/>
  <c r="AGT19" i="30"/>
  <c r="AGT18" i="30" s="1"/>
  <c r="AGT61" i="30" s="1"/>
  <c r="AGS19" i="30"/>
  <c r="AGS18" i="30" s="1"/>
  <c r="AGS61" i="30" s="1"/>
  <c r="AGR19" i="30"/>
  <c r="AGR18" i="30" s="1"/>
  <c r="AGR61" i="30" s="1"/>
  <c r="AGQ19" i="30"/>
  <c r="AGQ18" i="30" s="1"/>
  <c r="AGQ61" i="30" s="1"/>
  <c r="AGP19" i="30"/>
  <c r="AGP18" i="30" s="1"/>
  <c r="AGP61" i="30" s="1"/>
  <c r="AGO19" i="30"/>
  <c r="AGO18" i="30" s="1"/>
  <c r="AGO61" i="30" s="1"/>
  <c r="AGN19" i="30"/>
  <c r="AGM19" i="30"/>
  <c r="AGM18" i="30" s="1"/>
  <c r="AGM61" i="30" s="1"/>
  <c r="AGL19" i="30"/>
  <c r="AGL18" i="30" s="1"/>
  <c r="AGL61" i="30" s="1"/>
  <c r="AGK19" i="30"/>
  <c r="AGK18" i="30" s="1"/>
  <c r="AGK61" i="30" s="1"/>
  <c r="AGJ19" i="30"/>
  <c r="AGJ18" i="30" s="1"/>
  <c r="AGJ61" i="30" s="1"/>
  <c r="ALW18" i="30"/>
  <c r="ALW61" i="30" s="1"/>
  <c r="ALV18" i="30"/>
  <c r="ALV61" i="30" s="1"/>
  <c r="ALU18" i="30"/>
  <c r="ALU61" i="30" s="1"/>
  <c r="ALT18" i="30"/>
  <c r="ALT61" i="30" s="1"/>
  <c r="ALS18" i="30"/>
  <c r="ALS61" i="30" s="1"/>
  <c r="ALR18" i="30"/>
  <c r="ALR61" i="30" s="1"/>
  <c r="ALQ18" i="30"/>
  <c r="ALQ61" i="30" s="1"/>
  <c r="ALP18" i="30"/>
  <c r="ALP61" i="30" s="1"/>
  <c r="ALO18" i="30"/>
  <c r="ALO61" i="30" s="1"/>
  <c r="ALN18" i="30"/>
  <c r="ALN61" i="30" s="1"/>
  <c r="ALM18" i="30"/>
  <c r="ALM61" i="30" s="1"/>
  <c r="ALL18" i="30"/>
  <c r="ALL61" i="30" s="1"/>
  <c r="ALK18" i="30"/>
  <c r="ALK61" i="30" s="1"/>
  <c r="ALJ18" i="30"/>
  <c r="ALJ61" i="30" s="1"/>
  <c r="ALI18" i="30"/>
  <c r="ALI61" i="30" s="1"/>
  <c r="ALH18" i="30"/>
  <c r="ALH61" i="30" s="1"/>
  <c r="ALG18" i="30"/>
  <c r="ALG61" i="30" s="1"/>
  <c r="ALF18" i="30"/>
  <c r="ALF61" i="30" s="1"/>
  <c r="ALE18" i="30"/>
  <c r="ALE61" i="30" s="1"/>
  <c r="ALD18" i="30"/>
  <c r="ALD61" i="30" s="1"/>
  <c r="ALC18" i="30"/>
  <c r="ALC61" i="30" s="1"/>
  <c r="ALB18" i="30"/>
  <c r="ALB61" i="30" s="1"/>
  <c r="ALA18" i="30"/>
  <c r="ALA61" i="30" s="1"/>
  <c r="AKZ18" i="30"/>
  <c r="AKZ61" i="30" s="1"/>
  <c r="AKY18" i="30"/>
  <c r="AKY61" i="30" s="1"/>
  <c r="AKX18" i="30"/>
  <c r="AKX61" i="30" s="1"/>
  <c r="AKW18" i="30"/>
  <c r="AKW61" i="30" s="1"/>
  <c r="AJT18" i="30"/>
  <c r="AJT61" i="30" s="1"/>
  <c r="AJR18" i="30"/>
  <c r="AJR61" i="30" s="1"/>
  <c r="AJK18" i="30"/>
  <c r="AJK61" i="30" s="1"/>
  <c r="AJI18" i="30"/>
  <c r="AJI61" i="30" s="1"/>
  <c r="AIZ18" i="30"/>
  <c r="AIZ61" i="30" s="1"/>
  <c r="AIN18" i="30"/>
  <c r="AIN61" i="30" s="1"/>
  <c r="AIB18" i="30"/>
  <c r="AIB61" i="30" s="1"/>
  <c r="AHW18" i="30"/>
  <c r="AHW61" i="30" s="1"/>
  <c r="AHP18" i="30"/>
  <c r="AHP61" i="30" s="1"/>
  <c r="AGN18" i="30"/>
  <c r="AGN61" i="30" s="1"/>
  <c r="ALW16" i="30"/>
  <c r="ALV16" i="30"/>
  <c r="ALU16" i="30"/>
  <c r="ALT16" i="30"/>
  <c r="ALS16" i="30"/>
  <c r="ALS15" i="30" s="1"/>
  <c r="ALR16" i="30"/>
  <c r="ALR15" i="30" s="1"/>
  <c r="ALQ16" i="30"/>
  <c r="ALQ15" i="30" s="1"/>
  <c r="ALP16" i="30"/>
  <c r="ALP15" i="30" s="1"/>
  <c r="ALO16" i="30"/>
  <c r="ALO15" i="30" s="1"/>
  <c r="ALN16" i="30"/>
  <c r="ALN15" i="30" s="1"/>
  <c r="ALM16" i="30"/>
  <c r="ALL16" i="30"/>
  <c r="ALL15" i="30" s="1"/>
  <c r="ALK16" i="30"/>
  <c r="ALK15" i="30" s="1"/>
  <c r="ALJ16" i="30"/>
  <c r="ALJ15" i="30" s="1"/>
  <c r="ALI16" i="30"/>
  <c r="ALH16" i="30"/>
  <c r="ALH15" i="30" s="1"/>
  <c r="ALG16" i="30"/>
  <c r="ALG15" i="30" s="1"/>
  <c r="ALF16" i="30"/>
  <c r="ALF15" i="30" s="1"/>
  <c r="ALE16" i="30"/>
  <c r="ALE15" i="30" s="1"/>
  <c r="ALD16" i="30"/>
  <c r="ALD15" i="30" s="1"/>
  <c r="ALC16" i="30"/>
  <c r="ALC15" i="30" s="1"/>
  <c r="ALB16" i="30"/>
  <c r="ALB15" i="30" s="1"/>
  <c r="ALA16" i="30"/>
  <c r="ALA15" i="30" s="1"/>
  <c r="AKZ16" i="30"/>
  <c r="AKZ15" i="30" s="1"/>
  <c r="AKY16" i="30"/>
  <c r="AKY15" i="30" s="1"/>
  <c r="AKX16" i="30"/>
  <c r="AKX15" i="30" s="1"/>
  <c r="AKW16" i="30"/>
  <c r="AKV16" i="30"/>
  <c r="AKV15" i="30" s="1"/>
  <c r="AKU16" i="30"/>
  <c r="AKU15" i="30" s="1"/>
  <c r="AKT16" i="30"/>
  <c r="AKT15" i="30" s="1"/>
  <c r="AKS16" i="30"/>
  <c r="AKS15" i="30" s="1"/>
  <c r="AKR16" i="30"/>
  <c r="AKR15" i="30" s="1"/>
  <c r="AKQ16" i="30"/>
  <c r="AKQ15" i="30" s="1"/>
  <c r="AKP16" i="30"/>
  <c r="AKP15" i="30" s="1"/>
  <c r="AKO16" i="30"/>
  <c r="AKO15" i="30" s="1"/>
  <c r="AKN16" i="30"/>
  <c r="AKN15" i="30" s="1"/>
  <c r="AKM16" i="30"/>
  <c r="AKM15" i="30" s="1"/>
  <c r="AKL16" i="30"/>
  <c r="AKL15" i="30" s="1"/>
  <c r="AKK16" i="30"/>
  <c r="AKK15" i="30" s="1"/>
  <c r="AKJ16" i="30"/>
  <c r="AKJ15" i="30" s="1"/>
  <c r="AKI16" i="30"/>
  <c r="AKI15" i="30" s="1"/>
  <c r="AKH16" i="30"/>
  <c r="AKH15" i="30" s="1"/>
  <c r="AKG16" i="30"/>
  <c r="AKG15" i="30" s="1"/>
  <c r="AKF16" i="30"/>
  <c r="AKF15" i="30" s="1"/>
  <c r="AKE16" i="30"/>
  <c r="AKE15" i="30" s="1"/>
  <c r="AKD16" i="30"/>
  <c r="AKD15" i="30" s="1"/>
  <c r="AKC16" i="30"/>
  <c r="AKC15" i="30" s="1"/>
  <c r="AKB16" i="30"/>
  <c r="AKB15" i="30" s="1"/>
  <c r="AKA16" i="30"/>
  <c r="AKA15" i="30" s="1"/>
  <c r="AJZ16" i="30"/>
  <c r="AJZ15" i="30" s="1"/>
  <c r="AJY16" i="30"/>
  <c r="AJX16" i="30"/>
  <c r="AJX15" i="30" s="1"/>
  <c r="AJW16" i="30"/>
  <c r="AJW15" i="30" s="1"/>
  <c r="AJV16" i="30"/>
  <c r="AJV15" i="30" s="1"/>
  <c r="AJU16" i="30"/>
  <c r="AJU15" i="30" s="1"/>
  <c r="AJT16" i="30"/>
  <c r="AJT15" i="30" s="1"/>
  <c r="AJS16" i="30"/>
  <c r="AJS15" i="30" s="1"/>
  <c r="AJR16" i="30"/>
  <c r="AJR15" i="30" s="1"/>
  <c r="AJQ16" i="30"/>
  <c r="AJQ15" i="30" s="1"/>
  <c r="AJP16" i="30"/>
  <c r="AJP15" i="30" s="1"/>
  <c r="AJO16" i="30"/>
  <c r="AJO15" i="30" s="1"/>
  <c r="AJN16" i="30"/>
  <c r="AJN15" i="30" s="1"/>
  <c r="AJM16" i="30"/>
  <c r="AJL16" i="30"/>
  <c r="AJL15" i="30" s="1"/>
  <c r="AJK16" i="30"/>
  <c r="AJK15" i="30" s="1"/>
  <c r="AJJ16" i="30"/>
  <c r="AJJ15" i="30" s="1"/>
  <c r="AJI16" i="30"/>
  <c r="AJI15" i="30" s="1"/>
  <c r="AJH16" i="30"/>
  <c r="AJH15" i="30" s="1"/>
  <c r="AJG16" i="30"/>
  <c r="AJG15" i="30" s="1"/>
  <c r="AJF16" i="30"/>
  <c r="AJF15" i="30" s="1"/>
  <c r="AJE16" i="30"/>
  <c r="AJE15" i="30" s="1"/>
  <c r="AJD16" i="30"/>
  <c r="AJD15" i="30" s="1"/>
  <c r="AJC16" i="30"/>
  <c r="AJC15" i="30" s="1"/>
  <c r="AJB16" i="30"/>
  <c r="AJB15" i="30" s="1"/>
  <c r="AJA16" i="30"/>
  <c r="AIZ16" i="30"/>
  <c r="AIZ15" i="30" s="1"/>
  <c r="AIY16" i="30"/>
  <c r="AIY15" i="30" s="1"/>
  <c r="AIX16" i="30"/>
  <c r="AIX15" i="30" s="1"/>
  <c r="AIW16" i="30"/>
  <c r="AIW15" i="30" s="1"/>
  <c r="AIV16" i="30"/>
  <c r="AIV15" i="30" s="1"/>
  <c r="AIU16" i="30"/>
  <c r="AIU15" i="30" s="1"/>
  <c r="AIT16" i="30"/>
  <c r="AIT15" i="30" s="1"/>
  <c r="AIS16" i="30"/>
  <c r="AIS15" i="30" s="1"/>
  <c r="AIR16" i="30"/>
  <c r="AIQ16" i="30"/>
  <c r="AIQ15" i="30" s="1"/>
  <c r="AIP16" i="30"/>
  <c r="AIP15" i="30" s="1"/>
  <c r="AIO16" i="30"/>
  <c r="AIO15" i="30" s="1"/>
  <c r="AIN16" i="30"/>
  <c r="AIN15" i="30" s="1"/>
  <c r="AIM16" i="30"/>
  <c r="AIM15" i="30" s="1"/>
  <c r="AIL16" i="30"/>
  <c r="AIL15" i="30" s="1"/>
  <c r="AIK16" i="30"/>
  <c r="AIK15" i="30" s="1"/>
  <c r="AIJ16" i="30"/>
  <c r="AIJ15" i="30" s="1"/>
  <c r="AII16" i="30"/>
  <c r="AII15" i="30" s="1"/>
  <c r="AIH16" i="30"/>
  <c r="AIH15" i="30" s="1"/>
  <c r="AIG16" i="30"/>
  <c r="AIG15" i="30" s="1"/>
  <c r="AIF16" i="30"/>
  <c r="AIF15" i="30" s="1"/>
  <c r="AIE16" i="30"/>
  <c r="AIE15" i="30" s="1"/>
  <c r="AID16" i="30"/>
  <c r="AID15" i="30" s="1"/>
  <c r="AIC16" i="30"/>
  <c r="AIB16" i="30"/>
  <c r="AIB15" i="30" s="1"/>
  <c r="AIA16" i="30"/>
  <c r="AIA15" i="30" s="1"/>
  <c r="AHZ16" i="30"/>
  <c r="AHZ15" i="30" s="1"/>
  <c r="AHY16" i="30"/>
  <c r="AHY15" i="30" s="1"/>
  <c r="AHX16" i="30"/>
  <c r="AHX15" i="30" s="1"/>
  <c r="AHW16" i="30"/>
  <c r="AHW15" i="30" s="1"/>
  <c r="AHV16" i="30"/>
  <c r="AHV15" i="30" s="1"/>
  <c r="AHU16" i="30"/>
  <c r="AHU15" i="30" s="1"/>
  <c r="AHT16" i="30"/>
  <c r="AHT15" i="30" s="1"/>
  <c r="AHS16" i="30"/>
  <c r="AHS15" i="30" s="1"/>
  <c r="AHR16" i="30"/>
  <c r="AHR15" i="30" s="1"/>
  <c r="AHQ16" i="30"/>
  <c r="AHP16" i="30"/>
  <c r="AHP15" i="30" s="1"/>
  <c r="AHO16" i="30"/>
  <c r="AHO15" i="30" s="1"/>
  <c r="AHN16" i="30"/>
  <c r="AHN15" i="30" s="1"/>
  <c r="AHM16" i="30"/>
  <c r="AHM15" i="30" s="1"/>
  <c r="AHL16" i="30"/>
  <c r="AHL15" i="30" s="1"/>
  <c r="AHK16" i="30"/>
  <c r="AHK15" i="30" s="1"/>
  <c r="AHJ16" i="30"/>
  <c r="AHJ15" i="30" s="1"/>
  <c r="AHI16" i="30"/>
  <c r="AHI15" i="30" s="1"/>
  <c r="AHH16" i="30"/>
  <c r="AHH15" i="30" s="1"/>
  <c r="AHG16" i="30"/>
  <c r="AHG15" i="30" s="1"/>
  <c r="AHF16" i="30"/>
  <c r="AHE16" i="30"/>
  <c r="AHD16" i="30"/>
  <c r="AHD15" i="30" s="1"/>
  <c r="AHC16" i="30"/>
  <c r="AHC15" i="30" s="1"/>
  <c r="AHB16" i="30"/>
  <c r="AHB15" i="30" s="1"/>
  <c r="AHA16" i="30"/>
  <c r="AGZ16" i="30"/>
  <c r="AGZ15" i="30" s="1"/>
  <c r="AGY16" i="30"/>
  <c r="AGY15" i="30" s="1"/>
  <c r="AGX16" i="30"/>
  <c r="AGX15" i="30" s="1"/>
  <c r="AGW16" i="30"/>
  <c r="AGW15" i="30" s="1"/>
  <c r="AGV16" i="30"/>
  <c r="AGV15" i="30" s="1"/>
  <c r="AGU16" i="30"/>
  <c r="AGU15" i="30" s="1"/>
  <c r="AGT16" i="30"/>
  <c r="AGT15" i="30" s="1"/>
  <c r="AGS16" i="30"/>
  <c r="AGR16" i="30"/>
  <c r="AGR15" i="30" s="1"/>
  <c r="AGQ16" i="30"/>
  <c r="AGQ15" i="30" s="1"/>
  <c r="AGP16" i="30"/>
  <c r="AGP15" i="30" s="1"/>
  <c r="AGO16" i="30"/>
  <c r="AGO15" i="30" s="1"/>
  <c r="AGN16" i="30"/>
  <c r="AGN15" i="30" s="1"/>
  <c r="AGM16" i="30"/>
  <c r="AGM15" i="30" s="1"/>
  <c r="AGL16" i="30"/>
  <c r="AGL15" i="30" s="1"/>
  <c r="AGK16" i="30"/>
  <c r="AGK15" i="30" s="1"/>
  <c r="AGJ16" i="30"/>
  <c r="AGJ15" i="30" s="1"/>
  <c r="ALW15" i="30"/>
  <c r="ALV15" i="30"/>
  <c r="ALU15" i="30"/>
  <c r="ALT15" i="30"/>
  <c r="ALM15" i="30"/>
  <c r="ALI15" i="30"/>
  <c r="AKW15" i="30"/>
  <c r="AJY15" i="30"/>
  <c r="AJM15" i="30"/>
  <c r="AJA15" i="30"/>
  <c r="AIR15" i="30"/>
  <c r="AIC15" i="30"/>
  <c r="AHQ15" i="30"/>
  <c r="AHF15" i="30"/>
  <c r="AHE15" i="30"/>
  <c r="AHA15" i="30"/>
  <c r="AGS15" i="30"/>
  <c r="ADH57" i="30"/>
  <c r="AGI49" i="30"/>
  <c r="AGH49" i="30"/>
  <c r="AGG49" i="30"/>
  <c r="AGF49" i="30"/>
  <c r="AGE49" i="30"/>
  <c r="AGD49" i="30"/>
  <c r="AGC49" i="30"/>
  <c r="AGB49" i="30"/>
  <c r="AGA49" i="30"/>
  <c r="AFZ49" i="30"/>
  <c r="AFY49" i="30"/>
  <c r="AFX49" i="30"/>
  <c r="AFW49" i="30"/>
  <c r="AFV49" i="30"/>
  <c r="AFU49" i="30"/>
  <c r="AFT49" i="30"/>
  <c r="AFS49" i="30"/>
  <c r="AFR49" i="30"/>
  <c r="AFQ49" i="30"/>
  <c r="AFP49" i="30"/>
  <c r="AFO49" i="30"/>
  <c r="AFN49" i="30"/>
  <c r="AFM49" i="30"/>
  <c r="AFL49" i="30"/>
  <c r="AFK49" i="30"/>
  <c r="AFJ49" i="30"/>
  <c r="AFI49" i="30"/>
  <c r="AFH49" i="30"/>
  <c r="AFG49" i="30"/>
  <c r="AFF49" i="30"/>
  <c r="AFE49" i="30"/>
  <c r="AFD49" i="30"/>
  <c r="AFC49" i="30"/>
  <c r="AFC48" i="30" s="1"/>
  <c r="AFB49" i="30"/>
  <c r="AFB48" i="30" s="1"/>
  <c r="AFA49" i="30"/>
  <c r="AFA48" i="30" s="1"/>
  <c r="AEZ49" i="30"/>
  <c r="AEZ48" i="30" s="1"/>
  <c r="AEY49" i="30"/>
  <c r="AEY48" i="30" s="1"/>
  <c r="AEX49" i="30"/>
  <c r="AEX48" i="30" s="1"/>
  <c r="AEW49" i="30"/>
  <c r="AEW48" i="30" s="1"/>
  <c r="AEV49" i="30"/>
  <c r="AEV48" i="30" s="1"/>
  <c r="AEU49" i="30"/>
  <c r="AEU48" i="30" s="1"/>
  <c r="AET49" i="30"/>
  <c r="AET48" i="30" s="1"/>
  <c r="AES49" i="30"/>
  <c r="AES48" i="30" s="1"/>
  <c r="AER49" i="30"/>
  <c r="AER48" i="30" s="1"/>
  <c r="AEQ49" i="30"/>
  <c r="AEQ48" i="30" s="1"/>
  <c r="AEP49" i="30"/>
  <c r="AEP48" i="30" s="1"/>
  <c r="AEO49" i="30"/>
  <c r="AEO48" i="30" s="1"/>
  <c r="AEN49" i="30"/>
  <c r="AEN48" i="30" s="1"/>
  <c r="AEM49" i="30"/>
  <c r="AEM48" i="30" s="1"/>
  <c r="AEL49" i="30"/>
  <c r="AEL48" i="30" s="1"/>
  <c r="AEK49" i="30"/>
  <c r="AEK48" i="30" s="1"/>
  <c r="AEJ49" i="30"/>
  <c r="AEJ48" i="30" s="1"/>
  <c r="AEI49" i="30"/>
  <c r="AEI48" i="30" s="1"/>
  <c r="AEH49" i="30"/>
  <c r="AEH48" i="30" s="1"/>
  <c r="AEG49" i="30"/>
  <c r="AEF49" i="30"/>
  <c r="AEF48" i="30" s="1"/>
  <c r="AEE49" i="30"/>
  <c r="AEE48" i="30" s="1"/>
  <c r="AED49" i="30"/>
  <c r="AED48" i="30" s="1"/>
  <c r="AEC49" i="30"/>
  <c r="AEC48" i="30" s="1"/>
  <c r="AEB49" i="30"/>
  <c r="AEB48" i="30" s="1"/>
  <c r="AEA49" i="30"/>
  <c r="AEA48" i="30" s="1"/>
  <c r="ADZ49" i="30"/>
  <c r="ADZ48" i="30" s="1"/>
  <c r="ADY49" i="30"/>
  <c r="ADY48" i="30" s="1"/>
  <c r="ADX49" i="30"/>
  <c r="ADX48" i="30" s="1"/>
  <c r="ADW49" i="30"/>
  <c r="ADW48" i="30" s="1"/>
  <c r="ADV49" i="30"/>
  <c r="ADV48" i="30" s="1"/>
  <c r="ADU49" i="30"/>
  <c r="ADU48" i="30" s="1"/>
  <c r="ADT49" i="30"/>
  <c r="ADT48" i="30" s="1"/>
  <c r="ADS49" i="30"/>
  <c r="ADS48" i="30" s="1"/>
  <c r="ADR49" i="30"/>
  <c r="ADR48" i="30" s="1"/>
  <c r="ADQ49" i="30"/>
  <c r="ADQ48" i="30" s="1"/>
  <c r="ADP49" i="30"/>
  <c r="ADP48" i="30" s="1"/>
  <c r="ADO49" i="30"/>
  <c r="ADO48" i="30" s="1"/>
  <c r="ADN49" i="30"/>
  <c r="ADN48" i="30" s="1"/>
  <c r="ADM49" i="30"/>
  <c r="ADM48" i="30" s="1"/>
  <c r="ADL49" i="30"/>
  <c r="ADL48" i="30" s="1"/>
  <c r="ADK49" i="30"/>
  <c r="ADJ49" i="30"/>
  <c r="ADJ48" i="30" s="1"/>
  <c r="ADI49" i="30"/>
  <c r="ADI48" i="30" s="1"/>
  <c r="ADH49" i="30"/>
  <c r="ADH48" i="30" s="1"/>
  <c r="ADG49" i="30"/>
  <c r="ADG48" i="30" s="1"/>
  <c r="ADF49" i="30"/>
  <c r="ADF48" i="30" s="1"/>
  <c r="ADE49" i="30"/>
  <c r="ADE48" i="30" s="1"/>
  <c r="ADD49" i="30"/>
  <c r="ADD48" i="30" s="1"/>
  <c r="ADC49" i="30"/>
  <c r="ADC48" i="30" s="1"/>
  <c r="ADB49" i="30"/>
  <c r="ADB48" i="30" s="1"/>
  <c r="ADA49" i="30"/>
  <c r="ADA48" i="30" s="1"/>
  <c r="ACZ49" i="30"/>
  <c r="ACZ48" i="30" s="1"/>
  <c r="ACY49" i="30"/>
  <c r="ACY48" i="30" s="1"/>
  <c r="ACX49" i="30"/>
  <c r="ACX48" i="30" s="1"/>
  <c r="ACW49" i="30"/>
  <c r="ACW48" i="30" s="1"/>
  <c r="ACV49" i="30"/>
  <c r="ACV48" i="30" s="1"/>
  <c r="ACU49" i="30"/>
  <c r="ACU48" i="30" s="1"/>
  <c r="ACT49" i="30"/>
  <c r="ACT48" i="30" s="1"/>
  <c r="ACS49" i="30"/>
  <c r="ACS48" i="30" s="1"/>
  <c r="ACR49" i="30"/>
  <c r="ACR48" i="30" s="1"/>
  <c r="ACQ49" i="30"/>
  <c r="ACQ48" i="30" s="1"/>
  <c r="ACP49" i="30"/>
  <c r="ACP48" i="30" s="1"/>
  <c r="ACO49" i="30"/>
  <c r="ACO48" i="30" s="1"/>
  <c r="ACN49" i="30"/>
  <c r="ACN48" i="30" s="1"/>
  <c r="ACM49" i="30"/>
  <c r="ACM48" i="30" s="1"/>
  <c r="ACL49" i="30"/>
  <c r="ACL48" i="30" s="1"/>
  <c r="ACK49" i="30"/>
  <c r="ACK48" i="30" s="1"/>
  <c r="ACJ49" i="30"/>
  <c r="ACJ48" i="30" s="1"/>
  <c r="ACI49" i="30"/>
  <c r="ACI48" i="30" s="1"/>
  <c r="ACH49" i="30"/>
  <c r="ACH48" i="30" s="1"/>
  <c r="ACG49" i="30"/>
  <c r="ACG48" i="30" s="1"/>
  <c r="ACF49" i="30"/>
  <c r="ACF48" i="30" s="1"/>
  <c r="ACE49" i="30"/>
  <c r="ACE48" i="30" s="1"/>
  <c r="ACD49" i="30"/>
  <c r="ACD48" i="30" s="1"/>
  <c r="ACC49" i="30"/>
  <c r="ACC48" i="30" s="1"/>
  <c r="ACB49" i="30"/>
  <c r="ACB48" i="30" s="1"/>
  <c r="ACA49" i="30"/>
  <c r="ACA48" i="30" s="1"/>
  <c r="ABZ49" i="30"/>
  <c r="ABZ48" i="30" s="1"/>
  <c r="ABY49" i="30"/>
  <c r="ABY48" i="30" s="1"/>
  <c r="ABX49" i="30"/>
  <c r="ABX48" i="30" s="1"/>
  <c r="ABW49" i="30"/>
  <c r="ABW48" i="30" s="1"/>
  <c r="ABV49" i="30"/>
  <c r="ABV48" i="30" s="1"/>
  <c r="ABU49" i="30"/>
  <c r="ABU48" i="30" s="1"/>
  <c r="ABT49" i="30"/>
  <c r="ABT48" i="30" s="1"/>
  <c r="ABS49" i="30"/>
  <c r="ABS48" i="30" s="1"/>
  <c r="ABR49" i="30"/>
  <c r="ABR48" i="30" s="1"/>
  <c r="ABQ49" i="30"/>
  <c r="ABQ48" i="30" s="1"/>
  <c r="ABP49" i="30"/>
  <c r="ABP48" i="30" s="1"/>
  <c r="ABO49" i="30"/>
  <c r="ABN49" i="30"/>
  <c r="ABN48" i="30" s="1"/>
  <c r="ABM49" i="30"/>
  <c r="ABM48" i="30" s="1"/>
  <c r="ABL49" i="30"/>
  <c r="ABL48" i="30" s="1"/>
  <c r="ABK49" i="30"/>
  <c r="ABK48" i="30" s="1"/>
  <c r="ABJ49" i="30"/>
  <c r="ABJ48" i="30" s="1"/>
  <c r="ABI49" i="30"/>
  <c r="ABI48" i="30" s="1"/>
  <c r="ABH49" i="30"/>
  <c r="ABH48" i="30" s="1"/>
  <c r="ABG49" i="30"/>
  <c r="ABG48" i="30" s="1"/>
  <c r="ABF49" i="30"/>
  <c r="ABF48" i="30" s="1"/>
  <c r="ABE49" i="30"/>
  <c r="ABE48" i="30" s="1"/>
  <c r="ABD49" i="30"/>
  <c r="ABD48" i="30" s="1"/>
  <c r="ABC49" i="30"/>
  <c r="ABC48" i="30" s="1"/>
  <c r="ABB49" i="30"/>
  <c r="ABB48" i="30" s="1"/>
  <c r="ABA49" i="30"/>
  <c r="ABA48" i="30" s="1"/>
  <c r="AAZ49" i="30"/>
  <c r="AAZ48" i="30" s="1"/>
  <c r="AAY49" i="30"/>
  <c r="AAY48" i="30" s="1"/>
  <c r="AAX49" i="30"/>
  <c r="AAX48" i="30" s="1"/>
  <c r="AAW49" i="30"/>
  <c r="AAW48" i="30" s="1"/>
  <c r="AAV49" i="30"/>
  <c r="AAV48" i="30" s="1"/>
  <c r="AGI48" i="30"/>
  <c r="AGH48" i="30"/>
  <c r="AGG48" i="30"/>
  <c r="AGF48" i="30"/>
  <c r="AGE48" i="30"/>
  <c r="AGD48" i="30"/>
  <c r="AGC48" i="30"/>
  <c r="AGB48" i="30"/>
  <c r="AGA48" i="30"/>
  <c r="AFZ48" i="30"/>
  <c r="AFY48" i="30"/>
  <c r="AFX48" i="30"/>
  <c r="AFW48" i="30"/>
  <c r="AFV48" i="30"/>
  <c r="AFU48" i="30"/>
  <c r="AFT48" i="30"/>
  <c r="AFS48" i="30"/>
  <c r="AFR48" i="30"/>
  <c r="AFQ48" i="30"/>
  <c r="AFP48" i="30"/>
  <c r="AFO48" i="30"/>
  <c r="AFN48" i="30"/>
  <c r="AFM48" i="30"/>
  <c r="AFL48" i="30"/>
  <c r="AFK48" i="30"/>
  <c r="AFJ48" i="30"/>
  <c r="AFI48" i="30"/>
  <c r="AFH48" i="30"/>
  <c r="AFG48" i="30"/>
  <c r="AFF48" i="30"/>
  <c r="AFE48" i="30"/>
  <c r="AFD48" i="30"/>
  <c r="AEG48" i="30"/>
  <c r="ADK48" i="30"/>
  <c r="ABO48" i="30"/>
  <c r="AGI44" i="30"/>
  <c r="AGH44" i="30"/>
  <c r="AGG44" i="30"/>
  <c r="AGF44" i="30"/>
  <c r="AGE44" i="30"/>
  <c r="AGD44" i="30"/>
  <c r="AGC44" i="30"/>
  <c r="AGB44" i="30"/>
  <c r="AGA44" i="30"/>
  <c r="AFZ44" i="30"/>
  <c r="AFY44" i="30"/>
  <c r="AFX44" i="30"/>
  <c r="AFW44" i="30"/>
  <c r="AFV44" i="30"/>
  <c r="AFU44" i="30"/>
  <c r="AFT44" i="30"/>
  <c r="AFS44" i="30"/>
  <c r="AFR44" i="30"/>
  <c r="AFQ44" i="30"/>
  <c r="AFP44" i="30"/>
  <c r="AFO44" i="30"/>
  <c r="AFN44" i="30"/>
  <c r="AFM44" i="30"/>
  <c r="AFL44" i="30"/>
  <c r="AFK44" i="30"/>
  <c r="AFJ44" i="30"/>
  <c r="AFJ43" i="30" s="1"/>
  <c r="AFI44" i="30"/>
  <c r="AFI43" i="30" s="1"/>
  <c r="AFH44" i="30"/>
  <c r="AFH43" i="30" s="1"/>
  <c r="AFH59" i="30" s="1"/>
  <c r="AFG44" i="30"/>
  <c r="AFG43" i="30" s="1"/>
  <c r="AFG59" i="30" s="1"/>
  <c r="AFF44" i="30"/>
  <c r="AFF43" i="30" s="1"/>
  <c r="AFF59" i="30" s="1"/>
  <c r="AFE44" i="30"/>
  <c r="AFE43" i="30" s="1"/>
  <c r="AFD44" i="30"/>
  <c r="AFD43" i="30" s="1"/>
  <c r="AFD66" i="30" s="1"/>
  <c r="AFC44" i="30"/>
  <c r="AFC43" i="30" s="1"/>
  <c r="AFB44" i="30"/>
  <c r="AFB43" i="30" s="1"/>
  <c r="AFB66" i="30" s="1"/>
  <c r="AFA44" i="30"/>
  <c r="AFA43" i="30" s="1"/>
  <c r="AFA66" i="30" s="1"/>
  <c r="AEZ44" i="30"/>
  <c r="AEZ43" i="30" s="1"/>
  <c r="AEY44" i="30"/>
  <c r="AEY43" i="30" s="1"/>
  <c r="AEX44" i="30"/>
  <c r="AEX43" i="30" s="1"/>
  <c r="AEW44" i="30"/>
  <c r="AEW43" i="30" s="1"/>
  <c r="AEV44" i="30"/>
  <c r="AEV43" i="30" s="1"/>
  <c r="AEU44" i="30"/>
  <c r="AET44" i="30"/>
  <c r="AET43" i="30" s="1"/>
  <c r="AES44" i="30"/>
  <c r="AES43" i="30" s="1"/>
  <c r="AER44" i="30"/>
  <c r="AER43" i="30" s="1"/>
  <c r="AEQ44" i="30"/>
  <c r="AEQ43" i="30" s="1"/>
  <c r="AEP44" i="30"/>
  <c r="AEP43" i="30" s="1"/>
  <c r="AEP66" i="30" s="1"/>
  <c r="AEO44" i="30"/>
  <c r="AEO43" i="30" s="1"/>
  <c r="AEO59" i="30" s="1"/>
  <c r="AEN44" i="30"/>
  <c r="AEN43" i="30" s="1"/>
  <c r="AEN59" i="30" s="1"/>
  <c r="AEM44" i="30"/>
  <c r="AEM43" i="30" s="1"/>
  <c r="AEL44" i="30"/>
  <c r="AEL43" i="30" s="1"/>
  <c r="AEK44" i="30"/>
  <c r="AEK43" i="30" s="1"/>
  <c r="AEJ44" i="30"/>
  <c r="AEJ43" i="30" s="1"/>
  <c r="AEI44" i="30"/>
  <c r="AEH44" i="30"/>
  <c r="AEH43" i="30" s="1"/>
  <c r="AEH66" i="30" s="1"/>
  <c r="AEG44" i="30"/>
  <c r="AEG43" i="30" s="1"/>
  <c r="AEG59" i="30" s="1"/>
  <c r="AEF44" i="30"/>
  <c r="AEF43" i="30" s="1"/>
  <c r="AEE44" i="30"/>
  <c r="AEE43" i="30" s="1"/>
  <c r="AEE59" i="30" s="1"/>
  <c r="AED44" i="30"/>
  <c r="AED43" i="30" s="1"/>
  <c r="AEC44" i="30"/>
  <c r="AEC43" i="30" s="1"/>
  <c r="AEB44" i="30"/>
  <c r="AEB43" i="30" s="1"/>
  <c r="AEB66" i="30" s="1"/>
  <c r="AEA44" i="30"/>
  <c r="AEA43" i="30" s="1"/>
  <c r="AEA66" i="30" s="1"/>
  <c r="ADZ44" i="30"/>
  <c r="ADZ43" i="30" s="1"/>
  <c r="ADY44" i="30"/>
  <c r="ADY43" i="30" s="1"/>
  <c r="ADX44" i="30"/>
  <c r="ADX43" i="30" s="1"/>
  <c r="ADW44" i="30"/>
  <c r="ADW43" i="30" s="1"/>
  <c r="ADW66" i="30" s="1"/>
  <c r="ADV44" i="30"/>
  <c r="ADV43" i="30" s="1"/>
  <c r="ADV59" i="30" s="1"/>
  <c r="ADU44" i="30"/>
  <c r="ADU43" i="30" s="1"/>
  <c r="ADU66" i="30" s="1"/>
  <c r="ADT44" i="30"/>
  <c r="ADT43" i="30" s="1"/>
  <c r="ADS44" i="30"/>
  <c r="ADS43" i="30" s="1"/>
  <c r="ADR44" i="30"/>
  <c r="ADR43" i="30" s="1"/>
  <c r="ADR59" i="30" s="1"/>
  <c r="ADQ44" i="30"/>
  <c r="ADQ43" i="30" s="1"/>
  <c r="ADP44" i="30"/>
  <c r="ADP43" i="30" s="1"/>
  <c r="ADO44" i="30"/>
  <c r="ADO43" i="30" s="1"/>
  <c r="ADN44" i="30"/>
  <c r="ADN43" i="30" s="1"/>
  <c r="ADM44" i="30"/>
  <c r="ADM43" i="30" s="1"/>
  <c r="ADL44" i="30"/>
  <c r="ADL43" i="30" s="1"/>
  <c r="ADK44" i="30"/>
  <c r="ADK43" i="30" s="1"/>
  <c r="ADK66" i="30" s="1"/>
  <c r="ADJ44" i="30"/>
  <c r="ADJ43" i="30" s="1"/>
  <c r="ADJ66" i="30" s="1"/>
  <c r="ADI44" i="30"/>
  <c r="ADI43" i="30" s="1"/>
  <c r="ADH44" i="30"/>
  <c r="ADH43" i="30" s="1"/>
  <c r="ADG44" i="30"/>
  <c r="ADG43" i="30" s="1"/>
  <c r="ADF44" i="30"/>
  <c r="ADF43" i="30" s="1"/>
  <c r="ADF66" i="30" s="1"/>
  <c r="ADE44" i="30"/>
  <c r="ADE43" i="30" s="1"/>
  <c r="ADE66" i="30" s="1"/>
  <c r="ADD44" i="30"/>
  <c r="ADD43" i="30" s="1"/>
  <c r="ADD66" i="30" s="1"/>
  <c r="ADC44" i="30"/>
  <c r="ADC43" i="30" s="1"/>
  <c r="ADC66" i="30" s="1"/>
  <c r="ADB44" i="30"/>
  <c r="ADB43" i="30" s="1"/>
  <c r="ADA44" i="30"/>
  <c r="ADA43" i="30" s="1"/>
  <c r="ACZ44" i="30"/>
  <c r="ACZ43" i="30" s="1"/>
  <c r="ACY44" i="30"/>
  <c r="ACY43" i="30" s="1"/>
  <c r="ACX44" i="30"/>
  <c r="ACX43" i="30" s="1"/>
  <c r="ACX59" i="30" s="1"/>
  <c r="ACW44" i="30"/>
  <c r="ACV44" i="30"/>
  <c r="ACV43" i="30" s="1"/>
  <c r="ACU44" i="30"/>
  <c r="ACU43" i="30" s="1"/>
  <c r="ACT44" i="30"/>
  <c r="ACT43" i="30" s="1"/>
  <c r="ACT59" i="30" s="1"/>
  <c r="ACS44" i="30"/>
  <c r="ACS43" i="30" s="1"/>
  <c r="ACS66" i="30" s="1"/>
  <c r="ACR44" i="30"/>
  <c r="ACR43" i="30" s="1"/>
  <c r="ACQ44" i="30"/>
  <c r="ACQ43" i="30" s="1"/>
  <c r="ACQ66" i="30" s="1"/>
  <c r="ACP44" i="30"/>
  <c r="ACP43" i="30" s="1"/>
  <c r="ACO44" i="30"/>
  <c r="ACO43" i="30" s="1"/>
  <c r="ACN44" i="30"/>
  <c r="ACN43" i="30" s="1"/>
  <c r="ACM44" i="30"/>
  <c r="ACL44" i="30"/>
  <c r="ACL43" i="30" s="1"/>
  <c r="ACK44" i="30"/>
  <c r="ACK43" i="30" s="1"/>
  <c r="ACK66" i="30" s="1"/>
  <c r="ACJ44" i="30"/>
  <c r="ACJ43" i="30" s="1"/>
  <c r="ACI44" i="30"/>
  <c r="ACI43" i="30" s="1"/>
  <c r="ACH44" i="30"/>
  <c r="ACH43" i="30" s="1"/>
  <c r="ACH66" i="30" s="1"/>
  <c r="ACG44" i="30"/>
  <c r="ACG43" i="30" s="1"/>
  <c r="ACG59" i="30" s="1"/>
  <c r="ACF44" i="30"/>
  <c r="ACF43" i="30" s="1"/>
  <c r="ACF66" i="30" s="1"/>
  <c r="ACE44" i="30"/>
  <c r="ACE43" i="30" s="1"/>
  <c r="ACD44" i="30"/>
  <c r="ACD43" i="30" s="1"/>
  <c r="ACC44" i="30"/>
  <c r="ACC43" i="30" s="1"/>
  <c r="ACB44" i="30"/>
  <c r="ACB43" i="30" s="1"/>
  <c r="ACA44" i="30"/>
  <c r="ABZ44" i="30"/>
  <c r="ABZ43" i="30" s="1"/>
  <c r="ABY44" i="30"/>
  <c r="ABY43" i="30" s="1"/>
  <c r="ABX44" i="30"/>
  <c r="ABX43" i="30" s="1"/>
  <c r="ABW44" i="30"/>
  <c r="ABW43" i="30" s="1"/>
  <c r="ABW66" i="30" s="1"/>
  <c r="ABV44" i="30"/>
  <c r="ABV43" i="30" s="1"/>
  <c r="ABV66" i="30" s="1"/>
  <c r="ABU44" i="30"/>
  <c r="ABU43" i="30" s="1"/>
  <c r="ABT44" i="30"/>
  <c r="ABT43" i="30" s="1"/>
  <c r="ABT59" i="30" s="1"/>
  <c r="ABS44" i="30"/>
  <c r="ABS43" i="30" s="1"/>
  <c r="ABR44" i="30"/>
  <c r="ABR43" i="30" s="1"/>
  <c r="ABQ44" i="30"/>
  <c r="ABQ43" i="30" s="1"/>
  <c r="ABP44" i="30"/>
  <c r="ABP43" i="30" s="1"/>
  <c r="ABO44" i="30"/>
  <c r="ABO43" i="30" s="1"/>
  <c r="ABN44" i="30"/>
  <c r="ABN43" i="30" s="1"/>
  <c r="ABM44" i="30"/>
  <c r="ABM43" i="30" s="1"/>
  <c r="ABL44" i="30"/>
  <c r="ABL43" i="30" s="1"/>
  <c r="ABK44" i="30"/>
  <c r="ABK43" i="30" s="1"/>
  <c r="ABJ44" i="30"/>
  <c r="ABJ43" i="30" s="1"/>
  <c r="ABI44" i="30"/>
  <c r="ABI43" i="30" s="1"/>
  <c r="ABH44" i="30"/>
  <c r="ABH43" i="30" s="1"/>
  <c r="ABH66" i="30" s="1"/>
  <c r="ABG44" i="30"/>
  <c r="ABG43" i="30" s="1"/>
  <c r="ABG66" i="30" s="1"/>
  <c r="ABF44" i="30"/>
  <c r="ABF43" i="30" s="1"/>
  <c r="ABE44" i="30"/>
  <c r="ABE43" i="30" s="1"/>
  <c r="ABD44" i="30"/>
  <c r="ABD43" i="30" s="1"/>
  <c r="ABD59" i="30" s="1"/>
  <c r="ABC44" i="30"/>
  <c r="ABC43" i="30" s="1"/>
  <c r="ABB44" i="30"/>
  <c r="ABB43" i="30" s="1"/>
  <c r="ABA44" i="30"/>
  <c r="ABA43" i="30" s="1"/>
  <c r="AAZ44" i="30"/>
  <c r="AAZ43" i="30" s="1"/>
  <c r="AAZ66" i="30" s="1"/>
  <c r="AAY44" i="30"/>
  <c r="AAY43" i="30" s="1"/>
  <c r="AAX44" i="30"/>
  <c r="AAX43" i="30" s="1"/>
  <c r="AAW44" i="30"/>
  <c r="AAW43" i="30" s="1"/>
  <c r="AAW66" i="30" s="1"/>
  <c r="AAV44" i="30"/>
  <c r="AAV43" i="30" s="1"/>
  <c r="AAV66" i="30" s="1"/>
  <c r="AGI43" i="30"/>
  <c r="AGI66" i="30" s="1"/>
  <c r="AGH43" i="30"/>
  <c r="AGG43" i="30"/>
  <c r="AGF43" i="30"/>
  <c r="AGE43" i="30"/>
  <c r="AGE66" i="30" s="1"/>
  <c r="AGD43" i="30"/>
  <c r="AGD66" i="30" s="1"/>
  <c r="AGC43" i="30"/>
  <c r="AGC59" i="30" s="1"/>
  <c r="AGB43" i="30"/>
  <c r="AGB59" i="30" s="1"/>
  <c r="AGA43" i="30"/>
  <c r="AGA66" i="30" s="1"/>
  <c r="AFZ43" i="30"/>
  <c r="AFZ66" i="30" s="1"/>
  <c r="AFY43" i="30"/>
  <c r="AFX43" i="30"/>
  <c r="AFW43" i="30"/>
  <c r="AFW66" i="30" s="1"/>
  <c r="AFV43" i="30"/>
  <c r="AFU43" i="30"/>
  <c r="AFT43" i="30"/>
  <c r="AFS43" i="30"/>
  <c r="AFS66" i="30" s="1"/>
  <c r="AFR43" i="30"/>
  <c r="AFQ43" i="30"/>
  <c r="AFP43" i="30"/>
  <c r="AFO43" i="30"/>
  <c r="AFN43" i="30"/>
  <c r="AFN66" i="30" s="1"/>
  <c r="AFM43" i="30"/>
  <c r="AFL43" i="30"/>
  <c r="AFK43" i="30"/>
  <c r="AFK66" i="30" s="1"/>
  <c r="AEU43" i="30"/>
  <c r="AEI43" i="30"/>
  <c r="ACW43" i="30"/>
  <c r="ACM43" i="30"/>
  <c r="ACA43" i="30"/>
  <c r="AGI40" i="30"/>
  <c r="AGH40" i="30"/>
  <c r="AGG40" i="30"/>
  <c r="AGF40" i="30"/>
  <c r="AGE40" i="30"/>
  <c r="AGE39" i="30" s="1"/>
  <c r="AGD40" i="30"/>
  <c r="AGD39" i="30" s="1"/>
  <c r="AGD65" i="30" s="1"/>
  <c r="AGC40" i="30"/>
  <c r="AGC39" i="30" s="1"/>
  <c r="AGC65" i="30" s="1"/>
  <c r="AGB40" i="30"/>
  <c r="AGB39" i="30" s="1"/>
  <c r="AGA40" i="30"/>
  <c r="AGA39" i="30" s="1"/>
  <c r="AFZ40" i="30"/>
  <c r="AFZ39" i="30" s="1"/>
  <c r="AFZ58" i="30" s="1"/>
  <c r="AFY40" i="30"/>
  <c r="AFY39" i="30" s="1"/>
  <c r="AFX40" i="30"/>
  <c r="AFX39" i="30" s="1"/>
  <c r="AFW40" i="30"/>
  <c r="AFW39" i="30" s="1"/>
  <c r="AFW65" i="30" s="1"/>
  <c r="AFV40" i="30"/>
  <c r="AFV39" i="30" s="1"/>
  <c r="AFV65" i="30" s="1"/>
  <c r="AFU40" i="30"/>
  <c r="AFU39" i="30" s="1"/>
  <c r="AFU65" i="30" s="1"/>
  <c r="AFT40" i="30"/>
  <c r="AFT39" i="30" s="1"/>
  <c r="AFS40" i="30"/>
  <c r="AFS39" i="30" s="1"/>
  <c r="AFR40" i="30"/>
  <c r="AFQ40" i="30"/>
  <c r="AFQ39" i="30" s="1"/>
  <c r="AFP40" i="30"/>
  <c r="AFP39" i="30" s="1"/>
  <c r="AFP65" i="30" s="1"/>
  <c r="AFO40" i="30"/>
  <c r="AFO39" i="30" s="1"/>
  <c r="AFO65" i="30" s="1"/>
  <c r="AFN40" i="30"/>
  <c r="AFN39" i="30" s="1"/>
  <c r="AFM40" i="30"/>
  <c r="AFM39" i="30" s="1"/>
  <c r="AFM58" i="30" s="1"/>
  <c r="AFL40" i="30"/>
  <c r="AFL39" i="30" s="1"/>
  <c r="AFL58" i="30" s="1"/>
  <c r="AFK40" i="30"/>
  <c r="AFK39" i="30" s="1"/>
  <c r="AFK65" i="30" s="1"/>
  <c r="AFJ40" i="30"/>
  <c r="AFJ39" i="30" s="1"/>
  <c r="AFI40" i="30"/>
  <c r="AFI39" i="30" s="1"/>
  <c r="AFH40" i="30"/>
  <c r="AFH39" i="30" s="1"/>
  <c r="AFG40" i="30"/>
  <c r="AFF40" i="30"/>
  <c r="AFE40" i="30"/>
  <c r="AFE39" i="30" s="1"/>
  <c r="AFE65" i="30" s="1"/>
  <c r="AFD40" i="30"/>
  <c r="AFD39" i="30" s="1"/>
  <c r="AFC40" i="30"/>
  <c r="AFC39" i="30" s="1"/>
  <c r="AFC65" i="30" s="1"/>
  <c r="AFB40" i="30"/>
  <c r="AFB39" i="30" s="1"/>
  <c r="AFB65" i="30" s="1"/>
  <c r="AFA40" i="30"/>
  <c r="AFA39" i="30" s="1"/>
  <c r="AFA65" i="30" s="1"/>
  <c r="AEZ40" i="30"/>
  <c r="AEZ39" i="30" s="1"/>
  <c r="AEZ65" i="30" s="1"/>
  <c r="AEY40" i="30"/>
  <c r="AEY39" i="30" s="1"/>
  <c r="AEY65" i="30" s="1"/>
  <c r="AEX40" i="30"/>
  <c r="AEX39" i="30" s="1"/>
  <c r="AEX65" i="30" s="1"/>
  <c r="AEW40" i="30"/>
  <c r="AEW39" i="30" s="1"/>
  <c r="AEV40" i="30"/>
  <c r="AEV39" i="30" s="1"/>
  <c r="AEV58" i="30" s="1"/>
  <c r="AEU40" i="30"/>
  <c r="AET40" i="30"/>
  <c r="AET39" i="30" s="1"/>
  <c r="AES40" i="30"/>
  <c r="AES39" i="30" s="1"/>
  <c r="AES65" i="30" s="1"/>
  <c r="AER40" i="30"/>
  <c r="AER39" i="30" s="1"/>
  <c r="AER65" i="30" s="1"/>
  <c r="AEQ40" i="30"/>
  <c r="AEQ39" i="30" s="1"/>
  <c r="AEP40" i="30"/>
  <c r="AEP39" i="30" s="1"/>
  <c r="AEO40" i="30"/>
  <c r="AEO39" i="30" s="1"/>
  <c r="AEO58" i="30" s="1"/>
  <c r="AEN40" i="30"/>
  <c r="AEN39" i="30" s="1"/>
  <c r="AEN58" i="30" s="1"/>
  <c r="AEM40" i="30"/>
  <c r="AEM39" i="30" s="1"/>
  <c r="AEM65" i="30" s="1"/>
  <c r="AEL40" i="30"/>
  <c r="AEL39" i="30" s="1"/>
  <c r="AEK40" i="30"/>
  <c r="AEK39" i="30" s="1"/>
  <c r="AEK65" i="30" s="1"/>
  <c r="AEJ40" i="30"/>
  <c r="AEJ39" i="30" s="1"/>
  <c r="AEI40" i="30"/>
  <c r="AEH40" i="30"/>
  <c r="AEG40" i="30"/>
  <c r="AEG39" i="30" s="1"/>
  <c r="AEF40" i="30"/>
  <c r="AEF39" i="30" s="1"/>
  <c r="AEF58" i="30" s="1"/>
  <c r="AEE40" i="30"/>
  <c r="AEE39" i="30" s="1"/>
  <c r="AEE65" i="30" s="1"/>
  <c r="AED40" i="30"/>
  <c r="AED39" i="30" s="1"/>
  <c r="AEC40" i="30"/>
  <c r="AEC39" i="30" s="1"/>
  <c r="AEB40" i="30"/>
  <c r="AEB39" i="30" s="1"/>
  <c r="AEA40" i="30"/>
  <c r="AEA39" i="30" s="1"/>
  <c r="AEA65" i="30" s="1"/>
  <c r="ADZ40" i="30"/>
  <c r="ADZ39" i="30" s="1"/>
  <c r="ADZ65" i="30" s="1"/>
  <c r="ADY40" i="30"/>
  <c r="ADY39" i="30" s="1"/>
  <c r="ADX40" i="30"/>
  <c r="ADX39" i="30" s="1"/>
  <c r="ADW40" i="30"/>
  <c r="ADV40" i="30"/>
  <c r="ADU40" i="30"/>
  <c r="ADU39" i="30" s="1"/>
  <c r="ADT40" i="30"/>
  <c r="ADT39" i="30" s="1"/>
  <c r="ADT65" i="30" s="1"/>
  <c r="ADS40" i="30"/>
  <c r="ADS39" i="30" s="1"/>
  <c r="ADS65" i="30" s="1"/>
  <c r="ADR40" i="30"/>
  <c r="ADR39" i="30" s="1"/>
  <c r="ADQ40" i="30"/>
  <c r="ADQ39" i="30" s="1"/>
  <c r="ADQ58" i="30" s="1"/>
  <c r="ADP40" i="30"/>
  <c r="ADP39" i="30" s="1"/>
  <c r="ADP58" i="30" s="1"/>
  <c r="ADO40" i="30"/>
  <c r="ADO39" i="30" s="1"/>
  <c r="ADO65" i="30" s="1"/>
  <c r="ADN40" i="30"/>
  <c r="ADN39" i="30" s="1"/>
  <c r="ADM40" i="30"/>
  <c r="ADM39" i="30" s="1"/>
  <c r="ADL40" i="30"/>
  <c r="ADL39" i="30" s="1"/>
  <c r="ADK40" i="30"/>
  <c r="ADJ40" i="30"/>
  <c r="ADI40" i="30"/>
  <c r="ADI39" i="30" s="1"/>
  <c r="ADH40" i="30"/>
  <c r="ADH39" i="30" s="1"/>
  <c r="ADH65" i="30" s="1"/>
  <c r="ADG40" i="30"/>
  <c r="ADG39" i="30" s="1"/>
  <c r="ADF40" i="30"/>
  <c r="ADF39" i="30" s="1"/>
  <c r="ADF65" i="30" s="1"/>
  <c r="ADE40" i="30"/>
  <c r="ADE39" i="30" s="1"/>
  <c r="ADE65" i="30" s="1"/>
  <c r="ADD40" i="30"/>
  <c r="ADD39" i="30" s="1"/>
  <c r="ADD65" i="30" s="1"/>
  <c r="ADC40" i="30"/>
  <c r="ADC39" i="30" s="1"/>
  <c r="ADC65" i="30" s="1"/>
  <c r="ADB40" i="30"/>
  <c r="ADB39" i="30" s="1"/>
  <c r="ADB65" i="30" s="1"/>
  <c r="ADA40" i="30"/>
  <c r="ADA39" i="30" s="1"/>
  <c r="ACZ40" i="30"/>
  <c r="ACZ39" i="30" s="1"/>
  <c r="ACY40" i="30"/>
  <c r="ACX40" i="30"/>
  <c r="ACW40" i="30"/>
  <c r="ACW39" i="30" s="1"/>
  <c r="ACW65" i="30" s="1"/>
  <c r="ACV40" i="30"/>
  <c r="ACV39" i="30" s="1"/>
  <c r="ACU40" i="30"/>
  <c r="ACU39" i="30" s="1"/>
  <c r="ACU65" i="30" s="1"/>
  <c r="ACT40" i="30"/>
  <c r="ACT39" i="30" s="1"/>
  <c r="ACT65" i="30" s="1"/>
  <c r="ACS40" i="30"/>
  <c r="ACS39" i="30" s="1"/>
  <c r="ACR40" i="30"/>
  <c r="ACR39" i="30" s="1"/>
  <c r="ACR58" i="30" s="1"/>
  <c r="ACQ40" i="30"/>
  <c r="ACQ39" i="30" s="1"/>
  <c r="ACQ65" i="30" s="1"/>
  <c r="ACP40" i="30"/>
  <c r="ACP39" i="30" s="1"/>
  <c r="ACP65" i="30" s="1"/>
  <c r="ACO40" i="30"/>
  <c r="ACO39" i="30" s="1"/>
  <c r="ACN40" i="30"/>
  <c r="ACN39" i="30" s="1"/>
  <c r="ACM40" i="30"/>
  <c r="ACL40" i="30"/>
  <c r="ACK40" i="30"/>
  <c r="ACK39" i="30" s="1"/>
  <c r="ACJ40" i="30"/>
  <c r="ACJ39" i="30" s="1"/>
  <c r="ACJ58" i="30" s="1"/>
  <c r="ACI40" i="30"/>
  <c r="ACI39" i="30" s="1"/>
  <c r="ACI58" i="30" s="1"/>
  <c r="ACH40" i="30"/>
  <c r="ACH39" i="30" s="1"/>
  <c r="ACG40" i="30"/>
  <c r="ACG39" i="30" s="1"/>
  <c r="ACG58" i="30" s="1"/>
  <c r="ACF40" i="30"/>
  <c r="ACF39" i="30" s="1"/>
  <c r="ACF58" i="30" s="1"/>
  <c r="ACE40" i="30"/>
  <c r="ACE39" i="30" s="1"/>
  <c r="ACE65" i="30" s="1"/>
  <c r="ACD40" i="30"/>
  <c r="ACD39" i="30" s="1"/>
  <c r="ACD65" i="30" s="1"/>
  <c r="ACC40" i="30"/>
  <c r="ACC39" i="30" s="1"/>
  <c r="ACB40" i="30"/>
  <c r="ACB39" i="30" s="1"/>
  <c r="ACA40" i="30"/>
  <c r="ABZ40" i="30"/>
  <c r="ABY40" i="30"/>
  <c r="ABY39" i="30" s="1"/>
  <c r="ABX40" i="30"/>
  <c r="ABX39" i="30" s="1"/>
  <c r="ABX65" i="30" s="1"/>
  <c r="ABW40" i="30"/>
  <c r="ABW39" i="30" s="1"/>
  <c r="ABW65" i="30" s="1"/>
  <c r="ABV40" i="30"/>
  <c r="ABV39" i="30" s="1"/>
  <c r="ABU40" i="30"/>
  <c r="ABU39" i="30" s="1"/>
  <c r="ABT40" i="30"/>
  <c r="ABT39" i="30" s="1"/>
  <c r="ABS40" i="30"/>
  <c r="ABS39" i="30" s="1"/>
  <c r="ABS65" i="30" s="1"/>
  <c r="ABR40" i="30"/>
  <c r="ABR39" i="30" s="1"/>
  <c r="ABQ40" i="30"/>
  <c r="ABQ39" i="30" s="1"/>
  <c r="ABQ65" i="30" s="1"/>
  <c r="ABP40" i="30"/>
  <c r="ABP39" i="30" s="1"/>
  <c r="ABO40" i="30"/>
  <c r="ABN40" i="30"/>
  <c r="ABN39" i="30" s="1"/>
  <c r="ABM40" i="30"/>
  <c r="ABM39" i="30" s="1"/>
  <c r="ABL40" i="30"/>
  <c r="ABL39" i="30" s="1"/>
  <c r="ABL65" i="30" s="1"/>
  <c r="ABK40" i="30"/>
  <c r="ABK39" i="30" s="1"/>
  <c r="ABJ40" i="30"/>
  <c r="ABJ39" i="30" s="1"/>
  <c r="ABJ65" i="30" s="1"/>
  <c r="ABI40" i="30"/>
  <c r="ABI39" i="30" s="1"/>
  <c r="ABI65" i="30" s="1"/>
  <c r="ABH40" i="30"/>
  <c r="ABH39" i="30" s="1"/>
  <c r="ABH65" i="30" s="1"/>
  <c r="ABG40" i="30"/>
  <c r="ABG39" i="30" s="1"/>
  <c r="ABG65" i="30" s="1"/>
  <c r="ABF40" i="30"/>
  <c r="ABF39" i="30" s="1"/>
  <c r="ABF65" i="30" s="1"/>
  <c r="ABE40" i="30"/>
  <c r="ABE39" i="30" s="1"/>
  <c r="ABD40" i="30"/>
  <c r="ABD39" i="30" s="1"/>
  <c r="ABC40" i="30"/>
  <c r="ABB40" i="30"/>
  <c r="ABB39" i="30" s="1"/>
  <c r="ABA40" i="30"/>
  <c r="ABA39" i="30" s="1"/>
  <c r="AAZ40" i="30"/>
  <c r="AAZ39" i="30" s="1"/>
  <c r="AAZ65" i="30" s="1"/>
  <c r="AAY40" i="30"/>
  <c r="AAY39" i="30" s="1"/>
  <c r="AAY65" i="30" s="1"/>
  <c r="AAX40" i="30"/>
  <c r="AAX39" i="30" s="1"/>
  <c r="AAX65" i="30" s="1"/>
  <c r="AAW40" i="30"/>
  <c r="AAW39" i="30" s="1"/>
  <c r="AAV40" i="30"/>
  <c r="AAV39" i="30" s="1"/>
  <c r="AAV58" i="30" s="1"/>
  <c r="AGI39" i="30"/>
  <c r="AGI65" i="30" s="1"/>
  <c r="AGH39" i="30"/>
  <c r="AGG39" i="30"/>
  <c r="AGF39" i="30"/>
  <c r="AFR39" i="30"/>
  <c r="AFR65" i="30" s="1"/>
  <c r="AFG39" i="30"/>
  <c r="AFF39" i="30"/>
  <c r="AEU39" i="30"/>
  <c r="AEI39" i="30"/>
  <c r="AEH39" i="30"/>
  <c r="AEH65" i="30" s="1"/>
  <c r="ADW39" i="30"/>
  <c r="ADV39" i="30"/>
  <c r="ADK39" i="30"/>
  <c r="ADJ39" i="30"/>
  <c r="ADJ65" i="30" s="1"/>
  <c r="ACY39" i="30"/>
  <c r="ACY65" i="30" s="1"/>
  <c r="ACX39" i="30"/>
  <c r="ACM39" i="30"/>
  <c r="ACM65" i="30" s="1"/>
  <c r="ACL39" i="30"/>
  <c r="ACL65" i="30" s="1"/>
  <c r="ACA39" i="30"/>
  <c r="ACA58" i="30" s="1"/>
  <c r="ABZ39" i="30"/>
  <c r="ABZ65" i="30" s="1"/>
  <c r="ABO39" i="30"/>
  <c r="ABC39" i="30"/>
  <c r="ABP33" i="30"/>
  <c r="AGI33" i="30"/>
  <c r="AGI64" i="30" s="1"/>
  <c r="AGH33" i="30"/>
  <c r="AGH64" i="30" s="1"/>
  <c r="AGG33" i="30"/>
  <c r="AGF33" i="30"/>
  <c r="AGE33" i="30"/>
  <c r="AGD33" i="30"/>
  <c r="AGD64" i="30" s="1"/>
  <c r="AGC33" i="30"/>
  <c r="AGC64" i="30" s="1"/>
  <c r="AGB33" i="30"/>
  <c r="AGA33" i="30"/>
  <c r="AGA64" i="30" s="1"/>
  <c r="AFZ33" i="30"/>
  <c r="AFY33" i="30"/>
  <c r="AFY57" i="30" s="1"/>
  <c r="AFX33" i="30"/>
  <c r="AFX57" i="30" s="1"/>
  <c r="AFW33" i="30"/>
  <c r="AFW64" i="30" s="1"/>
  <c r="AFV33" i="30"/>
  <c r="AFV64" i="30" s="1"/>
  <c r="AFU33" i="30"/>
  <c r="AFT33" i="30"/>
  <c r="AFS33" i="30"/>
  <c r="AFS57" i="30" s="1"/>
  <c r="AFR33" i="30"/>
  <c r="AFR57" i="30" s="1"/>
  <c r="AFQ33" i="30"/>
  <c r="AFQ64" i="30" s="1"/>
  <c r="AFP33" i="30"/>
  <c r="AFP64" i="30" s="1"/>
  <c r="AFO33" i="30"/>
  <c r="AFO64" i="30" s="1"/>
  <c r="AFN33" i="30"/>
  <c r="AFN57" i="30" s="1"/>
  <c r="AFM33" i="30"/>
  <c r="AFM57" i="30" s="1"/>
  <c r="AFL33" i="30"/>
  <c r="AFL57" i="30" s="1"/>
  <c r="AFK33" i="30"/>
  <c r="AFK64" i="30" s="1"/>
  <c r="AFJ33" i="30"/>
  <c r="AFI33" i="30"/>
  <c r="AFH33" i="30"/>
  <c r="AFG33" i="30"/>
  <c r="AFG64" i="30" s="1"/>
  <c r="AFF33" i="30"/>
  <c r="AFE33" i="30"/>
  <c r="AFE64" i="30" s="1"/>
  <c r="AFD33" i="30"/>
  <c r="AFD57" i="30" s="1"/>
  <c r="AFC33" i="30"/>
  <c r="AFC64" i="30" s="1"/>
  <c r="AFB33" i="30"/>
  <c r="AFB64" i="30" s="1"/>
  <c r="AFA33" i="30"/>
  <c r="AFA64" i="30" s="1"/>
  <c r="AEZ33" i="30"/>
  <c r="AEZ64" i="30" s="1"/>
  <c r="AEY33" i="30"/>
  <c r="AEY64" i="30" s="1"/>
  <c r="AEX33" i="30"/>
  <c r="AEX64" i="30" s="1"/>
  <c r="AEW33" i="30"/>
  <c r="AEV33" i="30"/>
  <c r="AEU33" i="30"/>
  <c r="AEU64" i="30" s="1"/>
  <c r="AET33" i="30"/>
  <c r="AES33" i="30"/>
  <c r="AES64" i="30" s="1"/>
  <c r="AER33" i="30"/>
  <c r="AEQ33" i="30"/>
  <c r="AEP33" i="30"/>
  <c r="AEP64" i="30" s="1"/>
  <c r="AEO33" i="30"/>
  <c r="AEO57" i="30" s="1"/>
  <c r="AEN33" i="30"/>
  <c r="AEN57" i="30" s="1"/>
  <c r="AEM33" i="30"/>
  <c r="AEM64" i="30" s="1"/>
  <c r="AEL33" i="30"/>
  <c r="AEL64" i="30" s="1"/>
  <c r="AEK33" i="30"/>
  <c r="AEJ33" i="30"/>
  <c r="AEI33" i="30"/>
  <c r="AEI64" i="30" s="1"/>
  <c r="AEH33" i="30"/>
  <c r="AEH64" i="30" s="1"/>
  <c r="AEG33" i="30"/>
  <c r="AEG64" i="30" s="1"/>
  <c r="AEF33" i="30"/>
  <c r="AEE33" i="30"/>
  <c r="AED33" i="30"/>
  <c r="AED57" i="30" s="1"/>
  <c r="AEC33" i="30"/>
  <c r="AEC57" i="30" s="1"/>
  <c r="AEB33" i="30"/>
  <c r="AEB57" i="30" s="1"/>
  <c r="AEA33" i="30"/>
  <c r="AEA64" i="30" s="1"/>
  <c r="ADZ33" i="30"/>
  <c r="ADZ64" i="30" s="1"/>
  <c r="ADY33" i="30"/>
  <c r="ADX33" i="30"/>
  <c r="ADW33" i="30"/>
  <c r="ADW64" i="30" s="1"/>
  <c r="ADV33" i="30"/>
  <c r="ADV64" i="30" s="1"/>
  <c r="ADU33" i="30"/>
  <c r="ADU64" i="30" s="1"/>
  <c r="ADT33" i="30"/>
  <c r="ADT64" i="30" s="1"/>
  <c r="ADS33" i="30"/>
  <c r="ADS64" i="30" s="1"/>
  <c r="ADR33" i="30"/>
  <c r="ADQ33" i="30"/>
  <c r="ADQ57" i="30" s="1"/>
  <c r="ADP33" i="30"/>
  <c r="ADP57" i="30" s="1"/>
  <c r="ADO33" i="30"/>
  <c r="ADO64" i="30" s="1"/>
  <c r="ADN33" i="30"/>
  <c r="ADM33" i="30"/>
  <c r="ADL33" i="30"/>
  <c r="ADK33" i="30"/>
  <c r="ADJ33" i="30"/>
  <c r="ADJ64" i="30" s="1"/>
  <c r="ADI33" i="30"/>
  <c r="ADI64" i="30" s="1"/>
  <c r="ADH33" i="30"/>
  <c r="ADH64" i="30" s="1"/>
  <c r="ADG33" i="30"/>
  <c r="ADF33" i="30"/>
  <c r="ADF64" i="30" s="1"/>
  <c r="ADE33" i="30"/>
  <c r="ADE64" i="30" s="1"/>
  <c r="ADD33" i="30"/>
  <c r="ADD64" i="30" s="1"/>
  <c r="ADC33" i="30"/>
  <c r="ADC64" i="30" s="1"/>
  <c r="ADB33" i="30"/>
  <c r="ADB64" i="30" s="1"/>
  <c r="ADA33" i="30"/>
  <c r="ACZ33" i="30"/>
  <c r="ACY33" i="30"/>
  <c r="ACY57" i="30" s="1"/>
  <c r="ACX33" i="30"/>
  <c r="ACX57" i="30" s="1"/>
  <c r="ACW33" i="30"/>
  <c r="ACW64" i="30" s="1"/>
  <c r="ACV33" i="30"/>
  <c r="ACV64" i="30" s="1"/>
  <c r="ACU33" i="30"/>
  <c r="ACU64" i="30" s="1"/>
  <c r="ACT33" i="30"/>
  <c r="ACT64" i="30" s="1"/>
  <c r="ACS33" i="30"/>
  <c r="ACS57" i="30" s="1"/>
  <c r="ACR33" i="30"/>
  <c r="ACR57" i="30" s="1"/>
  <c r="ACQ33" i="30"/>
  <c r="ACQ64" i="30" s="1"/>
  <c r="ACP33" i="30"/>
  <c r="ACP64" i="30" s="1"/>
  <c r="ACO33" i="30"/>
  <c r="ACN33" i="30"/>
  <c r="ACM33" i="30"/>
  <c r="ACL33" i="30"/>
  <c r="ACL64" i="30" s="1"/>
  <c r="ACK33" i="30"/>
  <c r="ACK57" i="30" s="1"/>
  <c r="ACJ33" i="30"/>
  <c r="ACJ57" i="30" s="1"/>
  <c r="ACI33" i="30"/>
  <c r="ACH33" i="30"/>
  <c r="ACG33" i="30"/>
  <c r="ACF33" i="30"/>
  <c r="ACF57" i="30" s="1"/>
  <c r="ACE33" i="30"/>
  <c r="ACE64" i="30" s="1"/>
  <c r="ACD33" i="30"/>
  <c r="ACD64" i="30" s="1"/>
  <c r="ACC33" i="30"/>
  <c r="ACB33" i="30"/>
  <c r="ACB64" i="30" s="1"/>
  <c r="ACA33" i="30"/>
  <c r="ACA64" i="30" s="1"/>
  <c r="ABZ33" i="30"/>
  <c r="ABY33" i="30"/>
  <c r="ABY64" i="30" s="1"/>
  <c r="ABX33" i="30"/>
  <c r="ABX64" i="30" s="1"/>
  <c r="ABW33" i="30"/>
  <c r="ABW64" i="30" s="1"/>
  <c r="ABV33" i="30"/>
  <c r="ABU33" i="30"/>
  <c r="ABU57" i="30" s="1"/>
  <c r="ABT33" i="30"/>
  <c r="ABT57" i="30" s="1"/>
  <c r="ABS33" i="30"/>
  <c r="ABS64" i="30" s="1"/>
  <c r="ABR33" i="30"/>
  <c r="ABQ33" i="30"/>
  <c r="ABO33" i="30"/>
  <c r="ABN33" i="30"/>
  <c r="ABN57" i="30" s="1"/>
  <c r="ABM33" i="30"/>
  <c r="ABM57" i="30" s="1"/>
  <c r="ABL33" i="30"/>
  <c r="ABL57" i="30" s="1"/>
  <c r="ABK33" i="30"/>
  <c r="ABK57" i="30" s="1"/>
  <c r="ABJ33" i="30"/>
  <c r="ABJ64" i="30" s="1"/>
  <c r="ABI33" i="30"/>
  <c r="ABI64" i="30" s="1"/>
  <c r="ABH33" i="30"/>
  <c r="ABH64" i="30" s="1"/>
  <c r="ABG33" i="30"/>
  <c r="ABG64" i="30" s="1"/>
  <c r="ABF33" i="30"/>
  <c r="ABF64" i="30" s="1"/>
  <c r="ABE33" i="30"/>
  <c r="ABD33" i="30"/>
  <c r="ABC33" i="30"/>
  <c r="ABB33" i="30"/>
  <c r="ABB64" i="30" s="1"/>
  <c r="ABA33" i="30"/>
  <c r="ABA64" i="30" s="1"/>
  <c r="AAZ33" i="30"/>
  <c r="AAZ64" i="30" s="1"/>
  <c r="AAY33" i="30"/>
  <c r="AAY64" i="30" s="1"/>
  <c r="AAX33" i="30"/>
  <c r="AAX64" i="30" s="1"/>
  <c r="AAW33" i="30"/>
  <c r="AAW57" i="30" s="1"/>
  <c r="AAV33" i="30"/>
  <c r="AAV57" i="30" s="1"/>
  <c r="AGI26" i="30"/>
  <c r="AGI63" i="30" s="1"/>
  <c r="AGH26" i="30"/>
  <c r="AGH63" i="30" s="1"/>
  <c r="AGG26" i="30"/>
  <c r="AGF26" i="30"/>
  <c r="AGE26" i="30"/>
  <c r="AGE63" i="30" s="1"/>
  <c r="AGD26" i="30"/>
  <c r="AGD63" i="30" s="1"/>
  <c r="AGC26" i="30"/>
  <c r="AGC56" i="30" s="1"/>
  <c r="AGB26" i="30"/>
  <c r="AGB56" i="30" s="1"/>
  <c r="AGA26" i="30"/>
  <c r="AGA63" i="30" s="1"/>
  <c r="AFZ26" i="30"/>
  <c r="AFY26" i="30"/>
  <c r="AFY56" i="30" s="1"/>
  <c r="AFX26" i="30"/>
  <c r="AFX56" i="30" s="1"/>
  <c r="AFW26" i="30"/>
  <c r="AFW63" i="30" s="1"/>
  <c r="AFV26" i="30"/>
  <c r="AFV63" i="30" s="1"/>
  <c r="AFU26" i="30"/>
  <c r="AFU63" i="30" s="1"/>
  <c r="AFT26" i="30"/>
  <c r="AFT63" i="30" s="1"/>
  <c r="AFS26" i="30"/>
  <c r="AFS63" i="30" s="1"/>
  <c r="AFR26" i="30"/>
  <c r="AFR63" i="30" s="1"/>
  <c r="AFQ26" i="30"/>
  <c r="AFQ63" i="30" s="1"/>
  <c r="AFP26" i="30"/>
  <c r="AFP63" i="30" s="1"/>
  <c r="AFO26" i="30"/>
  <c r="AFO63" i="30" s="1"/>
  <c r="AFN26" i="30"/>
  <c r="AFN56" i="30" s="1"/>
  <c r="AFM26" i="30"/>
  <c r="AFM56" i="30" s="1"/>
  <c r="AFL26" i="30"/>
  <c r="AFL56" i="30" s="1"/>
  <c r="AFK26" i="30"/>
  <c r="AFK63" i="30" s="1"/>
  <c r="AFJ26" i="30"/>
  <c r="AFI26" i="30"/>
  <c r="AFH26" i="30"/>
  <c r="AFG26" i="30"/>
  <c r="AFF26" i="30"/>
  <c r="AFF56" i="30" s="1"/>
  <c r="AFE26" i="30"/>
  <c r="AFE63" i="30" s="1"/>
  <c r="AFD26" i="30"/>
  <c r="AFD63" i="30" s="1"/>
  <c r="AFC26" i="30"/>
  <c r="AFC63" i="30" s="1"/>
  <c r="AFB26" i="30"/>
  <c r="AFB63" i="30" s="1"/>
  <c r="AFA26" i="30"/>
  <c r="AFA63" i="30" s="1"/>
  <c r="AEZ26" i="30"/>
  <c r="AEZ63" i="30" s="1"/>
  <c r="AEY26" i="30"/>
  <c r="AEY63" i="30" s="1"/>
  <c r="AEX26" i="30"/>
  <c r="AEX63" i="30" s="1"/>
  <c r="AEW26" i="30"/>
  <c r="AEV26" i="30"/>
  <c r="AEU26" i="30"/>
  <c r="AET26" i="30"/>
  <c r="AET56" i="30" s="1"/>
  <c r="AES26" i="30"/>
  <c r="AES56" i="30" s="1"/>
  <c r="AER26" i="30"/>
  <c r="AER56" i="30" s="1"/>
  <c r="AEQ26" i="30"/>
  <c r="AEQ63" i="30" s="1"/>
  <c r="AEP26" i="30"/>
  <c r="AEP56" i="30" s="1"/>
  <c r="AEO26" i="30"/>
  <c r="AEO56" i="30" s="1"/>
  <c r="AEN26" i="30"/>
  <c r="AEN56" i="30" s="1"/>
  <c r="AEM26" i="30"/>
  <c r="AEM63" i="30" s="1"/>
  <c r="AEL26" i="30"/>
  <c r="AEL63" i="30" s="1"/>
  <c r="AEK26" i="30"/>
  <c r="AEJ26" i="30"/>
  <c r="AEI26" i="30"/>
  <c r="AEI63" i="30" s="1"/>
  <c r="AEH26" i="30"/>
  <c r="AEH63" i="30" s="1"/>
  <c r="AEG26" i="30"/>
  <c r="AEG63" i="30" s="1"/>
  <c r="AEF26" i="30"/>
  <c r="AEE26" i="30"/>
  <c r="AEE63" i="30" s="1"/>
  <c r="AED26" i="30"/>
  <c r="AEC26" i="30"/>
  <c r="AEC56" i="30" s="1"/>
  <c r="AEB26" i="30"/>
  <c r="AEB56" i="30" s="1"/>
  <c r="AEA26" i="30"/>
  <c r="AEA63" i="30" s="1"/>
  <c r="ADZ26" i="30"/>
  <c r="ADZ63" i="30" s="1"/>
  <c r="ADY26" i="30"/>
  <c r="ADY63" i="30" s="1"/>
  <c r="ADX26" i="30"/>
  <c r="ADX63" i="30" s="1"/>
  <c r="ADW26" i="30"/>
  <c r="ADW63" i="30" s="1"/>
  <c r="ADV26" i="30"/>
  <c r="ADU26" i="30"/>
  <c r="ADT26" i="30"/>
  <c r="ADT63" i="30" s="1"/>
  <c r="ADS26" i="30"/>
  <c r="ADS63" i="30" s="1"/>
  <c r="ADR26" i="30"/>
  <c r="ADR56" i="30" s="1"/>
  <c r="ADQ26" i="30"/>
  <c r="ADQ56" i="30" s="1"/>
  <c r="ADP26" i="30"/>
  <c r="ADP56" i="30" s="1"/>
  <c r="ADO26" i="30"/>
  <c r="ADO63" i="30" s="1"/>
  <c r="ADN26" i="30"/>
  <c r="ADM26" i="30"/>
  <c r="ADL26" i="30"/>
  <c r="ADK26" i="30"/>
  <c r="ADK63" i="30" s="1"/>
  <c r="ADJ26" i="30"/>
  <c r="ADJ63" i="30" s="1"/>
  <c r="ADI26" i="30"/>
  <c r="ADI63" i="30" s="1"/>
  <c r="ADH26" i="30"/>
  <c r="ADH63" i="30" s="1"/>
  <c r="ADG26" i="30"/>
  <c r="ADG63" i="30" s="1"/>
  <c r="ADF26" i="30"/>
  <c r="ADF63" i="30" s="1"/>
  <c r="ADE26" i="30"/>
  <c r="ADE63" i="30" s="1"/>
  <c r="ADD26" i="30"/>
  <c r="ADD63" i="30" s="1"/>
  <c r="ADC26" i="30"/>
  <c r="ADC63" i="30" s="1"/>
  <c r="ADB26" i="30"/>
  <c r="ADB63" i="30" s="1"/>
  <c r="ADA26" i="30"/>
  <c r="ACZ26" i="30"/>
  <c r="ACY26" i="30"/>
  <c r="ACY63" i="30" s="1"/>
  <c r="ACX26" i="30"/>
  <c r="ACX63" i="30" s="1"/>
  <c r="ACW26" i="30"/>
  <c r="ACW63" i="30" s="1"/>
  <c r="ACV26" i="30"/>
  <c r="ACV63" i="30" s="1"/>
  <c r="ACU26" i="30"/>
  <c r="ACU63" i="30" s="1"/>
  <c r="ACT26" i="30"/>
  <c r="ACT63" i="30" s="1"/>
  <c r="ACS26" i="30"/>
  <c r="ACS56" i="30" s="1"/>
  <c r="ACR26" i="30"/>
  <c r="ACR56" i="30" s="1"/>
  <c r="ACQ26" i="30"/>
  <c r="ACQ63" i="30" s="1"/>
  <c r="ACP26" i="30"/>
  <c r="ACP63" i="30" s="1"/>
  <c r="ACO26" i="30"/>
  <c r="ACN26" i="30"/>
  <c r="ACM26" i="30"/>
  <c r="ACM63" i="30" s="1"/>
  <c r="ACL26" i="30"/>
  <c r="ACL63" i="30" s="1"/>
  <c r="ACK26" i="30"/>
  <c r="ACK63" i="30" s="1"/>
  <c r="ACJ26" i="30"/>
  <c r="ACI26" i="30"/>
  <c r="ACI63" i="30" s="1"/>
  <c r="ACH26" i="30"/>
  <c r="ACH56" i="30" s="1"/>
  <c r="ACG26" i="30"/>
  <c r="ACG56" i="30" s="1"/>
  <c r="ACF26" i="30"/>
  <c r="ACF56" i="30" s="1"/>
  <c r="ACE26" i="30"/>
  <c r="ACE63" i="30" s="1"/>
  <c r="ACD26" i="30"/>
  <c r="ACD63" i="30" s="1"/>
  <c r="ACC26" i="30"/>
  <c r="ACC63" i="30" s="1"/>
  <c r="ACB26" i="30"/>
  <c r="ACB56" i="30" s="1"/>
  <c r="ACA26" i="30"/>
  <c r="ACA63" i="30" s="1"/>
  <c r="ABZ26" i="30"/>
  <c r="ABZ63" i="30" s="1"/>
  <c r="ABY26" i="30"/>
  <c r="ABY63" i="30" s="1"/>
  <c r="ABX26" i="30"/>
  <c r="ABX63" i="30" s="1"/>
  <c r="ABW26" i="30"/>
  <c r="ABW63" i="30" s="1"/>
  <c r="ABV26" i="30"/>
  <c r="ABU26" i="30"/>
  <c r="ABU56" i="30" s="1"/>
  <c r="ABT26" i="30"/>
  <c r="ABT56" i="30" s="1"/>
  <c r="ABS26" i="30"/>
  <c r="ABS63" i="30" s="1"/>
  <c r="ABR26" i="30"/>
  <c r="ABQ26" i="30"/>
  <c r="ABP26" i="30"/>
  <c r="ABO26" i="30"/>
  <c r="ABO63" i="30" s="1"/>
  <c r="ABN26" i="30"/>
  <c r="ABN63" i="30" s="1"/>
  <c r="ABM26" i="30"/>
  <c r="ABM63" i="30" s="1"/>
  <c r="ABL26" i="30"/>
  <c r="ABL56" i="30" s="1"/>
  <c r="ABK26" i="30"/>
  <c r="ABK63" i="30" s="1"/>
  <c r="ABJ26" i="30"/>
  <c r="ABJ63" i="30" s="1"/>
  <c r="ABI26" i="30"/>
  <c r="ABI63" i="30" s="1"/>
  <c r="ABH26" i="30"/>
  <c r="ABH63" i="30" s="1"/>
  <c r="ABG26" i="30"/>
  <c r="ABG63" i="30" s="1"/>
  <c r="ABF26" i="30"/>
  <c r="ABF63" i="30" s="1"/>
  <c r="ABE26" i="30"/>
  <c r="ABD26" i="30"/>
  <c r="ABC26" i="30"/>
  <c r="ABC56" i="30" s="1"/>
  <c r="ABB26" i="30"/>
  <c r="ABB63" i="30" s="1"/>
  <c r="ABA26" i="30"/>
  <c r="ABA63" i="30" s="1"/>
  <c r="AAZ26" i="30"/>
  <c r="AAZ63" i="30" s="1"/>
  <c r="AAY26" i="30"/>
  <c r="AAY63" i="30" s="1"/>
  <c r="AAX26" i="30"/>
  <c r="AAX63" i="30" s="1"/>
  <c r="AAW26" i="30"/>
  <c r="AAW56" i="30" s="1"/>
  <c r="AAV26" i="30"/>
  <c r="AAV56" i="30" s="1"/>
  <c r="AGI23" i="30"/>
  <c r="AGH23" i="30"/>
  <c r="AGG23" i="30"/>
  <c r="AGF23" i="30"/>
  <c r="AGE23" i="30"/>
  <c r="AGE22" i="30" s="1"/>
  <c r="AGE60" i="30" s="1"/>
  <c r="AGD23" i="30"/>
  <c r="AGD22" i="30" s="1"/>
  <c r="AGD60" i="30" s="1"/>
  <c r="AGC23" i="30"/>
  <c r="AGB23" i="30"/>
  <c r="AGB22" i="30" s="1"/>
  <c r="AGB60" i="30" s="1"/>
  <c r="AGA23" i="30"/>
  <c r="AGA22" i="30" s="1"/>
  <c r="AGA60" i="30" s="1"/>
  <c r="AFZ23" i="30"/>
  <c r="AFZ22" i="30" s="1"/>
  <c r="AFZ60" i="30" s="1"/>
  <c r="AFY23" i="30"/>
  <c r="AFX23" i="30"/>
  <c r="AFX22" i="30" s="1"/>
  <c r="AFX60" i="30" s="1"/>
  <c r="AFW23" i="30"/>
  <c r="AFW22" i="30" s="1"/>
  <c r="AFW60" i="30" s="1"/>
  <c r="AFV23" i="30"/>
  <c r="AFV22" i="30" s="1"/>
  <c r="AFV60" i="30" s="1"/>
  <c r="AFU23" i="30"/>
  <c r="AFU22" i="30" s="1"/>
  <c r="AFU60" i="30" s="1"/>
  <c r="AFT23" i="30"/>
  <c r="AFT22" i="30" s="1"/>
  <c r="AFT60" i="30" s="1"/>
  <c r="AFS23" i="30"/>
  <c r="AFS22" i="30" s="1"/>
  <c r="AFS60" i="30" s="1"/>
  <c r="AFR23" i="30"/>
  <c r="AFR22" i="30" s="1"/>
  <c r="AFR60" i="30" s="1"/>
  <c r="AFQ23" i="30"/>
  <c r="AFQ22" i="30" s="1"/>
  <c r="AFQ60" i="30" s="1"/>
  <c r="AFP23" i="30"/>
  <c r="AFP22" i="30" s="1"/>
  <c r="AFP60" i="30" s="1"/>
  <c r="AFO23" i="30"/>
  <c r="AFO22" i="30" s="1"/>
  <c r="AFO60" i="30" s="1"/>
  <c r="AFN23" i="30"/>
  <c r="AFN22" i="30" s="1"/>
  <c r="AFN60" i="30" s="1"/>
  <c r="AFM23" i="30"/>
  <c r="AFM22" i="30" s="1"/>
  <c r="AFM60" i="30" s="1"/>
  <c r="AFL23" i="30"/>
  <c r="AFK23" i="30"/>
  <c r="AFK22" i="30" s="1"/>
  <c r="AFK60" i="30" s="1"/>
  <c r="AFJ23" i="30"/>
  <c r="AFI23" i="30"/>
  <c r="AFI22" i="30" s="1"/>
  <c r="AFI60" i="30" s="1"/>
  <c r="AFH23" i="30"/>
  <c r="AFH22" i="30" s="1"/>
  <c r="AFH60" i="30" s="1"/>
  <c r="AFG23" i="30"/>
  <c r="AFG22" i="30" s="1"/>
  <c r="AFG60" i="30" s="1"/>
  <c r="AFF23" i="30"/>
  <c r="AFF22" i="30" s="1"/>
  <c r="AFF60" i="30" s="1"/>
  <c r="AFE23" i="30"/>
  <c r="AFE22" i="30" s="1"/>
  <c r="AFE60" i="30" s="1"/>
  <c r="AFD23" i="30"/>
  <c r="AFD22" i="30" s="1"/>
  <c r="AFD60" i="30" s="1"/>
  <c r="AFC23" i="30"/>
  <c r="AFC22" i="30" s="1"/>
  <c r="AFC60" i="30" s="1"/>
  <c r="AFB23" i="30"/>
  <c r="AFB22" i="30" s="1"/>
  <c r="AFB60" i="30" s="1"/>
  <c r="AFA23" i="30"/>
  <c r="AEZ23" i="30"/>
  <c r="AEZ22" i="30" s="1"/>
  <c r="AEZ60" i="30" s="1"/>
  <c r="AEY23" i="30"/>
  <c r="AEY22" i="30" s="1"/>
  <c r="AEY60" i="30" s="1"/>
  <c r="AEX23" i="30"/>
  <c r="AEX22" i="30" s="1"/>
  <c r="AEX60" i="30" s="1"/>
  <c r="AEW23" i="30"/>
  <c r="AEW22" i="30" s="1"/>
  <c r="AEW60" i="30" s="1"/>
  <c r="AEV23" i="30"/>
  <c r="AEV22" i="30" s="1"/>
  <c r="AEV60" i="30" s="1"/>
  <c r="AEU23" i="30"/>
  <c r="AEU22" i="30" s="1"/>
  <c r="AEU60" i="30" s="1"/>
  <c r="AET23" i="30"/>
  <c r="AET22" i="30" s="1"/>
  <c r="AET60" i="30" s="1"/>
  <c r="AES23" i="30"/>
  <c r="AES22" i="30" s="1"/>
  <c r="AES60" i="30" s="1"/>
  <c r="AER23" i="30"/>
  <c r="AEQ23" i="30"/>
  <c r="AEQ22" i="30" s="1"/>
  <c r="AEQ60" i="30" s="1"/>
  <c r="AEP23" i="30"/>
  <c r="AEP22" i="30" s="1"/>
  <c r="AEP60" i="30" s="1"/>
  <c r="AEO23" i="30"/>
  <c r="AEN23" i="30"/>
  <c r="AEN22" i="30" s="1"/>
  <c r="AEN60" i="30" s="1"/>
  <c r="AEM23" i="30"/>
  <c r="AEM22" i="30" s="1"/>
  <c r="AEM60" i="30" s="1"/>
  <c r="AEL23" i="30"/>
  <c r="AEL22" i="30" s="1"/>
  <c r="AEL60" i="30" s="1"/>
  <c r="AEK23" i="30"/>
  <c r="AEK22" i="30" s="1"/>
  <c r="AEK60" i="30" s="1"/>
  <c r="AEJ23" i="30"/>
  <c r="AEJ22" i="30" s="1"/>
  <c r="AEJ60" i="30" s="1"/>
  <c r="AEI23" i="30"/>
  <c r="AEI22" i="30" s="1"/>
  <c r="AEI60" i="30" s="1"/>
  <c r="AEH23" i="30"/>
  <c r="AEH22" i="30" s="1"/>
  <c r="AEH60" i="30" s="1"/>
  <c r="AEG23" i="30"/>
  <c r="AEG22" i="30" s="1"/>
  <c r="AEG60" i="30" s="1"/>
  <c r="AEF23" i="30"/>
  <c r="AEF22" i="30" s="1"/>
  <c r="AEF60" i="30" s="1"/>
  <c r="AEE23" i="30"/>
  <c r="AEE22" i="30" s="1"/>
  <c r="AEE60" i="30" s="1"/>
  <c r="AED23" i="30"/>
  <c r="AED22" i="30" s="1"/>
  <c r="AED60" i="30" s="1"/>
  <c r="AEC23" i="30"/>
  <c r="AEB23" i="30"/>
  <c r="AEB22" i="30" s="1"/>
  <c r="AEB60" i="30" s="1"/>
  <c r="AEA23" i="30"/>
  <c r="AEA22" i="30" s="1"/>
  <c r="AEA60" i="30" s="1"/>
  <c r="ADZ23" i="30"/>
  <c r="ADZ22" i="30" s="1"/>
  <c r="ADZ60" i="30" s="1"/>
  <c r="ADY23" i="30"/>
  <c r="ADY22" i="30" s="1"/>
  <c r="ADY60" i="30" s="1"/>
  <c r="ADX23" i="30"/>
  <c r="ADX22" i="30" s="1"/>
  <c r="ADX60" i="30" s="1"/>
  <c r="ADW23" i="30"/>
  <c r="ADW22" i="30" s="1"/>
  <c r="ADW60" i="30" s="1"/>
  <c r="ADV23" i="30"/>
  <c r="ADV22" i="30" s="1"/>
  <c r="ADV60" i="30" s="1"/>
  <c r="ADU23" i="30"/>
  <c r="ADU22" i="30" s="1"/>
  <c r="ADU60" i="30" s="1"/>
  <c r="ADT23" i="30"/>
  <c r="ADT22" i="30" s="1"/>
  <c r="ADT60" i="30" s="1"/>
  <c r="ADS23" i="30"/>
  <c r="ADS22" i="30" s="1"/>
  <c r="ADS60" i="30" s="1"/>
  <c r="ADR23" i="30"/>
  <c r="ADR22" i="30" s="1"/>
  <c r="ADR60" i="30" s="1"/>
  <c r="ADQ23" i="30"/>
  <c r="ADP23" i="30"/>
  <c r="ADP22" i="30" s="1"/>
  <c r="ADP60" i="30" s="1"/>
  <c r="ADO23" i="30"/>
  <c r="ADO22" i="30" s="1"/>
  <c r="ADO60" i="30" s="1"/>
  <c r="ADN23" i="30"/>
  <c r="ADN22" i="30" s="1"/>
  <c r="ADN60" i="30" s="1"/>
  <c r="ADM23" i="30"/>
  <c r="ADM22" i="30" s="1"/>
  <c r="ADM60" i="30" s="1"/>
  <c r="ADL23" i="30"/>
  <c r="ADL22" i="30" s="1"/>
  <c r="ADL60" i="30" s="1"/>
  <c r="ADK23" i="30"/>
  <c r="ADK22" i="30" s="1"/>
  <c r="ADK60" i="30" s="1"/>
  <c r="ADJ23" i="30"/>
  <c r="ADJ22" i="30" s="1"/>
  <c r="ADJ60" i="30" s="1"/>
  <c r="ADI23" i="30"/>
  <c r="ADI22" i="30" s="1"/>
  <c r="ADI60" i="30" s="1"/>
  <c r="ADH23" i="30"/>
  <c r="ADH22" i="30" s="1"/>
  <c r="ADH60" i="30" s="1"/>
  <c r="ADG23" i="30"/>
  <c r="ADG22" i="30" s="1"/>
  <c r="ADG60" i="30" s="1"/>
  <c r="ADF23" i="30"/>
  <c r="ADF22" i="30" s="1"/>
  <c r="ADF60" i="30" s="1"/>
  <c r="ADE23" i="30"/>
  <c r="ADE22" i="30" s="1"/>
  <c r="ADE60" i="30" s="1"/>
  <c r="ADD23" i="30"/>
  <c r="ADD22" i="30" s="1"/>
  <c r="ADD60" i="30" s="1"/>
  <c r="ADC23" i="30"/>
  <c r="ADC22" i="30" s="1"/>
  <c r="ADC60" i="30" s="1"/>
  <c r="ADB23" i="30"/>
  <c r="ADA23" i="30"/>
  <c r="ACZ23" i="30"/>
  <c r="ACZ22" i="30" s="1"/>
  <c r="ACZ60" i="30" s="1"/>
  <c r="ACY23" i="30"/>
  <c r="ACY22" i="30" s="1"/>
  <c r="ACY60" i="30" s="1"/>
  <c r="ACX23" i="30"/>
  <c r="ACX22" i="30" s="1"/>
  <c r="ACX60" i="30" s="1"/>
  <c r="ACW23" i="30"/>
  <c r="ACW22" i="30" s="1"/>
  <c r="ACW60" i="30" s="1"/>
  <c r="ACV23" i="30"/>
  <c r="ACU23" i="30"/>
  <c r="ACU22" i="30" s="1"/>
  <c r="ACU60" i="30" s="1"/>
  <c r="ACT23" i="30"/>
  <c r="ACT22" i="30" s="1"/>
  <c r="ACT60" i="30" s="1"/>
  <c r="ACS23" i="30"/>
  <c r="ACS22" i="30" s="1"/>
  <c r="ACS60" i="30" s="1"/>
  <c r="ACR23" i="30"/>
  <c r="ACR22" i="30" s="1"/>
  <c r="ACR60" i="30" s="1"/>
  <c r="ACQ23" i="30"/>
  <c r="ACQ22" i="30" s="1"/>
  <c r="ACQ60" i="30" s="1"/>
  <c r="ACP23" i="30"/>
  <c r="ACP22" i="30" s="1"/>
  <c r="ACP60" i="30" s="1"/>
  <c r="ACO23" i="30"/>
  <c r="ACO22" i="30" s="1"/>
  <c r="ACO60" i="30" s="1"/>
  <c r="ACN23" i="30"/>
  <c r="ACN22" i="30" s="1"/>
  <c r="ACN60" i="30" s="1"/>
  <c r="ACM23" i="30"/>
  <c r="ACM22" i="30" s="1"/>
  <c r="ACM60" i="30" s="1"/>
  <c r="ACL23" i="30"/>
  <c r="ACL22" i="30" s="1"/>
  <c r="ACL60" i="30" s="1"/>
  <c r="ACK23" i="30"/>
  <c r="ACK22" i="30" s="1"/>
  <c r="ACK60" i="30" s="1"/>
  <c r="ACJ23" i="30"/>
  <c r="ACJ22" i="30" s="1"/>
  <c r="ACJ60" i="30" s="1"/>
  <c r="ACI23" i="30"/>
  <c r="ACI22" i="30" s="1"/>
  <c r="ACI60" i="30" s="1"/>
  <c r="ACH23" i="30"/>
  <c r="ACH22" i="30" s="1"/>
  <c r="ACH60" i="30" s="1"/>
  <c r="ACG23" i="30"/>
  <c r="ACG22" i="30" s="1"/>
  <c r="ACG60" i="30" s="1"/>
  <c r="ACF23" i="30"/>
  <c r="ACF22" i="30" s="1"/>
  <c r="ACF60" i="30" s="1"/>
  <c r="ACE23" i="30"/>
  <c r="ACE22" i="30" s="1"/>
  <c r="ACE60" i="30" s="1"/>
  <c r="ACD23" i="30"/>
  <c r="ACD22" i="30" s="1"/>
  <c r="ACD60" i="30" s="1"/>
  <c r="ACC23" i="30"/>
  <c r="ACC22" i="30" s="1"/>
  <c r="ACC60" i="30" s="1"/>
  <c r="ACB23" i="30"/>
  <c r="ACB22" i="30" s="1"/>
  <c r="ACB60" i="30" s="1"/>
  <c r="ACA23" i="30"/>
  <c r="ACA22" i="30" s="1"/>
  <c r="ACA60" i="30" s="1"/>
  <c r="ABZ23" i="30"/>
  <c r="ABZ22" i="30" s="1"/>
  <c r="ABZ60" i="30" s="1"/>
  <c r="ABY23" i="30"/>
  <c r="ABY22" i="30" s="1"/>
  <c r="ABY60" i="30" s="1"/>
  <c r="ABX23" i="30"/>
  <c r="ABX22" i="30" s="1"/>
  <c r="ABX60" i="30" s="1"/>
  <c r="ABW23" i="30"/>
  <c r="ABW22" i="30" s="1"/>
  <c r="ABW60" i="30" s="1"/>
  <c r="ABV23" i="30"/>
  <c r="ABV22" i="30" s="1"/>
  <c r="ABV60" i="30" s="1"/>
  <c r="ABU23" i="30"/>
  <c r="ABU22" i="30" s="1"/>
  <c r="ABU60" i="30" s="1"/>
  <c r="ABT23" i="30"/>
  <c r="ABT22" i="30" s="1"/>
  <c r="ABT60" i="30" s="1"/>
  <c r="ABS23" i="30"/>
  <c r="ABS22" i="30" s="1"/>
  <c r="ABS60" i="30" s="1"/>
  <c r="ABR23" i="30"/>
  <c r="ABQ23" i="30"/>
  <c r="ABQ22" i="30" s="1"/>
  <c r="ABQ60" i="30" s="1"/>
  <c r="ABP23" i="30"/>
  <c r="ABP22" i="30" s="1"/>
  <c r="ABP60" i="30" s="1"/>
  <c r="ABO23" i="30"/>
  <c r="ABO22" i="30" s="1"/>
  <c r="ABO60" i="30" s="1"/>
  <c r="ABN23" i="30"/>
  <c r="ABN22" i="30" s="1"/>
  <c r="ABN60" i="30" s="1"/>
  <c r="ABM23" i="30"/>
  <c r="ABM22" i="30" s="1"/>
  <c r="ABM60" i="30" s="1"/>
  <c r="ABL23" i="30"/>
  <c r="ABL22" i="30" s="1"/>
  <c r="ABL60" i="30" s="1"/>
  <c r="ABK23" i="30"/>
  <c r="ABK22" i="30" s="1"/>
  <c r="ABK60" i="30" s="1"/>
  <c r="ABJ23" i="30"/>
  <c r="ABJ22" i="30" s="1"/>
  <c r="ABJ60" i="30" s="1"/>
  <c r="ABI23" i="30"/>
  <c r="ABI22" i="30" s="1"/>
  <c r="ABI60" i="30" s="1"/>
  <c r="ABH23" i="30"/>
  <c r="ABH22" i="30" s="1"/>
  <c r="ABH60" i="30" s="1"/>
  <c r="ABG23" i="30"/>
  <c r="ABG22" i="30" s="1"/>
  <c r="ABG60" i="30" s="1"/>
  <c r="ABF23" i="30"/>
  <c r="ABE23" i="30"/>
  <c r="ABE22" i="30" s="1"/>
  <c r="ABE60" i="30" s="1"/>
  <c r="ABD23" i="30"/>
  <c r="ABD22" i="30" s="1"/>
  <c r="ABD60" i="30" s="1"/>
  <c r="ABC23" i="30"/>
  <c r="ABC22" i="30" s="1"/>
  <c r="ABC60" i="30" s="1"/>
  <c r="ABB23" i="30"/>
  <c r="ABB22" i="30" s="1"/>
  <c r="ABB60" i="30" s="1"/>
  <c r="ABA23" i="30"/>
  <c r="ABA22" i="30" s="1"/>
  <c r="ABA60" i="30" s="1"/>
  <c r="AAZ23" i="30"/>
  <c r="AAY23" i="30"/>
  <c r="AAY22" i="30" s="1"/>
  <c r="AAY60" i="30" s="1"/>
  <c r="AAX23" i="30"/>
  <c r="AAX22" i="30" s="1"/>
  <c r="AAX60" i="30" s="1"/>
  <c r="AAW23" i="30"/>
  <c r="AAW22" i="30" s="1"/>
  <c r="AAW60" i="30" s="1"/>
  <c r="AAV23" i="30"/>
  <c r="AAV22" i="30" s="1"/>
  <c r="AAV60" i="30" s="1"/>
  <c r="AGI22" i="30"/>
  <c r="AGI60" i="30" s="1"/>
  <c r="AGH22" i="30"/>
  <c r="AGH60" i="30" s="1"/>
  <c r="AGG22" i="30"/>
  <c r="AGG60" i="30" s="1"/>
  <c r="AGF22" i="30"/>
  <c r="AGF60" i="30" s="1"/>
  <c r="AGC22" i="30"/>
  <c r="AGC60" i="30" s="1"/>
  <c r="AFY22" i="30"/>
  <c r="AFY60" i="30" s="1"/>
  <c r="AFL22" i="30"/>
  <c r="AFL60" i="30" s="1"/>
  <c r="AFJ22" i="30"/>
  <c r="AFJ60" i="30" s="1"/>
  <c r="AFA22" i="30"/>
  <c r="AFA60" i="30" s="1"/>
  <c r="AER22" i="30"/>
  <c r="AER60" i="30" s="1"/>
  <c r="AEO22" i="30"/>
  <c r="AEO60" i="30" s="1"/>
  <c r="AEC22" i="30"/>
  <c r="AEC60" i="30" s="1"/>
  <c r="ADQ22" i="30"/>
  <c r="ADQ60" i="30" s="1"/>
  <c r="ADB22" i="30"/>
  <c r="ADB60" i="30" s="1"/>
  <c r="ADA22" i="30"/>
  <c r="ADA60" i="30" s="1"/>
  <c r="ACV22" i="30"/>
  <c r="ACV60" i="30" s="1"/>
  <c r="ABR22" i="30"/>
  <c r="ABR60" i="30" s="1"/>
  <c r="ABF22" i="30"/>
  <c r="ABF60" i="30" s="1"/>
  <c r="AAZ22" i="30"/>
  <c r="AAZ60" i="30" s="1"/>
  <c r="AGI19" i="30"/>
  <c r="AGH19" i="30"/>
  <c r="AGG19" i="30"/>
  <c r="AGF19" i="30"/>
  <c r="AGE19" i="30"/>
  <c r="AGE18" i="30" s="1"/>
  <c r="AGE61" i="30" s="1"/>
  <c r="AGD19" i="30"/>
  <c r="AGD18" i="30" s="1"/>
  <c r="AGD61" i="30" s="1"/>
  <c r="AGC19" i="30"/>
  <c r="AGC18" i="30" s="1"/>
  <c r="AGC61" i="30" s="1"/>
  <c r="AGB19" i="30"/>
  <c r="AGB18" i="30" s="1"/>
  <c r="AGB61" i="30" s="1"/>
  <c r="AGA19" i="30"/>
  <c r="AGA18" i="30" s="1"/>
  <c r="AGA61" i="30" s="1"/>
  <c r="AFZ19" i="30"/>
  <c r="AFZ18" i="30" s="1"/>
  <c r="AFZ61" i="30" s="1"/>
  <c r="AFY19" i="30"/>
  <c r="AFY18" i="30" s="1"/>
  <c r="AFY61" i="30" s="1"/>
  <c r="AFX19" i="30"/>
  <c r="AFX18" i="30" s="1"/>
  <c r="AFX61" i="30" s="1"/>
  <c r="AFW19" i="30"/>
  <c r="AFW18" i="30" s="1"/>
  <c r="AFW61" i="30" s="1"/>
  <c r="AFV19" i="30"/>
  <c r="AFV18" i="30" s="1"/>
  <c r="AFV61" i="30" s="1"/>
  <c r="AFU19" i="30"/>
  <c r="AFU18" i="30" s="1"/>
  <c r="AFU61" i="30" s="1"/>
  <c r="AFT19" i="30"/>
  <c r="AFS19" i="30"/>
  <c r="AFR19" i="30"/>
  <c r="AFR18" i="30" s="1"/>
  <c r="AFR61" i="30" s="1"/>
  <c r="AFQ19" i="30"/>
  <c r="AFQ18" i="30" s="1"/>
  <c r="AFQ61" i="30" s="1"/>
  <c r="AFP19" i="30"/>
  <c r="AFP18" i="30" s="1"/>
  <c r="AFP61" i="30" s="1"/>
  <c r="AFO19" i="30"/>
  <c r="AFO18" i="30" s="1"/>
  <c r="AFO61" i="30" s="1"/>
  <c r="AFN19" i="30"/>
  <c r="AFN18" i="30" s="1"/>
  <c r="AFN61" i="30" s="1"/>
  <c r="AFM19" i="30"/>
  <c r="AFM18" i="30" s="1"/>
  <c r="AFM61" i="30" s="1"/>
  <c r="AFL19" i="30"/>
  <c r="AFL18" i="30" s="1"/>
  <c r="AFL61" i="30" s="1"/>
  <c r="AFK19" i="30"/>
  <c r="AFK18" i="30" s="1"/>
  <c r="AFK61" i="30" s="1"/>
  <c r="AFJ19" i="30"/>
  <c r="AFJ18" i="30" s="1"/>
  <c r="AFJ61" i="30" s="1"/>
  <c r="AFI19" i="30"/>
  <c r="AFI18" i="30" s="1"/>
  <c r="AFI61" i="30" s="1"/>
  <c r="AFH19" i="30"/>
  <c r="AFH18" i="30" s="1"/>
  <c r="AFH61" i="30" s="1"/>
  <c r="AFG19" i="30"/>
  <c r="AFG18" i="30" s="1"/>
  <c r="AFG61" i="30" s="1"/>
  <c r="AFF19" i="30"/>
  <c r="AFF18" i="30" s="1"/>
  <c r="AFF61" i="30" s="1"/>
  <c r="AFE19" i="30"/>
  <c r="AFE18" i="30" s="1"/>
  <c r="AFE61" i="30" s="1"/>
  <c r="AFD19" i="30"/>
  <c r="AFD18" i="30" s="1"/>
  <c r="AFD61" i="30" s="1"/>
  <c r="AFC19" i="30"/>
  <c r="AFC18" i="30" s="1"/>
  <c r="AFC61" i="30" s="1"/>
  <c r="AFB19" i="30"/>
  <c r="AFB18" i="30" s="1"/>
  <c r="AFB61" i="30" s="1"/>
  <c r="AFA19" i="30"/>
  <c r="AFA18" i="30" s="1"/>
  <c r="AFA61" i="30" s="1"/>
  <c r="AEZ19" i="30"/>
  <c r="AEY19" i="30"/>
  <c r="AEY18" i="30" s="1"/>
  <c r="AEY61" i="30" s="1"/>
  <c r="AEX19" i="30"/>
  <c r="AEX18" i="30" s="1"/>
  <c r="AEX61" i="30" s="1"/>
  <c r="AEW19" i="30"/>
  <c r="AEV19" i="30"/>
  <c r="AEU19" i="30"/>
  <c r="AET19" i="30"/>
  <c r="AET18" i="30" s="1"/>
  <c r="AET61" i="30" s="1"/>
  <c r="AES19" i="30"/>
  <c r="AES18" i="30" s="1"/>
  <c r="AES61" i="30" s="1"/>
  <c r="AER19" i="30"/>
  <c r="AER18" i="30" s="1"/>
  <c r="AER61" i="30" s="1"/>
  <c r="AEQ19" i="30"/>
  <c r="AEQ18" i="30" s="1"/>
  <c r="AEQ61" i="30" s="1"/>
  <c r="AEP19" i="30"/>
  <c r="AEP18" i="30" s="1"/>
  <c r="AEP61" i="30" s="1"/>
  <c r="AEO19" i="30"/>
  <c r="AEO18" i="30" s="1"/>
  <c r="AEO61" i="30" s="1"/>
  <c r="AEN19" i="30"/>
  <c r="AEN18" i="30" s="1"/>
  <c r="AEN61" i="30" s="1"/>
  <c r="AEM19" i="30"/>
  <c r="AEM18" i="30" s="1"/>
  <c r="AEM61" i="30" s="1"/>
  <c r="AEL19" i="30"/>
  <c r="AEL18" i="30" s="1"/>
  <c r="AEL61" i="30" s="1"/>
  <c r="AEK19" i="30"/>
  <c r="AEK18" i="30" s="1"/>
  <c r="AEK61" i="30" s="1"/>
  <c r="AEJ19" i="30"/>
  <c r="AEI19" i="30"/>
  <c r="AEI18" i="30" s="1"/>
  <c r="AEI61" i="30" s="1"/>
  <c r="AEH19" i="30"/>
  <c r="AEH18" i="30" s="1"/>
  <c r="AEH61" i="30" s="1"/>
  <c r="AEG19" i="30"/>
  <c r="AEG18" i="30" s="1"/>
  <c r="AEG61" i="30" s="1"/>
  <c r="AEF19" i="30"/>
  <c r="AEF18" i="30" s="1"/>
  <c r="AEF61" i="30" s="1"/>
  <c r="AEE19" i="30"/>
  <c r="AEE18" i="30" s="1"/>
  <c r="AEE61" i="30" s="1"/>
  <c r="AED19" i="30"/>
  <c r="AED18" i="30" s="1"/>
  <c r="AED61" i="30" s="1"/>
  <c r="AEC19" i="30"/>
  <c r="AEC18" i="30" s="1"/>
  <c r="AEC61" i="30" s="1"/>
  <c r="AEB19" i="30"/>
  <c r="AEB18" i="30" s="1"/>
  <c r="AEB61" i="30" s="1"/>
  <c r="AEA19" i="30"/>
  <c r="AEA18" i="30" s="1"/>
  <c r="AEA61" i="30" s="1"/>
  <c r="ADZ19" i="30"/>
  <c r="ADZ18" i="30" s="1"/>
  <c r="ADZ61" i="30" s="1"/>
  <c r="ADY19" i="30"/>
  <c r="ADY18" i="30" s="1"/>
  <c r="ADY61" i="30" s="1"/>
  <c r="ADX19" i="30"/>
  <c r="ADX18" i="30" s="1"/>
  <c r="ADX61" i="30" s="1"/>
  <c r="ADW19" i="30"/>
  <c r="ADW18" i="30" s="1"/>
  <c r="ADW61" i="30" s="1"/>
  <c r="ADV19" i="30"/>
  <c r="ADV18" i="30" s="1"/>
  <c r="ADV61" i="30" s="1"/>
  <c r="ADU19" i="30"/>
  <c r="ADU18" i="30" s="1"/>
  <c r="ADU61" i="30" s="1"/>
  <c r="ADT19" i="30"/>
  <c r="ADT18" i="30" s="1"/>
  <c r="ADT61" i="30" s="1"/>
  <c r="ADS19" i="30"/>
  <c r="ADS18" i="30" s="1"/>
  <c r="ADS61" i="30" s="1"/>
  <c r="ADR19" i="30"/>
  <c r="ADR18" i="30" s="1"/>
  <c r="ADR61" i="30" s="1"/>
  <c r="ADQ19" i="30"/>
  <c r="ADQ18" i="30" s="1"/>
  <c r="ADQ61" i="30" s="1"/>
  <c r="ADP19" i="30"/>
  <c r="ADO19" i="30"/>
  <c r="ADO18" i="30" s="1"/>
  <c r="ADO61" i="30" s="1"/>
  <c r="ADN19" i="30"/>
  <c r="ADN18" i="30" s="1"/>
  <c r="ADN61" i="30" s="1"/>
  <c r="ADM19" i="30"/>
  <c r="ADM18" i="30" s="1"/>
  <c r="ADM61" i="30" s="1"/>
  <c r="ADL19" i="30"/>
  <c r="ADK19" i="30"/>
  <c r="ADJ19" i="30"/>
  <c r="ADI19" i="30"/>
  <c r="ADI18" i="30" s="1"/>
  <c r="ADI61" i="30" s="1"/>
  <c r="ADH19" i="30"/>
  <c r="ADH18" i="30" s="1"/>
  <c r="ADH61" i="30" s="1"/>
  <c r="ADG19" i="30"/>
  <c r="ADG18" i="30" s="1"/>
  <c r="ADG61" i="30" s="1"/>
  <c r="ADF19" i="30"/>
  <c r="ADF18" i="30" s="1"/>
  <c r="ADF61" i="30" s="1"/>
  <c r="ADE19" i="30"/>
  <c r="ADE18" i="30" s="1"/>
  <c r="ADE61" i="30" s="1"/>
  <c r="ADD19" i="30"/>
  <c r="ADD18" i="30" s="1"/>
  <c r="ADD61" i="30" s="1"/>
  <c r="ADC19" i="30"/>
  <c r="ADC18" i="30" s="1"/>
  <c r="ADC61" i="30" s="1"/>
  <c r="ADB19" i="30"/>
  <c r="ADB18" i="30" s="1"/>
  <c r="ADB61" i="30" s="1"/>
  <c r="ADA19" i="30"/>
  <c r="ADA18" i="30" s="1"/>
  <c r="ADA61" i="30" s="1"/>
  <c r="ACZ19" i="30"/>
  <c r="ACZ18" i="30" s="1"/>
  <c r="ACZ61" i="30" s="1"/>
  <c r="ACY19" i="30"/>
  <c r="ACY18" i="30" s="1"/>
  <c r="ACY61" i="30" s="1"/>
  <c r="ACX19" i="30"/>
  <c r="ACX18" i="30" s="1"/>
  <c r="ACX61" i="30" s="1"/>
  <c r="ACW19" i="30"/>
  <c r="ACW18" i="30" s="1"/>
  <c r="ACW61" i="30" s="1"/>
  <c r="ACV19" i="30"/>
  <c r="ACV18" i="30" s="1"/>
  <c r="ACV61" i="30" s="1"/>
  <c r="ACU19" i="30"/>
  <c r="ACU18" i="30" s="1"/>
  <c r="ACU61" i="30" s="1"/>
  <c r="ACT19" i="30"/>
  <c r="ACT18" i="30" s="1"/>
  <c r="ACT61" i="30" s="1"/>
  <c r="ACS19" i="30"/>
  <c r="ACS18" i="30" s="1"/>
  <c r="ACS61" i="30" s="1"/>
  <c r="ACR19" i="30"/>
  <c r="ACQ19" i="30"/>
  <c r="ACQ18" i="30" s="1"/>
  <c r="ACQ61" i="30" s="1"/>
  <c r="ACP19" i="30"/>
  <c r="ACP18" i="30" s="1"/>
  <c r="ACP61" i="30" s="1"/>
  <c r="ACO19" i="30"/>
  <c r="ACN19" i="30"/>
  <c r="ACM19" i="30"/>
  <c r="ACM18" i="30" s="1"/>
  <c r="ACM61" i="30" s="1"/>
  <c r="ACL19" i="30"/>
  <c r="ACL18" i="30" s="1"/>
  <c r="ACL61" i="30" s="1"/>
  <c r="ACK19" i="30"/>
  <c r="ACK18" i="30" s="1"/>
  <c r="ACK61" i="30" s="1"/>
  <c r="ACJ19" i="30"/>
  <c r="ACJ18" i="30" s="1"/>
  <c r="ACJ61" i="30" s="1"/>
  <c r="ACI19" i="30"/>
  <c r="ACI18" i="30" s="1"/>
  <c r="ACI61" i="30" s="1"/>
  <c r="ACH19" i="30"/>
  <c r="ACH18" i="30" s="1"/>
  <c r="ACH61" i="30" s="1"/>
  <c r="ACG19" i="30"/>
  <c r="ACG18" i="30" s="1"/>
  <c r="ACG61" i="30" s="1"/>
  <c r="ACF19" i="30"/>
  <c r="ACF18" i="30" s="1"/>
  <c r="ACF61" i="30" s="1"/>
  <c r="ACE19" i="30"/>
  <c r="ACE18" i="30" s="1"/>
  <c r="ACE61" i="30" s="1"/>
  <c r="ACD19" i="30"/>
  <c r="ACD18" i="30" s="1"/>
  <c r="ACD61" i="30" s="1"/>
  <c r="ACC19" i="30"/>
  <c r="ACC18" i="30" s="1"/>
  <c r="ACC61" i="30" s="1"/>
  <c r="ACB19" i="30"/>
  <c r="ACA19" i="30"/>
  <c r="ABZ19" i="30"/>
  <c r="ABZ18" i="30" s="1"/>
  <c r="ABZ61" i="30" s="1"/>
  <c r="ABY19" i="30"/>
  <c r="ABY18" i="30" s="1"/>
  <c r="ABY61" i="30" s="1"/>
  <c r="ABX19" i="30"/>
  <c r="ABX18" i="30" s="1"/>
  <c r="ABX61" i="30" s="1"/>
  <c r="ABW19" i="30"/>
  <c r="ABW18" i="30" s="1"/>
  <c r="ABW61" i="30" s="1"/>
  <c r="ABV19" i="30"/>
  <c r="ABV18" i="30" s="1"/>
  <c r="ABV61" i="30" s="1"/>
  <c r="ABU19" i="30"/>
  <c r="ABU18" i="30" s="1"/>
  <c r="ABU61" i="30" s="1"/>
  <c r="ABT19" i="30"/>
  <c r="ABT18" i="30" s="1"/>
  <c r="ABT61" i="30" s="1"/>
  <c r="ABS19" i="30"/>
  <c r="ABS18" i="30" s="1"/>
  <c r="ABS61" i="30" s="1"/>
  <c r="ABR19" i="30"/>
  <c r="ABR18" i="30" s="1"/>
  <c r="ABR61" i="30" s="1"/>
  <c r="ABQ19" i="30"/>
  <c r="ABQ18" i="30" s="1"/>
  <c r="ABQ61" i="30" s="1"/>
  <c r="ABP19" i="30"/>
  <c r="ABP18" i="30" s="1"/>
  <c r="ABP61" i="30" s="1"/>
  <c r="ABO19" i="30"/>
  <c r="ABO18" i="30" s="1"/>
  <c r="ABO61" i="30" s="1"/>
  <c r="ABN19" i="30"/>
  <c r="ABN18" i="30" s="1"/>
  <c r="ABN61" i="30" s="1"/>
  <c r="ABM19" i="30"/>
  <c r="ABM18" i="30" s="1"/>
  <c r="ABM61" i="30" s="1"/>
  <c r="ABL19" i="30"/>
  <c r="ABL18" i="30" s="1"/>
  <c r="ABL61" i="30" s="1"/>
  <c r="ABK19" i="30"/>
  <c r="ABK18" i="30" s="1"/>
  <c r="ABK61" i="30" s="1"/>
  <c r="ABJ19" i="30"/>
  <c r="ABJ18" i="30" s="1"/>
  <c r="ABJ61" i="30" s="1"/>
  <c r="ABI19" i="30"/>
  <c r="ABI18" i="30" s="1"/>
  <c r="ABI61" i="30" s="1"/>
  <c r="ABH19" i="30"/>
  <c r="ABG19" i="30"/>
  <c r="ABG18" i="30" s="1"/>
  <c r="ABG61" i="30" s="1"/>
  <c r="ABF19" i="30"/>
  <c r="ABF18" i="30" s="1"/>
  <c r="ABF61" i="30" s="1"/>
  <c r="ABE19" i="30"/>
  <c r="ABE18" i="30" s="1"/>
  <c r="ABE61" i="30" s="1"/>
  <c r="ABD19" i="30"/>
  <c r="ABD18" i="30" s="1"/>
  <c r="ABD61" i="30" s="1"/>
  <c r="ABC19" i="30"/>
  <c r="ABC18" i="30" s="1"/>
  <c r="ABC61" i="30" s="1"/>
  <c r="ABB19" i="30"/>
  <c r="ABB18" i="30" s="1"/>
  <c r="ABB61" i="30" s="1"/>
  <c r="ABA19" i="30"/>
  <c r="ABA18" i="30" s="1"/>
  <c r="ABA61" i="30" s="1"/>
  <c r="AAZ19" i="30"/>
  <c r="AAZ18" i="30" s="1"/>
  <c r="AAZ61" i="30" s="1"/>
  <c r="AAY19" i="30"/>
  <c r="AAX19" i="30"/>
  <c r="AAX18" i="30" s="1"/>
  <c r="AAX61" i="30" s="1"/>
  <c r="AAW19" i="30"/>
  <c r="AAW18" i="30" s="1"/>
  <c r="AAW61" i="30" s="1"/>
  <c r="AAV19" i="30"/>
  <c r="AAV18" i="30" s="1"/>
  <c r="AAV61" i="30" s="1"/>
  <c r="AGI18" i="30"/>
  <c r="AGI61" i="30" s="1"/>
  <c r="AGH18" i="30"/>
  <c r="AGH61" i="30" s="1"/>
  <c r="AGG18" i="30"/>
  <c r="AGG61" i="30" s="1"/>
  <c r="AGF18" i="30"/>
  <c r="AGF61" i="30" s="1"/>
  <c r="AFT18" i="30"/>
  <c r="AFT61" i="30" s="1"/>
  <c r="AFS18" i="30"/>
  <c r="AFS61" i="30" s="1"/>
  <c r="AEZ18" i="30"/>
  <c r="AEZ61" i="30" s="1"/>
  <c r="AEW18" i="30"/>
  <c r="AEW61" i="30" s="1"/>
  <c r="AEV18" i="30"/>
  <c r="AEV61" i="30" s="1"/>
  <c r="AEU18" i="30"/>
  <c r="AEU61" i="30" s="1"/>
  <c r="AEJ18" i="30"/>
  <c r="AEJ61" i="30" s="1"/>
  <c r="ADP18" i="30"/>
  <c r="ADP61" i="30" s="1"/>
  <c r="ADL18" i="30"/>
  <c r="ADL61" i="30" s="1"/>
  <c r="ADK18" i="30"/>
  <c r="ADK61" i="30" s="1"/>
  <c r="ADJ18" i="30"/>
  <c r="ADJ61" i="30" s="1"/>
  <c r="ACR18" i="30"/>
  <c r="ACR61" i="30" s="1"/>
  <c r="ACO18" i="30"/>
  <c r="ACO61" i="30" s="1"/>
  <c r="ACN18" i="30"/>
  <c r="ACN61" i="30" s="1"/>
  <c r="ACB18" i="30"/>
  <c r="ACB61" i="30" s="1"/>
  <c r="ACA18" i="30"/>
  <c r="ACA61" i="30" s="1"/>
  <c r="ABH18" i="30"/>
  <c r="ABH61" i="30" s="1"/>
  <c r="AAY18" i="30"/>
  <c r="AAY61" i="30" s="1"/>
  <c r="AGI16" i="30"/>
  <c r="AGH16" i="30"/>
  <c r="AGG16" i="30"/>
  <c r="AGF16" i="30"/>
  <c r="AGE16" i="30"/>
  <c r="AGD16" i="30"/>
  <c r="AGD15" i="30" s="1"/>
  <c r="AGC16" i="30"/>
  <c r="AGB16" i="30"/>
  <c r="AGA16" i="30"/>
  <c r="AGA15" i="30" s="1"/>
  <c r="AFZ16" i="30"/>
  <c r="AFY16" i="30"/>
  <c r="AFX16" i="30"/>
  <c r="AFX15" i="30" s="1"/>
  <c r="AFW16" i="30"/>
  <c r="AFW15" i="30" s="1"/>
  <c r="AFV16" i="30"/>
  <c r="AFV15" i="30" s="1"/>
  <c r="AFU16" i="30"/>
  <c r="AFU15" i="30" s="1"/>
  <c r="AFT16" i="30"/>
  <c r="AFT15" i="30" s="1"/>
  <c r="AFS16" i="30"/>
  <c r="AFS15" i="30" s="1"/>
  <c r="AFR16" i="30"/>
  <c r="AFR15" i="30" s="1"/>
  <c r="AFQ16" i="30"/>
  <c r="AFQ15" i="30" s="1"/>
  <c r="AFP16" i="30"/>
  <c r="AFP15" i="30" s="1"/>
  <c r="AFO16" i="30"/>
  <c r="AFO15" i="30" s="1"/>
  <c r="AFN16" i="30"/>
  <c r="AFN15" i="30" s="1"/>
  <c r="AFM16" i="30"/>
  <c r="AFL16" i="30"/>
  <c r="AFL15" i="30" s="1"/>
  <c r="AFK16" i="30"/>
  <c r="AFK15" i="30" s="1"/>
  <c r="AFJ16" i="30"/>
  <c r="AFJ15" i="30" s="1"/>
  <c r="AFI16" i="30"/>
  <c r="AFI15" i="30" s="1"/>
  <c r="AFH16" i="30"/>
  <c r="AFH15" i="30" s="1"/>
  <c r="AFG16" i="30"/>
  <c r="AFG15" i="30" s="1"/>
  <c r="AFF16" i="30"/>
  <c r="AFF15" i="30" s="1"/>
  <c r="AFE16" i="30"/>
  <c r="AFD16" i="30"/>
  <c r="AFC16" i="30"/>
  <c r="AFC15" i="30" s="1"/>
  <c r="AFB16" i="30"/>
  <c r="AFB15" i="30" s="1"/>
  <c r="AFA16" i="30"/>
  <c r="AFA15" i="30" s="1"/>
  <c r="AEZ16" i="30"/>
  <c r="AEZ15" i="30" s="1"/>
  <c r="AEY16" i="30"/>
  <c r="AEY15" i="30" s="1"/>
  <c r="AEX16" i="30"/>
  <c r="AEX15" i="30" s="1"/>
  <c r="AEW16" i="30"/>
  <c r="AEW15" i="30" s="1"/>
  <c r="AEV16" i="30"/>
  <c r="AEV15" i="30" s="1"/>
  <c r="AEU16" i="30"/>
  <c r="AEU15" i="30" s="1"/>
  <c r="AET16" i="30"/>
  <c r="AET15" i="30" s="1"/>
  <c r="AES16" i="30"/>
  <c r="AES15" i="30" s="1"/>
  <c r="AER16" i="30"/>
  <c r="AER15" i="30" s="1"/>
  <c r="AEQ16" i="30"/>
  <c r="AEP16" i="30"/>
  <c r="AEP15" i="30" s="1"/>
  <c r="AEO16" i="30"/>
  <c r="AEN16" i="30"/>
  <c r="AEN15" i="30" s="1"/>
  <c r="AEM16" i="30"/>
  <c r="AEL16" i="30"/>
  <c r="AEL15" i="30" s="1"/>
  <c r="AEK16" i="30"/>
  <c r="AEK15" i="30" s="1"/>
  <c r="AEJ16" i="30"/>
  <c r="AEJ15" i="30" s="1"/>
  <c r="AEI16" i="30"/>
  <c r="AEI15" i="30" s="1"/>
  <c r="AEH16" i="30"/>
  <c r="AEH15" i="30" s="1"/>
  <c r="AEG16" i="30"/>
  <c r="AEG15" i="30" s="1"/>
  <c r="AEF16" i="30"/>
  <c r="AEF15" i="30" s="1"/>
  <c r="AEE16" i="30"/>
  <c r="AEE15" i="30" s="1"/>
  <c r="AED16" i="30"/>
  <c r="AED15" i="30" s="1"/>
  <c r="AEC16" i="30"/>
  <c r="AEC15" i="30" s="1"/>
  <c r="AEB16" i="30"/>
  <c r="AEB15" i="30" s="1"/>
  <c r="AEA16" i="30"/>
  <c r="AEA15" i="30" s="1"/>
  <c r="ADZ16" i="30"/>
  <c r="ADZ15" i="30" s="1"/>
  <c r="ADY16" i="30"/>
  <c r="ADY15" i="30" s="1"/>
  <c r="ADX16" i="30"/>
  <c r="ADX15" i="30" s="1"/>
  <c r="ADW16" i="30"/>
  <c r="ADW15" i="30" s="1"/>
  <c r="ADV16" i="30"/>
  <c r="ADV15" i="30" s="1"/>
  <c r="ADU16" i="30"/>
  <c r="ADT16" i="30"/>
  <c r="ADS16" i="30"/>
  <c r="ADS15" i="30" s="1"/>
  <c r="ADR16" i="30"/>
  <c r="ADR15" i="30" s="1"/>
  <c r="ADQ16" i="30"/>
  <c r="ADQ15" i="30" s="1"/>
  <c r="ADP16" i="30"/>
  <c r="ADP15" i="30" s="1"/>
  <c r="ADO16" i="30"/>
  <c r="ADO15" i="30" s="1"/>
  <c r="ADN16" i="30"/>
  <c r="ADN15" i="30" s="1"/>
  <c r="ADM16" i="30"/>
  <c r="ADM15" i="30" s="1"/>
  <c r="ADL16" i="30"/>
  <c r="ADL15" i="30" s="1"/>
  <c r="ADK16" i="30"/>
  <c r="ADK15" i="30" s="1"/>
  <c r="ADJ16" i="30"/>
  <c r="ADJ15" i="30" s="1"/>
  <c r="ADI16" i="30"/>
  <c r="ADI15" i="30" s="1"/>
  <c r="ADH16" i="30"/>
  <c r="ADG16" i="30"/>
  <c r="ADG15" i="30" s="1"/>
  <c r="ADF16" i="30"/>
  <c r="ADE16" i="30"/>
  <c r="ADD16" i="30"/>
  <c r="ADC16" i="30"/>
  <c r="ADC15" i="30" s="1"/>
  <c r="ADB16" i="30"/>
  <c r="ADB15" i="30" s="1"/>
  <c r="ADA16" i="30"/>
  <c r="ADA15" i="30" s="1"/>
  <c r="ACZ16" i="30"/>
  <c r="ACZ15" i="30" s="1"/>
  <c r="ACY16" i="30"/>
  <c r="ACY15" i="30" s="1"/>
  <c r="ACX16" i="30"/>
  <c r="ACX15" i="30" s="1"/>
  <c r="ACW16" i="30"/>
  <c r="ACW15" i="30" s="1"/>
  <c r="ACV16" i="30"/>
  <c r="ACV15" i="30" s="1"/>
  <c r="ACU16" i="30"/>
  <c r="ACU15" i="30" s="1"/>
  <c r="ACT16" i="30"/>
  <c r="ACT15" i="30" s="1"/>
  <c r="ACS16" i="30"/>
  <c r="ACR16" i="30"/>
  <c r="ACR15" i="30" s="1"/>
  <c r="ACQ16" i="30"/>
  <c r="ACQ15" i="30" s="1"/>
  <c r="ACP16" i="30"/>
  <c r="ACP15" i="30" s="1"/>
  <c r="ACO16" i="30"/>
  <c r="ACO15" i="30" s="1"/>
  <c r="ACN16" i="30"/>
  <c r="ACN15" i="30" s="1"/>
  <c r="ACM16" i="30"/>
  <c r="ACM15" i="30" s="1"/>
  <c r="ACL16" i="30"/>
  <c r="ACL15" i="30" s="1"/>
  <c r="ACK16" i="30"/>
  <c r="ACJ16" i="30"/>
  <c r="ACI16" i="30"/>
  <c r="ACI15" i="30" s="1"/>
  <c r="ACH16" i="30"/>
  <c r="ACH15" i="30" s="1"/>
  <c r="ACG16" i="30"/>
  <c r="ACF16" i="30"/>
  <c r="ACF15" i="30" s="1"/>
  <c r="ACE16" i="30"/>
  <c r="ACD16" i="30"/>
  <c r="ACD15" i="30" s="1"/>
  <c r="ACC16" i="30"/>
  <c r="ACC15" i="30" s="1"/>
  <c r="ACB16" i="30"/>
  <c r="ACB15" i="30" s="1"/>
  <c r="ACA16" i="30"/>
  <c r="ACA15" i="30" s="1"/>
  <c r="ABZ16" i="30"/>
  <c r="ABZ15" i="30" s="1"/>
  <c r="ABY16" i="30"/>
  <c r="ABY15" i="30" s="1"/>
  <c r="ABX16" i="30"/>
  <c r="ABX15" i="30" s="1"/>
  <c r="ABW16" i="30"/>
  <c r="ABW15" i="30" s="1"/>
  <c r="ABV16" i="30"/>
  <c r="ABV15" i="30" s="1"/>
  <c r="ABU16" i="30"/>
  <c r="ABU15" i="30" s="1"/>
  <c r="ABT16" i="30"/>
  <c r="ABT15" i="30" s="1"/>
  <c r="ABS16" i="30"/>
  <c r="ABR16" i="30"/>
  <c r="ABR15" i="30" s="1"/>
  <c r="ABQ16" i="30"/>
  <c r="ABQ15" i="30" s="1"/>
  <c r="ABP16" i="30"/>
  <c r="ABP15" i="30" s="1"/>
  <c r="ABO16" i="30"/>
  <c r="ABO15" i="30" s="1"/>
  <c r="ABN16" i="30"/>
  <c r="ABN15" i="30" s="1"/>
  <c r="ABM16" i="30"/>
  <c r="ABM15" i="30" s="1"/>
  <c r="ABL16" i="30"/>
  <c r="ABL15" i="30" s="1"/>
  <c r="ABK16" i="30"/>
  <c r="ABK15" i="30" s="1"/>
  <c r="ABJ16" i="30"/>
  <c r="ABI16" i="30"/>
  <c r="ABI15" i="30" s="1"/>
  <c r="ABH16" i="30"/>
  <c r="ABH15" i="30" s="1"/>
  <c r="ABG16" i="30"/>
  <c r="ABF16" i="30"/>
  <c r="ABF15" i="30" s="1"/>
  <c r="ABE16" i="30"/>
  <c r="ABE15" i="30" s="1"/>
  <c r="ABD16" i="30"/>
  <c r="ABD15" i="30" s="1"/>
  <c r="ABC16" i="30"/>
  <c r="ABC15" i="30" s="1"/>
  <c r="ABB16" i="30"/>
  <c r="ABB15" i="30" s="1"/>
  <c r="ABA16" i="30"/>
  <c r="ABA15" i="30" s="1"/>
  <c r="AAZ16" i="30"/>
  <c r="AAZ15" i="30" s="1"/>
  <c r="AAY16" i="30"/>
  <c r="AAY15" i="30" s="1"/>
  <c r="AAX16" i="30"/>
  <c r="AAX15" i="30" s="1"/>
  <c r="AAW16" i="30"/>
  <c r="AAW15" i="30" s="1"/>
  <c r="AAV16" i="30"/>
  <c r="AAV15" i="30" s="1"/>
  <c r="AGI15" i="30"/>
  <c r="AGH15" i="30"/>
  <c r="AGG15" i="30"/>
  <c r="AGF15" i="30"/>
  <c r="AGE15" i="30"/>
  <c r="AGC15" i="30"/>
  <c r="AGB15" i="30"/>
  <c r="AFZ15" i="30"/>
  <c r="AFY15" i="30"/>
  <c r="AFM15" i="30"/>
  <c r="AFE15" i="30"/>
  <c r="AFD15" i="30"/>
  <c r="AEQ15" i="30"/>
  <c r="AEO15" i="30"/>
  <c r="AEM15" i="30"/>
  <c r="ADU15" i="30"/>
  <c r="ADT15" i="30"/>
  <c r="ADH15" i="30"/>
  <c r="ADF15" i="30"/>
  <c r="ADE15" i="30"/>
  <c r="ADD15" i="30"/>
  <c r="ACS15" i="30"/>
  <c r="ACK15" i="30"/>
  <c r="ACJ15" i="30"/>
  <c r="ACG15" i="30"/>
  <c r="ACE15" i="30"/>
  <c r="ABS15" i="30"/>
  <c r="ABJ15" i="30"/>
  <c r="ABG15" i="30"/>
  <c r="XW63" i="30"/>
  <c r="AAU49" i="30"/>
  <c r="AAT49" i="30"/>
  <c r="AAS49" i="30"/>
  <c r="AAR49" i="30"/>
  <c r="AAQ49" i="30"/>
  <c r="AAP49" i="30"/>
  <c r="AAO49" i="30"/>
  <c r="AAN49" i="30"/>
  <c r="AAM49" i="30"/>
  <c r="AAL49" i="30"/>
  <c r="AAK49" i="30"/>
  <c r="AAJ49" i="30"/>
  <c r="AAI49" i="30"/>
  <c r="AAH49" i="30"/>
  <c r="AAG49" i="30"/>
  <c r="AAF49" i="30"/>
  <c r="AAE49" i="30"/>
  <c r="AAD49" i="30"/>
  <c r="AAC49" i="30"/>
  <c r="AAC48" i="30" s="1"/>
  <c r="AAB49" i="30"/>
  <c r="AAB48" i="30" s="1"/>
  <c r="AAA49" i="30"/>
  <c r="AAA48" i="30" s="1"/>
  <c r="ZZ49" i="30"/>
  <c r="ZY49" i="30"/>
  <c r="ZX49" i="30"/>
  <c r="ZW49" i="30"/>
  <c r="ZW48" i="30" s="1"/>
  <c r="ZV49" i="30"/>
  <c r="ZU49" i="30"/>
  <c r="ZU48" i="30" s="1"/>
  <c r="ZT49" i="30"/>
  <c r="ZT48" i="30" s="1"/>
  <c r="ZS49" i="30"/>
  <c r="ZS48" i="30" s="1"/>
  <c r="ZR49" i="30"/>
  <c r="ZR48" i="30" s="1"/>
  <c r="ZQ49" i="30"/>
  <c r="ZQ48" i="30" s="1"/>
  <c r="ZP49" i="30"/>
  <c r="ZP48" i="30" s="1"/>
  <c r="ZO49" i="30"/>
  <c r="ZO48" i="30" s="1"/>
  <c r="ZN49" i="30"/>
  <c r="ZN48" i="30" s="1"/>
  <c r="ZM49" i="30"/>
  <c r="ZL49" i="30"/>
  <c r="ZL48" i="30" s="1"/>
  <c r="ZK49" i="30"/>
  <c r="ZK48" i="30" s="1"/>
  <c r="ZJ49" i="30"/>
  <c r="ZJ48" i="30" s="1"/>
  <c r="ZI49" i="30"/>
  <c r="ZI48" i="30" s="1"/>
  <c r="ZH49" i="30"/>
  <c r="ZH48" i="30" s="1"/>
  <c r="ZG49" i="30"/>
  <c r="ZF49" i="30"/>
  <c r="ZF48" i="30" s="1"/>
  <c r="ZE49" i="30"/>
  <c r="ZE48" i="30" s="1"/>
  <c r="ZD49" i="30"/>
  <c r="ZD48" i="30" s="1"/>
  <c r="ZC49" i="30"/>
  <c r="ZC48" i="30" s="1"/>
  <c r="ZB49" i="30"/>
  <c r="ZB48" i="30" s="1"/>
  <c r="ZA49" i="30"/>
  <c r="YZ49" i="30"/>
  <c r="YZ48" i="30" s="1"/>
  <c r="YY49" i="30"/>
  <c r="YX49" i="30"/>
  <c r="YX48" i="30" s="1"/>
  <c r="YW49" i="30"/>
  <c r="YW48" i="30" s="1"/>
  <c r="YV49" i="30"/>
  <c r="YU49" i="30"/>
  <c r="YU48" i="30" s="1"/>
  <c r="YT49" i="30"/>
  <c r="YS49" i="30"/>
  <c r="YS48" i="30" s="1"/>
  <c r="YR49" i="30"/>
  <c r="YR48" i="30" s="1"/>
  <c r="YQ49" i="30"/>
  <c r="YQ48" i="30" s="1"/>
  <c r="YP49" i="30"/>
  <c r="YP48" i="30" s="1"/>
  <c r="YO49" i="30"/>
  <c r="YN49" i="30"/>
  <c r="YM49" i="30"/>
  <c r="YM48" i="30" s="1"/>
  <c r="YL49" i="30"/>
  <c r="YL48" i="30" s="1"/>
  <c r="YK49" i="30"/>
  <c r="YJ49" i="30"/>
  <c r="YJ48" i="30" s="1"/>
  <c r="YI49" i="30"/>
  <c r="YI48" i="30" s="1"/>
  <c r="YH49" i="30"/>
  <c r="YH48" i="30" s="1"/>
  <c r="YG49" i="30"/>
  <c r="YG48" i="30" s="1"/>
  <c r="YF49" i="30"/>
  <c r="YF48" i="30" s="1"/>
  <c r="YE49" i="30"/>
  <c r="YE48" i="30" s="1"/>
  <c r="YD49" i="30"/>
  <c r="YD48" i="30" s="1"/>
  <c r="YC49" i="30"/>
  <c r="YC48" i="30" s="1"/>
  <c r="YB49" i="30"/>
  <c r="YB48" i="30" s="1"/>
  <c r="YA49" i="30"/>
  <c r="YA48" i="30" s="1"/>
  <c r="XZ49" i="30"/>
  <c r="XZ48" i="30" s="1"/>
  <c r="XY49" i="30"/>
  <c r="XY48" i="30" s="1"/>
  <c r="XX49" i="30"/>
  <c r="XX48" i="30" s="1"/>
  <c r="XW49" i="30"/>
  <c r="XW48" i="30" s="1"/>
  <c r="XV49" i="30"/>
  <c r="XV48" i="30" s="1"/>
  <c r="XU49" i="30"/>
  <c r="XU48" i="30" s="1"/>
  <c r="XT49" i="30"/>
  <c r="XT48" i="30" s="1"/>
  <c r="XS49" i="30"/>
  <c r="XS48" i="30" s="1"/>
  <c r="XR49" i="30"/>
  <c r="XR48" i="30" s="1"/>
  <c r="XQ49" i="30"/>
  <c r="XQ48" i="30" s="1"/>
  <c r="XP49" i="30"/>
  <c r="XP48" i="30" s="1"/>
  <c r="XO49" i="30"/>
  <c r="XO48" i="30" s="1"/>
  <c r="XN49" i="30"/>
  <c r="XN48" i="30" s="1"/>
  <c r="XM49" i="30"/>
  <c r="XM48" i="30" s="1"/>
  <c r="XL49" i="30"/>
  <c r="XL48" i="30" s="1"/>
  <c r="XK49" i="30"/>
  <c r="XK48" i="30" s="1"/>
  <c r="XJ49" i="30"/>
  <c r="XJ48" i="30" s="1"/>
  <c r="XI49" i="30"/>
  <c r="XI48" i="30" s="1"/>
  <c r="XH49" i="30"/>
  <c r="XH48" i="30" s="1"/>
  <c r="XG49" i="30"/>
  <c r="XG48" i="30" s="1"/>
  <c r="XF49" i="30"/>
  <c r="XF48" i="30" s="1"/>
  <c r="XE49" i="30"/>
  <c r="XE48" i="30" s="1"/>
  <c r="XD49" i="30"/>
  <c r="XD48" i="30" s="1"/>
  <c r="XC49" i="30"/>
  <c r="XC48" i="30" s="1"/>
  <c r="XB49" i="30"/>
  <c r="XB48" i="30" s="1"/>
  <c r="XA49" i="30"/>
  <c r="XA48" i="30" s="1"/>
  <c r="WZ49" i="30"/>
  <c r="WZ48" i="30" s="1"/>
  <c r="WY49" i="30"/>
  <c r="WY48" i="30" s="1"/>
  <c r="WX49" i="30"/>
  <c r="WX48" i="30" s="1"/>
  <c r="WW49" i="30"/>
  <c r="WW48" i="30" s="1"/>
  <c r="WV49" i="30"/>
  <c r="WV48" i="30" s="1"/>
  <c r="WU49" i="30"/>
  <c r="WU48" i="30" s="1"/>
  <c r="WT49" i="30"/>
  <c r="WT48" i="30" s="1"/>
  <c r="WS49" i="30"/>
  <c r="WR49" i="30"/>
  <c r="WR48" i="30" s="1"/>
  <c r="WQ49" i="30"/>
  <c r="WQ48" i="30" s="1"/>
  <c r="WP49" i="30"/>
  <c r="WP48" i="30" s="1"/>
  <c r="WO49" i="30"/>
  <c r="WO48" i="30" s="1"/>
  <c r="WN49" i="30"/>
  <c r="WN48" i="30" s="1"/>
  <c r="WM49" i="30"/>
  <c r="WM48" i="30" s="1"/>
  <c r="WL49" i="30"/>
  <c r="WL48" i="30" s="1"/>
  <c r="WK49" i="30"/>
  <c r="WK48" i="30" s="1"/>
  <c r="WJ49" i="30"/>
  <c r="WJ48" i="30" s="1"/>
  <c r="WI49" i="30"/>
  <c r="WI48" i="30" s="1"/>
  <c r="WH49" i="30"/>
  <c r="WH48" i="30" s="1"/>
  <c r="WG49" i="30"/>
  <c r="WG48" i="30" s="1"/>
  <c r="WF49" i="30"/>
  <c r="WF48" i="30" s="1"/>
  <c r="WE49" i="30"/>
  <c r="WE48" i="30" s="1"/>
  <c r="WD49" i="30"/>
  <c r="WD48" i="30" s="1"/>
  <c r="WC49" i="30"/>
  <c r="WC48" i="30" s="1"/>
  <c r="WB49" i="30"/>
  <c r="WB48" i="30" s="1"/>
  <c r="WA49" i="30"/>
  <c r="WA48" i="30" s="1"/>
  <c r="VZ49" i="30"/>
  <c r="VZ48" i="30" s="1"/>
  <c r="VY49" i="30"/>
  <c r="VY48" i="30" s="1"/>
  <c r="VX49" i="30"/>
  <c r="VX48" i="30" s="1"/>
  <c r="VW49" i="30"/>
  <c r="VW48" i="30" s="1"/>
  <c r="VV49" i="30"/>
  <c r="VV48" i="30" s="1"/>
  <c r="VU49" i="30"/>
  <c r="VU48" i="30" s="1"/>
  <c r="VT49" i="30"/>
  <c r="VT48" i="30" s="1"/>
  <c r="VS49" i="30"/>
  <c r="VS48" i="30" s="1"/>
  <c r="VR49" i="30"/>
  <c r="VR48" i="30" s="1"/>
  <c r="VQ49" i="30"/>
  <c r="VQ48" i="30" s="1"/>
  <c r="VP49" i="30"/>
  <c r="VP48" i="30" s="1"/>
  <c r="VO49" i="30"/>
  <c r="VO48" i="30" s="1"/>
  <c r="VN49" i="30"/>
  <c r="VN48" i="30" s="1"/>
  <c r="VM49" i="30"/>
  <c r="VM48" i="30" s="1"/>
  <c r="VL49" i="30"/>
  <c r="VL48" i="30" s="1"/>
  <c r="VK49" i="30"/>
  <c r="VK48" i="30" s="1"/>
  <c r="VJ49" i="30"/>
  <c r="VJ48" i="30" s="1"/>
  <c r="VI49" i="30"/>
  <c r="VI48" i="30" s="1"/>
  <c r="VH49" i="30"/>
  <c r="VH48" i="30" s="1"/>
  <c r="AAU48" i="30"/>
  <c r="AAT48" i="30"/>
  <c r="AAS48" i="30"/>
  <c r="AAR48" i="30"/>
  <c r="AAQ48" i="30"/>
  <c r="AAP48" i="30"/>
  <c r="AAO48" i="30"/>
  <c r="AAN48" i="30"/>
  <c r="AAM48" i="30"/>
  <c r="AAL48" i="30"/>
  <c r="AAK48" i="30"/>
  <c r="AAJ48" i="30"/>
  <c r="AAI48" i="30"/>
  <c r="AAH48" i="30"/>
  <c r="AAG48" i="30"/>
  <c r="AAF48" i="30"/>
  <c r="AAE48" i="30"/>
  <c r="AAD48" i="30"/>
  <c r="ZZ48" i="30"/>
  <c r="ZY48" i="30"/>
  <c r="ZX48" i="30"/>
  <c r="ZV48" i="30"/>
  <c r="ZM48" i="30"/>
  <c r="ZG48" i="30"/>
  <c r="ZA48" i="30"/>
  <c r="YY48" i="30"/>
  <c r="YV48" i="30"/>
  <c r="YT48" i="30"/>
  <c r="YO48" i="30"/>
  <c r="YN48" i="30"/>
  <c r="YK48" i="30"/>
  <c r="WS48" i="30"/>
  <c r="AAU44" i="30"/>
  <c r="AAT44" i="30"/>
  <c r="AAS44" i="30"/>
  <c r="AAS66" i="30" s="1"/>
  <c r="AAR44" i="30"/>
  <c r="AAR66" i="30" s="1"/>
  <c r="AAQ44" i="30"/>
  <c r="AAQ66" i="30" s="1"/>
  <c r="AAP44" i="30"/>
  <c r="AAO44" i="30"/>
  <c r="AAN44" i="30"/>
  <c r="AAM44" i="30"/>
  <c r="AAL44" i="30"/>
  <c r="AAK44" i="30"/>
  <c r="AAJ44" i="30"/>
  <c r="AAI44" i="30"/>
  <c r="AAH44" i="30"/>
  <c r="AAG44" i="30"/>
  <c r="AAF44" i="30"/>
  <c r="AAF66" i="30" s="1"/>
  <c r="AAE44" i="30"/>
  <c r="AAE66" i="30" s="1"/>
  <c r="AAD44" i="30"/>
  <c r="AAD66" i="30" s="1"/>
  <c r="AAC44" i="30"/>
  <c r="AAC66" i="30" s="1"/>
  <c r="AAB44" i="30"/>
  <c r="AAB66" i="30" s="1"/>
  <c r="AAA44" i="30"/>
  <c r="AAA66" i="30" s="1"/>
  <c r="ZZ44" i="30"/>
  <c r="ZZ66" i="30" s="1"/>
  <c r="ZY44" i="30"/>
  <c r="ZX44" i="30"/>
  <c r="ZW44" i="30"/>
  <c r="ZV44" i="30"/>
  <c r="ZU44" i="30"/>
  <c r="ZU66" i="30" s="1"/>
  <c r="ZT44" i="30"/>
  <c r="ZT59" i="30" s="1"/>
  <c r="ZS44" i="30"/>
  <c r="ZS59" i="30" s="1"/>
  <c r="ZR44" i="30"/>
  <c r="ZQ44" i="30"/>
  <c r="ZP44" i="30"/>
  <c r="ZO44" i="30"/>
  <c r="ZO66" i="30" s="1"/>
  <c r="ZN44" i="30"/>
  <c r="ZN66" i="30" s="1"/>
  <c r="ZM44" i="30"/>
  <c r="ZL44" i="30"/>
  <c r="ZK44" i="30"/>
  <c r="ZJ44" i="30"/>
  <c r="ZI44" i="30"/>
  <c r="ZH44" i="30"/>
  <c r="ZH66" i="30" s="1"/>
  <c r="ZG44" i="30"/>
  <c r="ZG66" i="30" s="1"/>
  <c r="ZF44" i="30"/>
  <c r="ZF59" i="30" s="1"/>
  <c r="ZE44" i="30"/>
  <c r="ZE59" i="30" s="1"/>
  <c r="ZD44" i="30"/>
  <c r="ZD59" i="30" s="1"/>
  <c r="ZC44" i="30"/>
  <c r="ZB44" i="30"/>
  <c r="ZA44" i="30"/>
  <c r="YZ44" i="30"/>
  <c r="YY44" i="30"/>
  <c r="YX44" i="30"/>
  <c r="YW44" i="30"/>
  <c r="YW66" i="30" s="1"/>
  <c r="YV44" i="30"/>
  <c r="YV66" i="30" s="1"/>
  <c r="YU44" i="30"/>
  <c r="YU66" i="30" s="1"/>
  <c r="YT44" i="30"/>
  <c r="YT66" i="30" s="1"/>
  <c r="YS44" i="30"/>
  <c r="YS66" i="30" s="1"/>
  <c r="YR44" i="30"/>
  <c r="YR66" i="30" s="1"/>
  <c r="YQ44" i="30"/>
  <c r="YQ66" i="30" s="1"/>
  <c r="YP44" i="30"/>
  <c r="YP66" i="30" s="1"/>
  <c r="YO44" i="30"/>
  <c r="YN44" i="30"/>
  <c r="YM44" i="30"/>
  <c r="YL44" i="30"/>
  <c r="YK44" i="30"/>
  <c r="YK66" i="30" s="1"/>
  <c r="YJ44" i="30"/>
  <c r="YJ59" i="30" s="1"/>
  <c r="YI44" i="30"/>
  <c r="YI59" i="30" s="1"/>
  <c r="YH44" i="30"/>
  <c r="YH59" i="30" s="1"/>
  <c r="YG44" i="30"/>
  <c r="YF44" i="30"/>
  <c r="YE44" i="30"/>
  <c r="YE66" i="30" s="1"/>
  <c r="YD44" i="30"/>
  <c r="YD66" i="30" s="1"/>
  <c r="YC44" i="30"/>
  <c r="YC59" i="30" s="1"/>
  <c r="YB44" i="30"/>
  <c r="YB59" i="30" s="1"/>
  <c r="YA44" i="30"/>
  <c r="XZ44" i="30"/>
  <c r="XY44" i="30"/>
  <c r="XY66" i="30" s="1"/>
  <c r="XX44" i="30"/>
  <c r="XX59" i="30" s="1"/>
  <c r="XW44" i="30"/>
  <c r="XW66" i="30" s="1"/>
  <c r="XV44" i="30"/>
  <c r="XV66" i="30" s="1"/>
  <c r="XU44" i="30"/>
  <c r="XT44" i="30"/>
  <c r="XS44" i="30"/>
  <c r="XR44" i="30"/>
  <c r="XQ44" i="30"/>
  <c r="XP44" i="30"/>
  <c r="XO44" i="30"/>
  <c r="XN44" i="30"/>
  <c r="XM44" i="30"/>
  <c r="XM66" i="30" s="1"/>
  <c r="XL44" i="30"/>
  <c r="XL66" i="30" s="1"/>
  <c r="XK44" i="30"/>
  <c r="XK66" i="30" s="1"/>
  <c r="XJ44" i="30"/>
  <c r="XJ66" i="30" s="1"/>
  <c r="XI44" i="30"/>
  <c r="XH44" i="30"/>
  <c r="XG44" i="30"/>
  <c r="XF44" i="30"/>
  <c r="XE44" i="30"/>
  <c r="XE59" i="30" s="1"/>
  <c r="XD44" i="30"/>
  <c r="XD59" i="30" s="1"/>
  <c r="XC44" i="30"/>
  <c r="XB44" i="30"/>
  <c r="XA44" i="30"/>
  <c r="XA66" i="30" s="1"/>
  <c r="WZ44" i="30"/>
  <c r="WZ66" i="30" s="1"/>
  <c r="WY44" i="30"/>
  <c r="WY66" i="30" s="1"/>
  <c r="WX44" i="30"/>
  <c r="WW44" i="30"/>
  <c r="WV44" i="30"/>
  <c r="WU44" i="30"/>
  <c r="WU66" i="30" s="1"/>
  <c r="WT44" i="30"/>
  <c r="WT66" i="30" s="1"/>
  <c r="WS44" i="30"/>
  <c r="WR44" i="30"/>
  <c r="WR59" i="30" s="1"/>
  <c r="WQ44" i="30"/>
  <c r="WP44" i="30"/>
  <c r="WO44" i="30"/>
  <c r="WN44" i="30"/>
  <c r="WM44" i="30"/>
  <c r="WM59" i="30" s="1"/>
  <c r="WL44" i="30"/>
  <c r="WL66" i="30" s="1"/>
  <c r="WK44" i="30"/>
  <c r="WJ44" i="30"/>
  <c r="WI44" i="30"/>
  <c r="WH44" i="30"/>
  <c r="WG44" i="30"/>
  <c r="WF44" i="30"/>
  <c r="WE44" i="30"/>
  <c r="WD44" i="30"/>
  <c r="WC44" i="30"/>
  <c r="WC66" i="30" s="1"/>
  <c r="WB44" i="30"/>
  <c r="WB66" i="30" s="1"/>
  <c r="WA44" i="30"/>
  <c r="WA66" i="30" s="1"/>
  <c r="VZ44" i="30"/>
  <c r="VZ66" i="30" s="1"/>
  <c r="VY44" i="30"/>
  <c r="VX44" i="30"/>
  <c r="VX66" i="30" s="1"/>
  <c r="VW44" i="30"/>
  <c r="VW66" i="30" s="1"/>
  <c r="VV44" i="30"/>
  <c r="VV66" i="30" s="1"/>
  <c r="VU44" i="30"/>
  <c r="VT44" i="30"/>
  <c r="VS44" i="30"/>
  <c r="VR44" i="30"/>
  <c r="VQ44" i="30"/>
  <c r="VQ66" i="30" s="1"/>
  <c r="VP44" i="30"/>
  <c r="VO44" i="30"/>
  <c r="VO59" i="30" s="1"/>
  <c r="VN44" i="30"/>
  <c r="VM44" i="30"/>
  <c r="VM59" i="30" s="1"/>
  <c r="VL44" i="30"/>
  <c r="VL59" i="30" s="1"/>
  <c r="VK44" i="30"/>
  <c r="VK66" i="30" s="1"/>
  <c r="VJ44" i="30"/>
  <c r="VJ66" i="30" s="1"/>
  <c r="VI44" i="30"/>
  <c r="VI59" i="30" s="1"/>
  <c r="VH44" i="30"/>
  <c r="VH59" i="30" s="1"/>
  <c r="AAG66" i="30"/>
  <c r="VP66" i="30"/>
  <c r="AAU40" i="30"/>
  <c r="AAT40" i="30"/>
  <c r="AAS40" i="30"/>
  <c r="AAR40" i="30"/>
  <c r="AAQ40" i="30"/>
  <c r="AAP40" i="30"/>
  <c r="AAO40" i="30"/>
  <c r="AAN40" i="30"/>
  <c r="AAM40" i="30"/>
  <c r="AAL40" i="30"/>
  <c r="AAK40" i="30"/>
  <c r="AAJ40" i="30"/>
  <c r="AAI40" i="30"/>
  <c r="AAH40" i="30"/>
  <c r="AAG40" i="30"/>
  <c r="AAF40" i="30"/>
  <c r="AAE40" i="30"/>
  <c r="AAD40" i="30"/>
  <c r="AAC40" i="30"/>
  <c r="AAB40" i="30"/>
  <c r="AAA40" i="30"/>
  <c r="ZZ40" i="30"/>
  <c r="ZY40" i="30"/>
  <c r="ZX40" i="30"/>
  <c r="ZW40" i="30"/>
  <c r="ZV40" i="30"/>
  <c r="ZU40" i="30"/>
  <c r="ZT40" i="30"/>
  <c r="ZS40" i="30"/>
  <c r="ZR40" i="30"/>
  <c r="ZQ40" i="30"/>
  <c r="ZP40" i="30"/>
  <c r="ZO40" i="30"/>
  <c r="ZN40" i="30"/>
  <c r="ZM40" i="30"/>
  <c r="ZL40" i="30"/>
  <c r="ZK40" i="30"/>
  <c r="ZJ40" i="30"/>
  <c r="ZI40" i="30"/>
  <c r="ZH40" i="30"/>
  <c r="ZG40" i="30"/>
  <c r="ZF40" i="30"/>
  <c r="ZE40" i="30"/>
  <c r="ZD40" i="30"/>
  <c r="ZC40" i="30"/>
  <c r="ZB40" i="30"/>
  <c r="ZA40" i="30"/>
  <c r="YZ40" i="30"/>
  <c r="YY40" i="30"/>
  <c r="YX40" i="30"/>
  <c r="YW40" i="30"/>
  <c r="YV40" i="30"/>
  <c r="YU40" i="30"/>
  <c r="YT40" i="30"/>
  <c r="YS40" i="30"/>
  <c r="YR40" i="30"/>
  <c r="YQ40" i="30"/>
  <c r="YP40" i="30"/>
  <c r="YO40" i="30"/>
  <c r="YN40" i="30"/>
  <c r="YM40" i="30"/>
  <c r="YL40" i="30"/>
  <c r="YK40" i="30"/>
  <c r="YJ40" i="30"/>
  <c r="YI40" i="30"/>
  <c r="YH40" i="30"/>
  <c r="YG40" i="30"/>
  <c r="YF40" i="30"/>
  <c r="YE40" i="30"/>
  <c r="YD40" i="30"/>
  <c r="YC40" i="30"/>
  <c r="YB40" i="30"/>
  <c r="YB39" i="30" s="1"/>
  <c r="YB58" i="30" s="1"/>
  <c r="YA40" i="30"/>
  <c r="XZ40" i="30"/>
  <c r="XZ39" i="30" s="1"/>
  <c r="XY40" i="30"/>
  <c r="XY39" i="30" s="1"/>
  <c r="XX40" i="30"/>
  <c r="XX39" i="30" s="1"/>
  <c r="XX58" i="30" s="1"/>
  <c r="XW40" i="30"/>
  <c r="XW39" i="30" s="1"/>
  <c r="XW58" i="30" s="1"/>
  <c r="XV40" i="30"/>
  <c r="XV39" i="30" s="1"/>
  <c r="XU40" i="30"/>
  <c r="XU39" i="30" s="1"/>
  <c r="XT40" i="30"/>
  <c r="XT39" i="30" s="1"/>
  <c r="XS40" i="30"/>
  <c r="XR40" i="30"/>
  <c r="XQ40" i="30"/>
  <c r="XP40" i="30"/>
  <c r="XP39" i="30" s="1"/>
  <c r="XO40" i="30"/>
  <c r="XN40" i="30"/>
  <c r="XN39" i="30" s="1"/>
  <c r="XM40" i="30"/>
  <c r="XM39" i="30" s="1"/>
  <c r="XL40" i="30"/>
  <c r="XL39" i="30" s="1"/>
  <c r="XL65" i="30" s="1"/>
  <c r="XK40" i="30"/>
  <c r="XK39" i="30" s="1"/>
  <c r="XK65" i="30" s="1"/>
  <c r="XJ40" i="30"/>
  <c r="XJ39" i="30" s="1"/>
  <c r="XJ65" i="30" s="1"/>
  <c r="XI40" i="30"/>
  <c r="XI39" i="30" s="1"/>
  <c r="XI65" i="30" s="1"/>
  <c r="XH40" i="30"/>
  <c r="XH39" i="30" s="1"/>
  <c r="XH65" i="30" s="1"/>
  <c r="XG40" i="30"/>
  <c r="XF40" i="30"/>
  <c r="XE40" i="30"/>
  <c r="XD40" i="30"/>
  <c r="XD39" i="30" s="1"/>
  <c r="XD58" i="30" s="1"/>
  <c r="XC40" i="30"/>
  <c r="XB40" i="30"/>
  <c r="XB39" i="30" s="1"/>
  <c r="XA40" i="30"/>
  <c r="XA39" i="30" s="1"/>
  <c r="XA65" i="30" s="1"/>
  <c r="WZ40" i="30"/>
  <c r="WZ39" i="30" s="1"/>
  <c r="WZ65" i="30" s="1"/>
  <c r="WY40" i="30"/>
  <c r="WY39" i="30" s="1"/>
  <c r="WY65" i="30" s="1"/>
  <c r="WX40" i="30"/>
  <c r="WX39" i="30" s="1"/>
  <c r="WW40" i="30"/>
  <c r="WW39" i="30" s="1"/>
  <c r="WW65" i="30" s="1"/>
  <c r="WV40" i="30"/>
  <c r="WV39" i="30" s="1"/>
  <c r="WV65" i="30" s="1"/>
  <c r="WU40" i="30"/>
  <c r="WT40" i="30"/>
  <c r="WS40" i="30"/>
  <c r="WR40" i="30"/>
  <c r="WR39" i="30" s="1"/>
  <c r="WR58" i="30" s="1"/>
  <c r="WQ40" i="30"/>
  <c r="WP40" i="30"/>
  <c r="WP39" i="30" s="1"/>
  <c r="WP65" i="30" s="1"/>
  <c r="WO40" i="30"/>
  <c r="WO39" i="30" s="1"/>
  <c r="WO65" i="30" s="1"/>
  <c r="WN40" i="30"/>
  <c r="WN39" i="30" s="1"/>
  <c r="WN58" i="30" s="1"/>
  <c r="WM40" i="30"/>
  <c r="WM39" i="30" s="1"/>
  <c r="WM58" i="30" s="1"/>
  <c r="WL40" i="30"/>
  <c r="WL39" i="30" s="1"/>
  <c r="WL58" i="30" s="1"/>
  <c r="WK40" i="30"/>
  <c r="WK39" i="30" s="1"/>
  <c r="WJ40" i="30"/>
  <c r="WJ39" i="30" s="1"/>
  <c r="WJ65" i="30" s="1"/>
  <c r="WI40" i="30"/>
  <c r="WH40" i="30"/>
  <c r="WG40" i="30"/>
  <c r="WF40" i="30"/>
  <c r="WF39" i="30" s="1"/>
  <c r="WF65" i="30" s="1"/>
  <c r="WE40" i="30"/>
  <c r="WD40" i="30"/>
  <c r="WD39" i="30" s="1"/>
  <c r="WD65" i="30" s="1"/>
  <c r="WC40" i="30"/>
  <c r="WC39" i="30" s="1"/>
  <c r="WC65" i="30" s="1"/>
  <c r="WB40" i="30"/>
  <c r="WB39" i="30" s="1"/>
  <c r="WB58" i="30" s="1"/>
  <c r="WA40" i="30"/>
  <c r="WA39" i="30" s="1"/>
  <c r="WA58" i="30" s="1"/>
  <c r="VZ40" i="30"/>
  <c r="VZ39" i="30" s="1"/>
  <c r="VY40" i="30"/>
  <c r="VY39" i="30" s="1"/>
  <c r="VX40" i="30"/>
  <c r="VX39" i="30" s="1"/>
  <c r="VW40" i="30"/>
  <c r="VV40" i="30"/>
  <c r="VU40" i="30"/>
  <c r="VT40" i="30"/>
  <c r="VT39" i="30" s="1"/>
  <c r="VS40" i="30"/>
  <c r="VR40" i="30"/>
  <c r="VR39" i="30" s="1"/>
  <c r="VQ40" i="30"/>
  <c r="VQ39" i="30" s="1"/>
  <c r="VP40" i="30"/>
  <c r="VP39" i="30" s="1"/>
  <c r="VP65" i="30" s="1"/>
  <c r="VO40" i="30"/>
  <c r="VO39" i="30" s="1"/>
  <c r="VO58" i="30" s="1"/>
  <c r="VN40" i="30"/>
  <c r="VN39" i="30" s="1"/>
  <c r="VM40" i="30"/>
  <c r="VM39" i="30" s="1"/>
  <c r="VL40" i="30"/>
  <c r="VL39" i="30" s="1"/>
  <c r="VK40" i="30"/>
  <c r="VJ40" i="30"/>
  <c r="VI40" i="30"/>
  <c r="VH40" i="30"/>
  <c r="VH39" i="30" s="1"/>
  <c r="VH65" i="30" s="1"/>
  <c r="AAU39" i="30"/>
  <c r="AAT39" i="30"/>
  <c r="AAS39" i="30"/>
  <c r="AAR39" i="30"/>
  <c r="AAQ39" i="30"/>
  <c r="AAQ65" i="30" s="1"/>
  <c r="AAP39" i="30"/>
  <c r="AAO39" i="30"/>
  <c r="AAN39" i="30"/>
  <c r="AAM39" i="30"/>
  <c r="AAL39" i="30"/>
  <c r="AAK39" i="30"/>
  <c r="AAJ39" i="30"/>
  <c r="AAI39" i="30"/>
  <c r="AAH39" i="30"/>
  <c r="AAG39" i="30"/>
  <c r="AAF39" i="30"/>
  <c r="AAF65" i="30" s="1"/>
  <c r="AAE39" i="30"/>
  <c r="AAE65" i="30" s="1"/>
  <c r="AAD39" i="30"/>
  <c r="AAD65" i="30" s="1"/>
  <c r="AAC39" i="30"/>
  <c r="AAC65" i="30" s="1"/>
  <c r="AAB39" i="30"/>
  <c r="AAB65" i="30" s="1"/>
  <c r="AAA39" i="30"/>
  <c r="AAA65" i="30" s="1"/>
  <c r="ZZ39" i="30"/>
  <c r="ZZ65" i="30" s="1"/>
  <c r="ZY39" i="30"/>
  <c r="ZX39" i="30"/>
  <c r="ZW39" i="30"/>
  <c r="ZV39" i="30"/>
  <c r="ZU39" i="30"/>
  <c r="ZU65" i="30" s="1"/>
  <c r="ZT39" i="30"/>
  <c r="ZS39" i="30"/>
  <c r="ZS58" i="30" s="1"/>
  <c r="ZR39" i="30"/>
  <c r="ZQ39" i="30"/>
  <c r="ZP39" i="30"/>
  <c r="ZO39" i="30"/>
  <c r="ZO65" i="30" s="1"/>
  <c r="ZN39" i="30"/>
  <c r="ZN65" i="30" s="1"/>
  <c r="ZM39" i="30"/>
  <c r="ZL39" i="30"/>
  <c r="ZK39" i="30"/>
  <c r="ZJ39" i="30"/>
  <c r="ZI39" i="30"/>
  <c r="ZH39" i="30"/>
  <c r="ZH65" i="30" s="1"/>
  <c r="ZG39" i="30"/>
  <c r="ZG65" i="30" s="1"/>
  <c r="ZF39" i="30"/>
  <c r="ZF65" i="30" s="1"/>
  <c r="ZE39" i="30"/>
  <c r="ZE58" i="30" s="1"/>
  <c r="ZD39" i="30"/>
  <c r="ZD58" i="30" s="1"/>
  <c r="ZC39" i="30"/>
  <c r="ZB39" i="30"/>
  <c r="ZA39" i="30"/>
  <c r="YZ39" i="30"/>
  <c r="YY39" i="30"/>
  <c r="YX39" i="30"/>
  <c r="YW39" i="30"/>
  <c r="YV39" i="30"/>
  <c r="YV65" i="30" s="1"/>
  <c r="YU39" i="30"/>
  <c r="YU65" i="30" s="1"/>
  <c r="YT39" i="30"/>
  <c r="YT65" i="30" s="1"/>
  <c r="YS39" i="30"/>
  <c r="YS65" i="30" s="1"/>
  <c r="YR39" i="30"/>
  <c r="YR65" i="30" s="1"/>
  <c r="YQ39" i="30"/>
  <c r="YQ65" i="30" s="1"/>
  <c r="YP39" i="30"/>
  <c r="YP65" i="30" s="1"/>
  <c r="YO39" i="30"/>
  <c r="YN39" i="30"/>
  <c r="YM39" i="30"/>
  <c r="YL39" i="30"/>
  <c r="YK39" i="30"/>
  <c r="YK65" i="30" s="1"/>
  <c r="YJ39" i="30"/>
  <c r="YI39" i="30"/>
  <c r="YI58" i="30" s="1"/>
  <c r="YH39" i="30"/>
  <c r="YH58" i="30" s="1"/>
  <c r="YG39" i="30"/>
  <c r="YF39" i="30"/>
  <c r="YE39" i="30"/>
  <c r="YE65" i="30" s="1"/>
  <c r="YD39" i="30"/>
  <c r="YD65" i="30" s="1"/>
  <c r="YC39" i="30"/>
  <c r="YC58" i="30" s="1"/>
  <c r="YA39" i="30"/>
  <c r="XS39" i="30"/>
  <c r="XR39" i="30"/>
  <c r="XQ39" i="30"/>
  <c r="XO39" i="30"/>
  <c r="XG39" i="30"/>
  <c r="XG65" i="30" s="1"/>
  <c r="XF39" i="30"/>
  <c r="XE39" i="30"/>
  <c r="XE58" i="30" s="1"/>
  <c r="XC39" i="30"/>
  <c r="XC65" i="30" s="1"/>
  <c r="WU39" i="30"/>
  <c r="WU65" i="30" s="1"/>
  <c r="WT39" i="30"/>
  <c r="WT65" i="30" s="1"/>
  <c r="WS39" i="30"/>
  <c r="WQ39" i="30"/>
  <c r="WQ65" i="30" s="1"/>
  <c r="WI39" i="30"/>
  <c r="WI65" i="30" s="1"/>
  <c r="WH39" i="30"/>
  <c r="WH65" i="30" s="1"/>
  <c r="WG39" i="30"/>
  <c r="WE39" i="30"/>
  <c r="WE65" i="30" s="1"/>
  <c r="VW39" i="30"/>
  <c r="VW65" i="30" s="1"/>
  <c r="VV39" i="30"/>
  <c r="VV65" i="30" s="1"/>
  <c r="VU39" i="30"/>
  <c r="VS39" i="30"/>
  <c r="VK39" i="30"/>
  <c r="VJ39" i="30"/>
  <c r="VI39" i="30"/>
  <c r="VI58" i="30" s="1"/>
  <c r="YF33" i="30"/>
  <c r="YF64" i="30" s="1"/>
  <c r="XT33" i="30"/>
  <c r="XT64" i="30" s="1"/>
  <c r="XK33" i="30"/>
  <c r="XI33" i="30"/>
  <c r="XI64" i="30" s="1"/>
  <c r="AAU33" i="30"/>
  <c r="AAU64" i="30" s="1"/>
  <c r="AAT33" i="30"/>
  <c r="AAT64" i="30" s="1"/>
  <c r="AAS33" i="30"/>
  <c r="AAR33" i="30"/>
  <c r="AAR64" i="30" s="1"/>
  <c r="AAQ33" i="30"/>
  <c r="AAQ64" i="30" s="1"/>
  <c r="AAP33" i="30"/>
  <c r="AAO33" i="30"/>
  <c r="AAN33" i="30"/>
  <c r="AAM33" i="30"/>
  <c r="AAL33" i="30"/>
  <c r="AAK33" i="30"/>
  <c r="AAJ33" i="30"/>
  <c r="AAJ64" i="30" s="1"/>
  <c r="AAI33" i="30"/>
  <c r="AAI64" i="30" s="1"/>
  <c r="AAH33" i="30"/>
  <c r="AAH64" i="30" s="1"/>
  <c r="AAG33" i="30"/>
  <c r="AAG64" i="30" s="1"/>
  <c r="AAF33" i="30"/>
  <c r="AAF64" i="30" s="1"/>
  <c r="AAE33" i="30"/>
  <c r="AAE64" i="30" s="1"/>
  <c r="AAD33" i="30"/>
  <c r="AAC33" i="30"/>
  <c r="AAB33" i="30"/>
  <c r="AAA33" i="30"/>
  <c r="ZZ33" i="30"/>
  <c r="ZY33" i="30"/>
  <c r="ZX33" i="30"/>
  <c r="ZW33" i="30"/>
  <c r="ZW64" i="30" s="1"/>
  <c r="ZV33" i="30"/>
  <c r="ZV64" i="30" s="1"/>
  <c r="ZU33" i="30"/>
  <c r="ZU64" i="30" s="1"/>
  <c r="ZT33" i="30"/>
  <c r="ZT64" i="30" s="1"/>
  <c r="ZS33" i="30"/>
  <c r="ZS64" i="30" s="1"/>
  <c r="ZR33" i="30"/>
  <c r="ZR64" i="30" s="1"/>
  <c r="ZQ33" i="30"/>
  <c r="ZP33" i="30"/>
  <c r="ZO33" i="30"/>
  <c r="ZN33" i="30"/>
  <c r="ZM33" i="30"/>
  <c r="ZL33" i="30"/>
  <c r="ZK33" i="30"/>
  <c r="ZK64" i="30" s="1"/>
  <c r="ZJ33" i="30"/>
  <c r="ZJ64" i="30" s="1"/>
  <c r="ZI33" i="30"/>
  <c r="ZI64" i="30" s="1"/>
  <c r="ZH33" i="30"/>
  <c r="ZH64" i="30" s="1"/>
  <c r="ZG33" i="30"/>
  <c r="ZF33" i="30"/>
  <c r="ZF57" i="30" s="1"/>
  <c r="ZE33" i="30"/>
  <c r="ZE57" i="30" s="1"/>
  <c r="ZD33" i="30"/>
  <c r="ZD57" i="30" s="1"/>
  <c r="ZC33" i="30"/>
  <c r="ZB33" i="30"/>
  <c r="ZA33" i="30"/>
  <c r="YZ33" i="30"/>
  <c r="YY33" i="30"/>
  <c r="YY64" i="30" s="1"/>
  <c r="YX33" i="30"/>
  <c r="YX64" i="30" s="1"/>
  <c r="YW33" i="30"/>
  <c r="YW64" i="30" s="1"/>
  <c r="YV33" i="30"/>
  <c r="YU33" i="30"/>
  <c r="YU64" i="30" s="1"/>
  <c r="YT33" i="30"/>
  <c r="YT64" i="30" s="1"/>
  <c r="YS33" i="30"/>
  <c r="YS64" i="30" s="1"/>
  <c r="YR33" i="30"/>
  <c r="YR64" i="30" s="1"/>
  <c r="YQ33" i="30"/>
  <c r="YP33" i="30"/>
  <c r="YO33" i="30"/>
  <c r="YN33" i="30"/>
  <c r="YM33" i="30"/>
  <c r="YM64" i="30" s="1"/>
  <c r="YL33" i="30"/>
  <c r="YL64" i="30" s="1"/>
  <c r="YK33" i="30"/>
  <c r="YJ33" i="30"/>
  <c r="YI33" i="30"/>
  <c r="YH33" i="30"/>
  <c r="YH57" i="30" s="1"/>
  <c r="YG33" i="30"/>
  <c r="YG64" i="30" s="1"/>
  <c r="YE33" i="30"/>
  <c r="YE64" i="30" s="1"/>
  <c r="YD33" i="30"/>
  <c r="YC33" i="30"/>
  <c r="YC57" i="30" s="1"/>
  <c r="YB33" i="30"/>
  <c r="YB57" i="30" s="1"/>
  <c r="YA33" i="30"/>
  <c r="YA64" i="30" s="1"/>
  <c r="XZ33" i="30"/>
  <c r="XZ64" i="30" s="1"/>
  <c r="XY33" i="30"/>
  <c r="XY64" i="30" s="1"/>
  <c r="XX33" i="30"/>
  <c r="XW33" i="30"/>
  <c r="XV33" i="30"/>
  <c r="XV64" i="30" s="1"/>
  <c r="XU33" i="30"/>
  <c r="XU64" i="30" s="1"/>
  <c r="XS33" i="30"/>
  <c r="XS64" i="30" s="1"/>
  <c r="XR33" i="30"/>
  <c r="XR64" i="30" s="1"/>
  <c r="XQ33" i="30"/>
  <c r="XP33" i="30"/>
  <c r="XO33" i="30"/>
  <c r="XO64" i="30" s="1"/>
  <c r="XN33" i="30"/>
  <c r="XN64" i="30" s="1"/>
  <c r="XM33" i="30"/>
  <c r="XM64" i="30" s="1"/>
  <c r="XL33" i="30"/>
  <c r="XL64" i="30" s="1"/>
  <c r="XJ33" i="30"/>
  <c r="XJ64" i="30" s="1"/>
  <c r="XH33" i="30"/>
  <c r="XH64" i="30" s="1"/>
  <c r="XG33" i="30"/>
  <c r="XG64" i="30" s="1"/>
  <c r="XF33" i="30"/>
  <c r="XF64" i="30" s="1"/>
  <c r="XE33" i="30"/>
  <c r="XE57" i="30" s="1"/>
  <c r="XD33" i="30"/>
  <c r="XD57" i="30" s="1"/>
  <c r="XC33" i="30"/>
  <c r="XC64" i="30" s="1"/>
  <c r="XB33" i="30"/>
  <c r="XB64" i="30" s="1"/>
  <c r="XA33" i="30"/>
  <c r="XA64" i="30" s="1"/>
  <c r="WZ33" i="30"/>
  <c r="WZ64" i="30" s="1"/>
  <c r="WY33" i="30"/>
  <c r="WY64" i="30" s="1"/>
  <c r="WX33" i="30"/>
  <c r="WW33" i="30"/>
  <c r="WW64" i="30" s="1"/>
  <c r="WV33" i="30"/>
  <c r="WV64" i="30" s="1"/>
  <c r="WU33" i="30"/>
  <c r="WU64" i="30" s="1"/>
  <c r="WT33" i="30"/>
  <c r="WT64" i="30" s="1"/>
  <c r="WS33" i="30"/>
  <c r="WR33" i="30"/>
  <c r="WR57" i="30" s="1"/>
  <c r="WQ33" i="30"/>
  <c r="WQ64" i="30" s="1"/>
  <c r="WP33" i="30"/>
  <c r="WP64" i="30" s="1"/>
  <c r="WO33" i="30"/>
  <c r="WO64" i="30" s="1"/>
  <c r="WN33" i="30"/>
  <c r="WN57" i="30" s="1"/>
  <c r="WM33" i="30"/>
  <c r="WM57" i="30" s="1"/>
  <c r="WL33" i="30"/>
  <c r="WL57" i="30" s="1"/>
  <c r="WK33" i="30"/>
  <c r="WJ33" i="30"/>
  <c r="WJ64" i="30" s="1"/>
  <c r="WI33" i="30"/>
  <c r="WI64" i="30" s="1"/>
  <c r="WH33" i="30"/>
  <c r="WH64" i="30" s="1"/>
  <c r="WG33" i="30"/>
  <c r="WF33" i="30"/>
  <c r="WF64" i="30" s="1"/>
  <c r="WE33" i="30"/>
  <c r="WE64" i="30" s="1"/>
  <c r="WD33" i="30"/>
  <c r="WD64" i="30" s="1"/>
  <c r="WC33" i="30"/>
  <c r="WC64" i="30" s="1"/>
  <c r="WB33" i="30"/>
  <c r="WB57" i="30" s="1"/>
  <c r="WA33" i="30"/>
  <c r="WA57" i="30" s="1"/>
  <c r="VZ33" i="30"/>
  <c r="VY33" i="30"/>
  <c r="VX33" i="30"/>
  <c r="VW33" i="30"/>
  <c r="VW64" i="30" s="1"/>
  <c r="VV33" i="30"/>
  <c r="VV64" i="30" s="1"/>
  <c r="VU33" i="30"/>
  <c r="VT33" i="30"/>
  <c r="VT64" i="30" s="1"/>
  <c r="VS33" i="30"/>
  <c r="VS64" i="30" s="1"/>
  <c r="VR33" i="30"/>
  <c r="VR64" i="30" s="1"/>
  <c r="VQ33" i="30"/>
  <c r="VQ64" i="30" s="1"/>
  <c r="VP33" i="30"/>
  <c r="VP64" i="30" s="1"/>
  <c r="VO33" i="30"/>
  <c r="VO57" i="30" s="1"/>
  <c r="VN33" i="30"/>
  <c r="VM33" i="30"/>
  <c r="VM57" i="30" s="1"/>
  <c r="VL33" i="30"/>
  <c r="VK33" i="30"/>
  <c r="VK57" i="30" s="1"/>
  <c r="VJ33" i="30"/>
  <c r="VJ64" i="30" s="1"/>
  <c r="VI33" i="30"/>
  <c r="VI57" i="30" s="1"/>
  <c r="VH33" i="30"/>
  <c r="VH64" i="30" s="1"/>
  <c r="ZD26" i="30"/>
  <c r="AAU26" i="30"/>
  <c r="AAU63" i="30" s="1"/>
  <c r="AAT26" i="30"/>
  <c r="AAT63" i="30" s="1"/>
  <c r="AAS26" i="30"/>
  <c r="AAS63" i="30" s="1"/>
  <c r="AAR26" i="30"/>
  <c r="AAR63" i="30" s="1"/>
  <c r="AAQ26" i="30"/>
  <c r="AAQ63" i="30" s="1"/>
  <c r="AAP26" i="30"/>
  <c r="AAO26" i="30"/>
  <c r="AAN26" i="30"/>
  <c r="AAM26" i="30"/>
  <c r="AAL26" i="30"/>
  <c r="AAK26" i="30"/>
  <c r="AAJ26" i="30"/>
  <c r="AAJ63" i="30" s="1"/>
  <c r="AAI26" i="30"/>
  <c r="AAI63" i="30" s="1"/>
  <c r="AAH26" i="30"/>
  <c r="AAG26" i="30"/>
  <c r="AAG63" i="30" s="1"/>
  <c r="AAF26" i="30"/>
  <c r="AAF63" i="30" s="1"/>
  <c r="AAE26" i="30"/>
  <c r="AAE63" i="30" s="1"/>
  <c r="AAD26" i="30"/>
  <c r="AAC26" i="30"/>
  <c r="AAB26" i="30"/>
  <c r="AAA26" i="30"/>
  <c r="ZZ26" i="30"/>
  <c r="ZY26" i="30"/>
  <c r="ZX26" i="30"/>
  <c r="ZW26" i="30"/>
  <c r="ZW63" i="30" s="1"/>
  <c r="ZV26" i="30"/>
  <c r="ZV63" i="30" s="1"/>
  <c r="ZU26" i="30"/>
  <c r="ZU63" i="30" s="1"/>
  <c r="ZT26" i="30"/>
  <c r="ZT63" i="30" s="1"/>
  <c r="ZS26" i="30"/>
  <c r="ZS63" i="30" s="1"/>
  <c r="ZR26" i="30"/>
  <c r="ZR63" i="30" s="1"/>
  <c r="ZQ26" i="30"/>
  <c r="ZP26" i="30"/>
  <c r="ZO26" i="30"/>
  <c r="ZN26" i="30"/>
  <c r="ZM26" i="30"/>
  <c r="ZL26" i="30"/>
  <c r="ZK26" i="30"/>
  <c r="ZK63" i="30" s="1"/>
  <c r="ZJ26" i="30"/>
  <c r="ZJ63" i="30" s="1"/>
  <c r="ZI26" i="30"/>
  <c r="ZI63" i="30" s="1"/>
  <c r="ZH26" i="30"/>
  <c r="ZH63" i="30" s="1"/>
  <c r="ZG26" i="30"/>
  <c r="ZF26" i="30"/>
  <c r="ZF63" i="30" s="1"/>
  <c r="ZE26" i="30"/>
  <c r="ZE56" i="30" s="1"/>
  <c r="ZC26" i="30"/>
  <c r="ZB26" i="30"/>
  <c r="ZA26" i="30"/>
  <c r="YZ26" i="30"/>
  <c r="YY26" i="30"/>
  <c r="YY63" i="30" s="1"/>
  <c r="YX26" i="30"/>
  <c r="YX63" i="30" s="1"/>
  <c r="YW26" i="30"/>
  <c r="YV26" i="30"/>
  <c r="YV63" i="30" s="1"/>
  <c r="YU26" i="30"/>
  <c r="YU63" i="30" s="1"/>
  <c r="YT26" i="30"/>
  <c r="YT63" i="30" s="1"/>
  <c r="YS26" i="30"/>
  <c r="YS63" i="30" s="1"/>
  <c r="YR26" i="30"/>
  <c r="YR63" i="30" s="1"/>
  <c r="YQ26" i="30"/>
  <c r="YP26" i="30"/>
  <c r="YO26" i="30"/>
  <c r="YN26" i="30"/>
  <c r="YM26" i="30"/>
  <c r="YM63" i="30" s="1"/>
  <c r="YL26" i="30"/>
  <c r="YL63" i="30" s="1"/>
  <c r="YK26" i="30"/>
  <c r="YK63" i="30" s="1"/>
  <c r="YJ26" i="30"/>
  <c r="YJ56" i="30" s="1"/>
  <c r="YI26" i="30"/>
  <c r="YI63" i="30" s="1"/>
  <c r="YH26" i="30"/>
  <c r="YH56" i="30" s="1"/>
  <c r="YG26" i="30"/>
  <c r="YG63" i="30" s="1"/>
  <c r="YF26" i="30"/>
  <c r="YF63" i="30" s="1"/>
  <c r="YE26" i="30"/>
  <c r="YE63" i="30" s="1"/>
  <c r="YD26" i="30"/>
  <c r="YC26" i="30"/>
  <c r="YC56" i="30" s="1"/>
  <c r="YB26" i="30"/>
  <c r="YB56" i="30" s="1"/>
  <c r="YA26" i="30"/>
  <c r="YA63" i="30" s="1"/>
  <c r="XZ26" i="30"/>
  <c r="XZ63" i="30" s="1"/>
  <c r="XY26" i="30"/>
  <c r="XY63" i="30" s="1"/>
  <c r="XX26" i="30"/>
  <c r="XX56" i="30" s="1"/>
  <c r="XW26" i="30"/>
  <c r="XW56" i="30" s="1"/>
  <c r="XV26" i="30"/>
  <c r="XV63" i="30" s="1"/>
  <c r="XU26" i="30"/>
  <c r="XU63" i="30" s="1"/>
  <c r="XT26" i="30"/>
  <c r="XT63" i="30" s="1"/>
  <c r="XS26" i="30"/>
  <c r="XS63" i="30" s="1"/>
  <c r="XR26" i="30"/>
  <c r="XR63" i="30" s="1"/>
  <c r="XQ26" i="30"/>
  <c r="XP26" i="30"/>
  <c r="XO26" i="30"/>
  <c r="XO63" i="30" s="1"/>
  <c r="XN26" i="30"/>
  <c r="XN63" i="30" s="1"/>
  <c r="XM26" i="30"/>
  <c r="XM63" i="30" s="1"/>
  <c r="XL26" i="30"/>
  <c r="XL63" i="30" s="1"/>
  <c r="XK26" i="30"/>
  <c r="XK63" i="30" s="1"/>
  <c r="XJ26" i="30"/>
  <c r="XJ63" i="30" s="1"/>
  <c r="XI26" i="30"/>
  <c r="XI63" i="30" s="1"/>
  <c r="XH26" i="30"/>
  <c r="XH63" i="30" s="1"/>
  <c r="XG26" i="30"/>
  <c r="XG63" i="30" s="1"/>
  <c r="XF26" i="30"/>
  <c r="XF63" i="30" s="1"/>
  <c r="XE26" i="30"/>
  <c r="XE56" i="30" s="1"/>
  <c r="XD26" i="30"/>
  <c r="XD56" i="30" s="1"/>
  <c r="XC26" i="30"/>
  <c r="XC63" i="30" s="1"/>
  <c r="XB26" i="30"/>
  <c r="XB63" i="30" s="1"/>
  <c r="XA26" i="30"/>
  <c r="XA63" i="30" s="1"/>
  <c r="WZ26" i="30"/>
  <c r="WZ63" i="30" s="1"/>
  <c r="WY26" i="30"/>
  <c r="WY63" i="30" s="1"/>
  <c r="WX26" i="30"/>
  <c r="WW26" i="30"/>
  <c r="WW63" i="30" s="1"/>
  <c r="WV26" i="30"/>
  <c r="WV63" i="30" s="1"/>
  <c r="WU26" i="30"/>
  <c r="WU63" i="30" s="1"/>
  <c r="WT26" i="30"/>
  <c r="WT63" i="30" s="1"/>
  <c r="WS26" i="30"/>
  <c r="WS63" i="30" s="1"/>
  <c r="WR26" i="30"/>
  <c r="WR56" i="30" s="1"/>
  <c r="WQ26" i="30"/>
  <c r="WQ63" i="30" s="1"/>
  <c r="WP26" i="30"/>
  <c r="WP63" i="30" s="1"/>
  <c r="WO26" i="30"/>
  <c r="WO63" i="30" s="1"/>
  <c r="WN26" i="30"/>
  <c r="WN56" i="30" s="1"/>
  <c r="WM26" i="30"/>
  <c r="WM56" i="30" s="1"/>
  <c r="WL26" i="30"/>
  <c r="WL56" i="30" s="1"/>
  <c r="WK26" i="30"/>
  <c r="WK63" i="30" s="1"/>
  <c r="WJ26" i="30"/>
  <c r="WJ63" i="30" s="1"/>
  <c r="WI26" i="30"/>
  <c r="WI63" i="30" s="1"/>
  <c r="WH26" i="30"/>
  <c r="WH63" i="30" s="1"/>
  <c r="WG26" i="30"/>
  <c r="WG63" i="30" s="1"/>
  <c r="WF26" i="30"/>
  <c r="WF63" i="30" s="1"/>
  <c r="WE26" i="30"/>
  <c r="WE63" i="30" s="1"/>
  <c r="WD26" i="30"/>
  <c r="WD63" i="30" s="1"/>
  <c r="WC26" i="30"/>
  <c r="WC63" i="30" s="1"/>
  <c r="WB26" i="30"/>
  <c r="WB63" i="30" s="1"/>
  <c r="WA26" i="30"/>
  <c r="WA63" i="30" s="1"/>
  <c r="VZ26" i="30"/>
  <c r="VY26" i="30"/>
  <c r="VY63" i="30" s="1"/>
  <c r="VX26" i="30"/>
  <c r="VX63" i="30" s="1"/>
  <c r="VW26" i="30"/>
  <c r="VW63" i="30" s="1"/>
  <c r="VV26" i="30"/>
  <c r="VV63" i="30" s="1"/>
  <c r="VU26" i="30"/>
  <c r="VU63" i="30" s="1"/>
  <c r="VT26" i="30"/>
  <c r="VT63" i="30" s="1"/>
  <c r="VS26" i="30"/>
  <c r="VS63" i="30" s="1"/>
  <c r="VR26" i="30"/>
  <c r="VR63" i="30" s="1"/>
  <c r="VQ26" i="30"/>
  <c r="VQ63" i="30" s="1"/>
  <c r="VP26" i="30"/>
  <c r="VP63" i="30" s="1"/>
  <c r="VO26" i="30"/>
  <c r="VO63" i="30" s="1"/>
  <c r="VN26" i="30"/>
  <c r="VM26" i="30"/>
  <c r="VM63" i="30" s="1"/>
  <c r="VL26" i="30"/>
  <c r="VL63" i="30" s="1"/>
  <c r="VK26" i="30"/>
  <c r="VK63" i="30" s="1"/>
  <c r="VJ26" i="30"/>
  <c r="VJ63" i="30" s="1"/>
  <c r="VI26" i="30"/>
  <c r="VI56" i="30" s="1"/>
  <c r="VH26" i="30"/>
  <c r="VH56" i="30" s="1"/>
  <c r="AAU23" i="30"/>
  <c r="AAT23" i="30"/>
  <c r="AAS23" i="30"/>
  <c r="AAR23" i="30"/>
  <c r="AAQ23" i="30"/>
  <c r="AAP23" i="30"/>
  <c r="AAO23" i="30"/>
  <c r="AAN23" i="30"/>
  <c r="AAM23" i="30"/>
  <c r="AAL23" i="30"/>
  <c r="AAK23" i="30"/>
  <c r="AAJ23" i="30"/>
  <c r="AAI23" i="30"/>
  <c r="AAH23" i="30"/>
  <c r="AAG23" i="30"/>
  <c r="AAF23" i="30"/>
  <c r="AAE23" i="30"/>
  <c r="AAD23" i="30"/>
  <c r="AAC23" i="30"/>
  <c r="AAB23" i="30"/>
  <c r="AAA23" i="30"/>
  <c r="ZZ23" i="30"/>
  <c r="ZY23" i="30"/>
  <c r="ZX23" i="30"/>
  <c r="ZW23" i="30"/>
  <c r="ZV23" i="30"/>
  <c r="ZU23" i="30"/>
  <c r="ZT23" i="30"/>
  <c r="ZS23" i="30"/>
  <c r="ZR23" i="30"/>
  <c r="ZQ23" i="30"/>
  <c r="ZP23" i="30"/>
  <c r="ZO23" i="30"/>
  <c r="ZN23" i="30"/>
  <c r="ZM23" i="30"/>
  <c r="ZL23" i="30"/>
  <c r="ZK23" i="30"/>
  <c r="ZJ23" i="30"/>
  <c r="ZI23" i="30"/>
  <c r="ZH23" i="30"/>
  <c r="ZG23" i="30"/>
  <c r="ZF23" i="30"/>
  <c r="ZE23" i="30"/>
  <c r="ZD23" i="30"/>
  <c r="ZC23" i="30"/>
  <c r="ZB23" i="30"/>
  <c r="ZA23" i="30"/>
  <c r="YZ23" i="30"/>
  <c r="YY23" i="30"/>
  <c r="YX23" i="30"/>
  <c r="YW23" i="30"/>
  <c r="YV23" i="30"/>
  <c r="YU23" i="30"/>
  <c r="YT23" i="30"/>
  <c r="YS23" i="30"/>
  <c r="YR23" i="30"/>
  <c r="YQ23" i="30"/>
  <c r="YP23" i="30"/>
  <c r="YO23" i="30"/>
  <c r="YN23" i="30"/>
  <c r="YM23" i="30"/>
  <c r="YL23" i="30"/>
  <c r="YK23" i="30"/>
  <c r="YJ23" i="30"/>
  <c r="YI23" i="30"/>
  <c r="YH23" i="30"/>
  <c r="YG23" i="30"/>
  <c r="YF23" i="30"/>
  <c r="YE23" i="30"/>
  <c r="YD23" i="30"/>
  <c r="YC23" i="30"/>
  <c r="YB23" i="30"/>
  <c r="YA23" i="30"/>
  <c r="XZ23" i="30"/>
  <c r="XY23" i="30"/>
  <c r="XX23" i="30"/>
  <c r="XW23" i="30"/>
  <c r="XV23" i="30"/>
  <c r="XU23" i="30"/>
  <c r="XT23" i="30"/>
  <c r="XS23" i="30"/>
  <c r="XR23" i="30"/>
  <c r="XQ23" i="30"/>
  <c r="XP23" i="30"/>
  <c r="XO23" i="30"/>
  <c r="XN23" i="30"/>
  <c r="XM23" i="30"/>
  <c r="XL23" i="30"/>
  <c r="XK23" i="30"/>
  <c r="XJ23" i="30"/>
  <c r="XI23" i="30"/>
  <c r="XH23" i="30"/>
  <c r="XG23" i="30"/>
  <c r="XF23" i="30"/>
  <c r="XE23" i="30"/>
  <c r="XD23" i="30"/>
  <c r="XC23" i="30"/>
  <c r="XB23" i="30"/>
  <c r="XA23" i="30"/>
  <c r="WZ23" i="30"/>
  <c r="WY23" i="30"/>
  <c r="WX23" i="30"/>
  <c r="WW23" i="30"/>
  <c r="WV23" i="30"/>
  <c r="WU23" i="30"/>
  <c r="WT23" i="30"/>
  <c r="WS23" i="30"/>
  <c r="WR23" i="30"/>
  <c r="WQ23" i="30"/>
  <c r="WP23" i="30"/>
  <c r="WO23" i="30"/>
  <c r="WN23" i="30"/>
  <c r="WM23" i="30"/>
  <c r="WL23" i="30"/>
  <c r="WL22" i="30" s="1"/>
  <c r="WL60" i="30" s="1"/>
  <c r="WK23" i="30"/>
  <c r="WK22" i="30" s="1"/>
  <c r="WK60" i="30" s="1"/>
  <c r="WJ23" i="30"/>
  <c r="WJ22" i="30" s="1"/>
  <c r="WJ60" i="30" s="1"/>
  <c r="WI23" i="30"/>
  <c r="WI22" i="30" s="1"/>
  <c r="WI60" i="30" s="1"/>
  <c r="WH23" i="30"/>
  <c r="WH22" i="30" s="1"/>
  <c r="WH60" i="30" s="1"/>
  <c r="WG23" i="30"/>
  <c r="WG22" i="30" s="1"/>
  <c r="WG60" i="30" s="1"/>
  <c r="WF23" i="30"/>
  <c r="WF22" i="30" s="1"/>
  <c r="WF60" i="30" s="1"/>
  <c r="WE23" i="30"/>
  <c r="WE22" i="30" s="1"/>
  <c r="WE60" i="30" s="1"/>
  <c r="WD23" i="30"/>
  <c r="WD22" i="30" s="1"/>
  <c r="WD60" i="30" s="1"/>
  <c r="WC23" i="30"/>
  <c r="WC22" i="30" s="1"/>
  <c r="WC60" i="30" s="1"/>
  <c r="WB23" i="30"/>
  <c r="WA23" i="30"/>
  <c r="WA22" i="30" s="1"/>
  <c r="WA60" i="30" s="1"/>
  <c r="VZ23" i="30"/>
  <c r="VY23" i="30"/>
  <c r="VY22" i="30" s="1"/>
  <c r="VY60" i="30" s="1"/>
  <c r="VX23" i="30"/>
  <c r="VX22" i="30" s="1"/>
  <c r="VX60" i="30" s="1"/>
  <c r="VW23" i="30"/>
  <c r="VW22" i="30" s="1"/>
  <c r="VW60" i="30" s="1"/>
  <c r="VV23" i="30"/>
  <c r="VV22" i="30" s="1"/>
  <c r="VV60" i="30" s="1"/>
  <c r="VU23" i="30"/>
  <c r="VU22" i="30" s="1"/>
  <c r="VU60" i="30" s="1"/>
  <c r="VT23" i="30"/>
  <c r="VT22" i="30" s="1"/>
  <c r="VT60" i="30" s="1"/>
  <c r="VS23" i="30"/>
  <c r="VS22" i="30" s="1"/>
  <c r="VS60" i="30" s="1"/>
  <c r="VR23" i="30"/>
  <c r="VR22" i="30" s="1"/>
  <c r="VR60" i="30" s="1"/>
  <c r="VQ23" i="30"/>
  <c r="VQ22" i="30" s="1"/>
  <c r="VQ60" i="30" s="1"/>
  <c r="VP23" i="30"/>
  <c r="VP22" i="30" s="1"/>
  <c r="VP60" i="30" s="1"/>
  <c r="VO23" i="30"/>
  <c r="VO22" i="30" s="1"/>
  <c r="VO60" i="30" s="1"/>
  <c r="VN23" i="30"/>
  <c r="VN22" i="30" s="1"/>
  <c r="VN60" i="30" s="1"/>
  <c r="VM23" i="30"/>
  <c r="VM22" i="30" s="1"/>
  <c r="VM60" i="30" s="1"/>
  <c r="VL23" i="30"/>
  <c r="VL22" i="30" s="1"/>
  <c r="VL60" i="30" s="1"/>
  <c r="VK23" i="30"/>
  <c r="VK22" i="30" s="1"/>
  <c r="VK60" i="30" s="1"/>
  <c r="VJ23" i="30"/>
  <c r="VJ22" i="30" s="1"/>
  <c r="VJ60" i="30" s="1"/>
  <c r="VI23" i="30"/>
  <c r="VI22" i="30" s="1"/>
  <c r="VI60" i="30" s="1"/>
  <c r="VH23" i="30"/>
  <c r="VH22" i="30" s="1"/>
  <c r="VH60" i="30" s="1"/>
  <c r="AAU22" i="30"/>
  <c r="AAU60" i="30" s="1"/>
  <c r="AAT22" i="30"/>
  <c r="AAT60" i="30" s="1"/>
  <c r="AAS22" i="30"/>
  <c r="AAS60" i="30" s="1"/>
  <c r="AAR22" i="30"/>
  <c r="AAR60" i="30" s="1"/>
  <c r="AAQ22" i="30"/>
  <c r="AAQ60" i="30" s="1"/>
  <c r="AAP22" i="30"/>
  <c r="AAP60" i="30" s="1"/>
  <c r="AAO22" i="30"/>
  <c r="AAO60" i="30" s="1"/>
  <c r="AAN22" i="30"/>
  <c r="AAN60" i="30" s="1"/>
  <c r="AAM22" i="30"/>
  <c r="AAM60" i="30" s="1"/>
  <c r="AAL22" i="30"/>
  <c r="AAL60" i="30" s="1"/>
  <c r="AAK22" i="30"/>
  <c r="AAK60" i="30" s="1"/>
  <c r="AAJ22" i="30"/>
  <c r="AAJ60" i="30" s="1"/>
  <c r="AAI22" i="30"/>
  <c r="AAI60" i="30" s="1"/>
  <c r="AAH22" i="30"/>
  <c r="AAH60" i="30" s="1"/>
  <c r="AAG22" i="30"/>
  <c r="AAG60" i="30" s="1"/>
  <c r="AAF22" i="30"/>
  <c r="AAF60" i="30" s="1"/>
  <c r="AAE22" i="30"/>
  <c r="AAE60" i="30" s="1"/>
  <c r="AAD22" i="30"/>
  <c r="AAD60" i="30" s="1"/>
  <c r="AAC22" i="30"/>
  <c r="AAC60" i="30" s="1"/>
  <c r="AAB22" i="30"/>
  <c r="AAB60" i="30" s="1"/>
  <c r="AAA22" i="30"/>
  <c r="AAA60" i="30" s="1"/>
  <c r="ZZ22" i="30"/>
  <c r="ZZ60" i="30" s="1"/>
  <c r="ZY22" i="30"/>
  <c r="ZY60" i="30" s="1"/>
  <c r="ZX22" i="30"/>
  <c r="ZX60" i="30" s="1"/>
  <c r="ZW22" i="30"/>
  <c r="ZW60" i="30" s="1"/>
  <c r="ZV22" i="30"/>
  <c r="ZV60" i="30" s="1"/>
  <c r="ZU22" i="30"/>
  <c r="ZU60" i="30" s="1"/>
  <c r="ZT22" i="30"/>
  <c r="ZT60" i="30" s="1"/>
  <c r="ZS22" i="30"/>
  <c r="ZS60" i="30" s="1"/>
  <c r="ZR22" i="30"/>
  <c r="ZR60" i="30" s="1"/>
  <c r="ZQ22" i="30"/>
  <c r="ZQ60" i="30" s="1"/>
  <c r="ZP22" i="30"/>
  <c r="ZP60" i="30" s="1"/>
  <c r="ZO22" i="30"/>
  <c r="ZO60" i="30" s="1"/>
  <c r="ZN22" i="30"/>
  <c r="ZN60" i="30" s="1"/>
  <c r="ZM22" i="30"/>
  <c r="ZM60" i="30" s="1"/>
  <c r="ZL22" i="30"/>
  <c r="ZL60" i="30" s="1"/>
  <c r="ZK22" i="30"/>
  <c r="ZK60" i="30" s="1"/>
  <c r="ZJ22" i="30"/>
  <c r="ZJ60" i="30" s="1"/>
  <c r="ZI22" i="30"/>
  <c r="ZI60" i="30" s="1"/>
  <c r="ZH22" i="30"/>
  <c r="ZH60" i="30" s="1"/>
  <c r="ZG22" i="30"/>
  <c r="ZG60" i="30" s="1"/>
  <c r="ZF22" i="30"/>
  <c r="ZF60" i="30" s="1"/>
  <c r="ZE22" i="30"/>
  <c r="ZE60" i="30" s="1"/>
  <c r="ZD22" i="30"/>
  <c r="ZD60" i="30" s="1"/>
  <c r="ZC22" i="30"/>
  <c r="ZC60" i="30" s="1"/>
  <c r="ZB22" i="30"/>
  <c r="ZB60" i="30" s="1"/>
  <c r="ZA22" i="30"/>
  <c r="ZA60" i="30" s="1"/>
  <c r="YZ22" i="30"/>
  <c r="YZ60" i="30" s="1"/>
  <c r="YY22" i="30"/>
  <c r="YY60" i="30" s="1"/>
  <c r="YX22" i="30"/>
  <c r="YX60" i="30" s="1"/>
  <c r="YW22" i="30"/>
  <c r="YW60" i="30" s="1"/>
  <c r="YV22" i="30"/>
  <c r="YV60" i="30" s="1"/>
  <c r="YU22" i="30"/>
  <c r="YU60" i="30" s="1"/>
  <c r="YT22" i="30"/>
  <c r="YT60" i="30" s="1"/>
  <c r="YS22" i="30"/>
  <c r="YS60" i="30" s="1"/>
  <c r="YR22" i="30"/>
  <c r="YR60" i="30" s="1"/>
  <c r="YQ22" i="30"/>
  <c r="YQ60" i="30" s="1"/>
  <c r="YP22" i="30"/>
  <c r="YP60" i="30" s="1"/>
  <c r="YO22" i="30"/>
  <c r="YO60" i="30" s="1"/>
  <c r="YN22" i="30"/>
  <c r="YN60" i="30" s="1"/>
  <c r="YM22" i="30"/>
  <c r="YM60" i="30" s="1"/>
  <c r="YL22" i="30"/>
  <c r="YL60" i="30" s="1"/>
  <c r="YK22" i="30"/>
  <c r="YK60" i="30" s="1"/>
  <c r="YJ22" i="30"/>
  <c r="YJ60" i="30" s="1"/>
  <c r="YI22" i="30"/>
  <c r="YI60" i="30" s="1"/>
  <c r="YH22" i="30"/>
  <c r="YH60" i="30" s="1"/>
  <c r="YG22" i="30"/>
  <c r="YG60" i="30" s="1"/>
  <c r="YF22" i="30"/>
  <c r="YF60" i="30" s="1"/>
  <c r="YE22" i="30"/>
  <c r="YE60" i="30" s="1"/>
  <c r="YD22" i="30"/>
  <c r="YD60" i="30" s="1"/>
  <c r="YC22" i="30"/>
  <c r="YC60" i="30" s="1"/>
  <c r="YB22" i="30"/>
  <c r="YB60" i="30" s="1"/>
  <c r="YA22" i="30"/>
  <c r="YA60" i="30" s="1"/>
  <c r="XZ22" i="30"/>
  <c r="XZ60" i="30" s="1"/>
  <c r="XY22" i="30"/>
  <c r="XY60" i="30" s="1"/>
  <c r="XX22" i="30"/>
  <c r="XX60" i="30" s="1"/>
  <c r="XW22" i="30"/>
  <c r="XW60" i="30" s="1"/>
  <c r="XV22" i="30"/>
  <c r="XV60" i="30" s="1"/>
  <c r="XU22" i="30"/>
  <c r="XU60" i="30" s="1"/>
  <c r="XT22" i="30"/>
  <c r="XT60" i="30" s="1"/>
  <c r="XS22" i="30"/>
  <c r="XS60" i="30" s="1"/>
  <c r="XR22" i="30"/>
  <c r="XR60" i="30" s="1"/>
  <c r="XQ22" i="30"/>
  <c r="XQ60" i="30" s="1"/>
  <c r="XP22" i="30"/>
  <c r="XP60" i="30" s="1"/>
  <c r="XO22" i="30"/>
  <c r="XO60" i="30" s="1"/>
  <c r="XN22" i="30"/>
  <c r="XN60" i="30" s="1"/>
  <c r="XM22" i="30"/>
  <c r="XM60" i="30" s="1"/>
  <c r="XL22" i="30"/>
  <c r="XL60" i="30" s="1"/>
  <c r="XK22" i="30"/>
  <c r="XK60" i="30" s="1"/>
  <c r="XJ22" i="30"/>
  <c r="XJ60" i="30" s="1"/>
  <c r="XI22" i="30"/>
  <c r="XI60" i="30" s="1"/>
  <c r="XH22" i="30"/>
  <c r="XH60" i="30" s="1"/>
  <c r="XG22" i="30"/>
  <c r="XG60" i="30" s="1"/>
  <c r="XF22" i="30"/>
  <c r="XF60" i="30" s="1"/>
  <c r="XE22" i="30"/>
  <c r="XE60" i="30" s="1"/>
  <c r="XD22" i="30"/>
  <c r="XD60" i="30" s="1"/>
  <c r="XC22" i="30"/>
  <c r="XC60" i="30" s="1"/>
  <c r="XB22" i="30"/>
  <c r="XB60" i="30" s="1"/>
  <c r="XA22" i="30"/>
  <c r="XA60" i="30" s="1"/>
  <c r="WZ22" i="30"/>
  <c r="WZ60" i="30" s="1"/>
  <c r="WY22" i="30"/>
  <c r="WY60" i="30" s="1"/>
  <c r="WX22" i="30"/>
  <c r="WX60" i="30" s="1"/>
  <c r="WW22" i="30"/>
  <c r="WW60" i="30" s="1"/>
  <c r="WV22" i="30"/>
  <c r="WV60" i="30" s="1"/>
  <c r="WU22" i="30"/>
  <c r="WU60" i="30" s="1"/>
  <c r="WT22" i="30"/>
  <c r="WT60" i="30" s="1"/>
  <c r="WS22" i="30"/>
  <c r="WS60" i="30" s="1"/>
  <c r="WR22" i="30"/>
  <c r="WR60" i="30" s="1"/>
  <c r="WQ22" i="30"/>
  <c r="WQ60" i="30" s="1"/>
  <c r="WP22" i="30"/>
  <c r="WP60" i="30" s="1"/>
  <c r="WO22" i="30"/>
  <c r="WO60" i="30" s="1"/>
  <c r="WN22" i="30"/>
  <c r="WN60" i="30" s="1"/>
  <c r="WM22" i="30"/>
  <c r="WM60" i="30" s="1"/>
  <c r="WB22" i="30"/>
  <c r="WB60" i="30" s="1"/>
  <c r="VZ22" i="30"/>
  <c r="VZ60" i="30" s="1"/>
  <c r="AAU19" i="30"/>
  <c r="AAT19" i="30"/>
  <c r="AAS19" i="30"/>
  <c r="AAR19" i="30"/>
  <c r="AAQ19" i="30"/>
  <c r="AAP19" i="30"/>
  <c r="AAO19" i="30"/>
  <c r="AAN19" i="30"/>
  <c r="AAM19" i="30"/>
  <c r="AAL19" i="30"/>
  <c r="AAK19" i="30"/>
  <c r="AAJ19" i="30"/>
  <c r="AAI19" i="30"/>
  <c r="AAH19" i="30"/>
  <c r="AAG19" i="30"/>
  <c r="AAF19" i="30"/>
  <c r="AAE19" i="30"/>
  <c r="AAD19" i="30"/>
  <c r="AAC19" i="30"/>
  <c r="AAB19" i="30"/>
  <c r="AAA19" i="30"/>
  <c r="ZZ19" i="30"/>
  <c r="ZY19" i="30"/>
  <c r="ZX19" i="30"/>
  <c r="ZW19" i="30"/>
  <c r="ZV19" i="30"/>
  <c r="ZU19" i="30"/>
  <c r="ZT19" i="30"/>
  <c r="ZS19" i="30"/>
  <c r="ZR19" i="30"/>
  <c r="ZQ19" i="30"/>
  <c r="ZP19" i="30"/>
  <c r="ZO19" i="30"/>
  <c r="ZN19" i="30"/>
  <c r="ZM19" i="30"/>
  <c r="ZL19" i="30"/>
  <c r="ZK19" i="30"/>
  <c r="ZJ19" i="30"/>
  <c r="ZI19" i="30"/>
  <c r="ZH19" i="30"/>
  <c r="ZG19" i="30"/>
  <c r="ZF19" i="30"/>
  <c r="ZE19" i="30"/>
  <c r="ZD19" i="30"/>
  <c r="ZC19" i="30"/>
  <c r="ZB19" i="30"/>
  <c r="ZA19" i="30"/>
  <c r="YZ19" i="30"/>
  <c r="YY19" i="30"/>
  <c r="YX19" i="30"/>
  <c r="YW19" i="30"/>
  <c r="YW18" i="30" s="1"/>
  <c r="YW61" i="30" s="1"/>
  <c r="YV19" i="30"/>
  <c r="YV18" i="30" s="1"/>
  <c r="YV61" i="30" s="1"/>
  <c r="YU19" i="30"/>
  <c r="YU18" i="30" s="1"/>
  <c r="YU61" i="30" s="1"/>
  <c r="YT19" i="30"/>
  <c r="YT18" i="30" s="1"/>
  <c r="YT61" i="30" s="1"/>
  <c r="YS19" i="30"/>
  <c r="YR19" i="30"/>
  <c r="YR18" i="30" s="1"/>
  <c r="YR61" i="30" s="1"/>
  <c r="YQ19" i="30"/>
  <c r="YQ18" i="30" s="1"/>
  <c r="YQ61" i="30" s="1"/>
  <c r="YP19" i="30"/>
  <c r="YP18" i="30" s="1"/>
  <c r="YP61" i="30" s="1"/>
  <c r="YO19" i="30"/>
  <c r="YO18" i="30" s="1"/>
  <c r="YO61" i="30" s="1"/>
  <c r="YN19" i="30"/>
  <c r="YN18" i="30" s="1"/>
  <c r="YN61" i="30" s="1"/>
  <c r="YM19" i="30"/>
  <c r="YM18" i="30" s="1"/>
  <c r="YM61" i="30" s="1"/>
  <c r="YL19" i="30"/>
  <c r="YL18" i="30" s="1"/>
  <c r="YL61" i="30" s="1"/>
  <c r="YK19" i="30"/>
  <c r="YK18" i="30" s="1"/>
  <c r="YK61" i="30" s="1"/>
  <c r="YJ19" i="30"/>
  <c r="YI19" i="30"/>
  <c r="YI18" i="30" s="1"/>
  <c r="YI61" i="30" s="1"/>
  <c r="YH19" i="30"/>
  <c r="YG19" i="30"/>
  <c r="YG18" i="30" s="1"/>
  <c r="YG61" i="30" s="1"/>
  <c r="YF19" i="30"/>
  <c r="YF18" i="30" s="1"/>
  <c r="YF61" i="30" s="1"/>
  <c r="YE19" i="30"/>
  <c r="YE18" i="30" s="1"/>
  <c r="YE61" i="30" s="1"/>
  <c r="YD19" i="30"/>
  <c r="YD18" i="30" s="1"/>
  <c r="YD61" i="30" s="1"/>
  <c r="YC19" i="30"/>
  <c r="YC18" i="30" s="1"/>
  <c r="YC61" i="30" s="1"/>
  <c r="YB19" i="30"/>
  <c r="YB18" i="30" s="1"/>
  <c r="YB61" i="30" s="1"/>
  <c r="YA19" i="30"/>
  <c r="YA18" i="30" s="1"/>
  <c r="YA61" i="30" s="1"/>
  <c r="XZ19" i="30"/>
  <c r="XZ18" i="30" s="1"/>
  <c r="XZ61" i="30" s="1"/>
  <c r="XY19" i="30"/>
  <c r="XY18" i="30" s="1"/>
  <c r="XY61" i="30" s="1"/>
  <c r="XX19" i="30"/>
  <c r="XX18" i="30" s="1"/>
  <c r="XX61" i="30" s="1"/>
  <c r="XW19" i="30"/>
  <c r="XW18" i="30" s="1"/>
  <c r="XW61" i="30" s="1"/>
  <c r="XV19" i="30"/>
  <c r="XV18" i="30" s="1"/>
  <c r="XV61" i="30" s="1"/>
  <c r="XU19" i="30"/>
  <c r="XU18" i="30" s="1"/>
  <c r="XU61" i="30" s="1"/>
  <c r="XT19" i="30"/>
  <c r="XT18" i="30" s="1"/>
  <c r="XT61" i="30" s="1"/>
  <c r="XS19" i="30"/>
  <c r="XS18" i="30" s="1"/>
  <c r="XS61" i="30" s="1"/>
  <c r="XR19" i="30"/>
  <c r="XR18" i="30" s="1"/>
  <c r="XR61" i="30" s="1"/>
  <c r="XQ19" i="30"/>
  <c r="XQ18" i="30" s="1"/>
  <c r="XQ61" i="30" s="1"/>
  <c r="XP19" i="30"/>
  <c r="XP18" i="30" s="1"/>
  <c r="XP61" i="30" s="1"/>
  <c r="XO19" i="30"/>
  <c r="XO18" i="30" s="1"/>
  <c r="XO61" i="30" s="1"/>
  <c r="XN19" i="30"/>
  <c r="XN18" i="30" s="1"/>
  <c r="XN61" i="30" s="1"/>
  <c r="XM19" i="30"/>
  <c r="XM18" i="30" s="1"/>
  <c r="XM61" i="30" s="1"/>
  <c r="XL19" i="30"/>
  <c r="XL18" i="30" s="1"/>
  <c r="XL61" i="30" s="1"/>
  <c r="XK19" i="30"/>
  <c r="XK18" i="30" s="1"/>
  <c r="XK61" i="30" s="1"/>
  <c r="XJ19" i="30"/>
  <c r="XJ18" i="30" s="1"/>
  <c r="XJ61" i="30" s="1"/>
  <c r="XI19" i="30"/>
  <c r="XI18" i="30" s="1"/>
  <c r="XI61" i="30" s="1"/>
  <c r="XH19" i="30"/>
  <c r="XH18" i="30" s="1"/>
  <c r="XH61" i="30" s="1"/>
  <c r="XG19" i="30"/>
  <c r="XG18" i="30" s="1"/>
  <c r="XG61" i="30" s="1"/>
  <c r="XF19" i="30"/>
  <c r="XF18" i="30" s="1"/>
  <c r="XF61" i="30" s="1"/>
  <c r="XE19" i="30"/>
  <c r="XE18" i="30" s="1"/>
  <c r="XE61" i="30" s="1"/>
  <c r="XD19" i="30"/>
  <c r="XD18" i="30" s="1"/>
  <c r="XD61" i="30" s="1"/>
  <c r="XC19" i="30"/>
  <c r="XC18" i="30" s="1"/>
  <c r="XC61" i="30" s="1"/>
  <c r="XB19" i="30"/>
  <c r="XB18" i="30" s="1"/>
  <c r="XB61" i="30" s="1"/>
  <c r="XA19" i="30"/>
  <c r="XA18" i="30" s="1"/>
  <c r="XA61" i="30" s="1"/>
  <c r="WZ19" i="30"/>
  <c r="WZ18" i="30" s="1"/>
  <c r="WZ61" i="30" s="1"/>
  <c r="WY19" i="30"/>
  <c r="WY18" i="30" s="1"/>
  <c r="WY61" i="30" s="1"/>
  <c r="WX19" i="30"/>
  <c r="WX18" i="30" s="1"/>
  <c r="WX61" i="30" s="1"/>
  <c r="WW19" i="30"/>
  <c r="WW18" i="30" s="1"/>
  <c r="WW61" i="30" s="1"/>
  <c r="WV19" i="30"/>
  <c r="WV18" i="30" s="1"/>
  <c r="WV61" i="30" s="1"/>
  <c r="WU19" i="30"/>
  <c r="WU18" i="30" s="1"/>
  <c r="WU61" i="30" s="1"/>
  <c r="WT19" i="30"/>
  <c r="WT18" i="30" s="1"/>
  <c r="WT61" i="30" s="1"/>
  <c r="WS19" i="30"/>
  <c r="WS18" i="30" s="1"/>
  <c r="WS61" i="30" s="1"/>
  <c r="WR19" i="30"/>
  <c r="WR18" i="30" s="1"/>
  <c r="WR61" i="30" s="1"/>
  <c r="WQ19" i="30"/>
  <c r="WQ18" i="30" s="1"/>
  <c r="WQ61" i="30" s="1"/>
  <c r="WP19" i="30"/>
  <c r="WP18" i="30" s="1"/>
  <c r="WP61" i="30" s="1"/>
  <c r="WO19" i="30"/>
  <c r="WO18" i="30" s="1"/>
  <c r="WO61" i="30" s="1"/>
  <c r="WN19" i="30"/>
  <c r="WN18" i="30" s="1"/>
  <c r="WN61" i="30" s="1"/>
  <c r="WM19" i="30"/>
  <c r="WM18" i="30" s="1"/>
  <c r="WM61" i="30" s="1"/>
  <c r="WL19" i="30"/>
  <c r="WL18" i="30" s="1"/>
  <c r="WL61" i="30" s="1"/>
  <c r="WK19" i="30"/>
  <c r="WK18" i="30" s="1"/>
  <c r="WK61" i="30" s="1"/>
  <c r="WJ19" i="30"/>
  <c r="WJ18" i="30" s="1"/>
  <c r="WJ61" i="30" s="1"/>
  <c r="WI19" i="30"/>
  <c r="WI18" i="30" s="1"/>
  <c r="WI61" i="30" s="1"/>
  <c r="WH19" i="30"/>
  <c r="WH18" i="30" s="1"/>
  <c r="WH61" i="30" s="1"/>
  <c r="WG19" i="30"/>
  <c r="WG18" i="30" s="1"/>
  <c r="WG61" i="30" s="1"/>
  <c r="WF19" i="30"/>
  <c r="WF18" i="30" s="1"/>
  <c r="WF61" i="30" s="1"/>
  <c r="WE19" i="30"/>
  <c r="WE18" i="30" s="1"/>
  <c r="WE61" i="30" s="1"/>
  <c r="WD19" i="30"/>
  <c r="WD18" i="30" s="1"/>
  <c r="WD61" i="30" s="1"/>
  <c r="WC19" i="30"/>
  <c r="WC18" i="30" s="1"/>
  <c r="WC61" i="30" s="1"/>
  <c r="WB19" i="30"/>
  <c r="WB18" i="30" s="1"/>
  <c r="WB61" i="30" s="1"/>
  <c r="WA19" i="30"/>
  <c r="WA18" i="30" s="1"/>
  <c r="WA61" i="30" s="1"/>
  <c r="VZ19" i="30"/>
  <c r="VZ18" i="30" s="1"/>
  <c r="VZ61" i="30" s="1"/>
  <c r="VY19" i="30"/>
  <c r="VY18" i="30" s="1"/>
  <c r="VY61" i="30" s="1"/>
  <c r="VX19" i="30"/>
  <c r="VX18" i="30" s="1"/>
  <c r="VX61" i="30" s="1"/>
  <c r="VW19" i="30"/>
  <c r="VW18" i="30" s="1"/>
  <c r="VW61" i="30" s="1"/>
  <c r="VV19" i="30"/>
  <c r="VV18" i="30" s="1"/>
  <c r="VV61" i="30" s="1"/>
  <c r="VU19" i="30"/>
  <c r="VU18" i="30" s="1"/>
  <c r="VU61" i="30" s="1"/>
  <c r="VT19" i="30"/>
  <c r="VT18" i="30" s="1"/>
  <c r="VT61" i="30" s="1"/>
  <c r="VS19" i="30"/>
  <c r="VS18" i="30" s="1"/>
  <c r="VS61" i="30" s="1"/>
  <c r="VR19" i="30"/>
  <c r="VR18" i="30" s="1"/>
  <c r="VR61" i="30" s="1"/>
  <c r="VQ19" i="30"/>
  <c r="VQ18" i="30" s="1"/>
  <c r="VQ61" i="30" s="1"/>
  <c r="VP19" i="30"/>
  <c r="VP18" i="30" s="1"/>
  <c r="VP61" i="30" s="1"/>
  <c r="VO19" i="30"/>
  <c r="VO18" i="30" s="1"/>
  <c r="VO61" i="30" s="1"/>
  <c r="VN19" i="30"/>
  <c r="VN18" i="30" s="1"/>
  <c r="VN61" i="30" s="1"/>
  <c r="VM19" i="30"/>
  <c r="VM18" i="30" s="1"/>
  <c r="VM61" i="30" s="1"/>
  <c r="VL19" i="30"/>
  <c r="VL18" i="30" s="1"/>
  <c r="VL61" i="30" s="1"/>
  <c r="VK19" i="30"/>
  <c r="VK18" i="30" s="1"/>
  <c r="VK61" i="30" s="1"/>
  <c r="VJ19" i="30"/>
  <c r="VJ18" i="30" s="1"/>
  <c r="VJ61" i="30" s="1"/>
  <c r="VI19" i="30"/>
  <c r="VH19" i="30"/>
  <c r="AAU18" i="30"/>
  <c r="AAU61" i="30" s="1"/>
  <c r="AAT18" i="30"/>
  <c r="AAT61" i="30" s="1"/>
  <c r="AAS18" i="30"/>
  <c r="AAS61" i="30" s="1"/>
  <c r="AAR18" i="30"/>
  <c r="AAR61" i="30" s="1"/>
  <c r="AAQ18" i="30"/>
  <c r="AAQ61" i="30" s="1"/>
  <c r="AAP18" i="30"/>
  <c r="AAP61" i="30" s="1"/>
  <c r="AAO18" i="30"/>
  <c r="AAO61" i="30" s="1"/>
  <c r="AAN18" i="30"/>
  <c r="AAN61" i="30" s="1"/>
  <c r="AAM18" i="30"/>
  <c r="AAM61" i="30" s="1"/>
  <c r="AAL18" i="30"/>
  <c r="AAL61" i="30" s="1"/>
  <c r="AAK18" i="30"/>
  <c r="AAK61" i="30" s="1"/>
  <c r="AAJ18" i="30"/>
  <c r="AAJ61" i="30" s="1"/>
  <c r="AAI18" i="30"/>
  <c r="AAI61" i="30" s="1"/>
  <c r="AAH18" i="30"/>
  <c r="AAH61" i="30" s="1"/>
  <c r="AAG18" i="30"/>
  <c r="AAG61" i="30" s="1"/>
  <c r="AAF18" i="30"/>
  <c r="AAF61" i="30" s="1"/>
  <c r="AAE18" i="30"/>
  <c r="AAE61" i="30" s="1"/>
  <c r="AAD18" i="30"/>
  <c r="AAD61" i="30" s="1"/>
  <c r="AAC18" i="30"/>
  <c r="AAC61" i="30" s="1"/>
  <c r="AAB18" i="30"/>
  <c r="AAB61" i="30" s="1"/>
  <c r="AAA18" i="30"/>
  <c r="AAA61" i="30" s="1"/>
  <c r="ZZ18" i="30"/>
  <c r="ZZ61" i="30" s="1"/>
  <c r="ZY18" i="30"/>
  <c r="ZY61" i="30" s="1"/>
  <c r="ZX18" i="30"/>
  <c r="ZX61" i="30" s="1"/>
  <c r="ZW18" i="30"/>
  <c r="ZW61" i="30" s="1"/>
  <c r="ZV18" i="30"/>
  <c r="ZV61" i="30" s="1"/>
  <c r="ZU18" i="30"/>
  <c r="ZU61" i="30" s="1"/>
  <c r="ZT18" i="30"/>
  <c r="ZT61" i="30" s="1"/>
  <c r="ZS18" i="30"/>
  <c r="ZS61" i="30" s="1"/>
  <c r="ZR18" i="30"/>
  <c r="ZR61" i="30" s="1"/>
  <c r="ZQ18" i="30"/>
  <c r="ZQ61" i="30" s="1"/>
  <c r="ZP18" i="30"/>
  <c r="ZP61" i="30" s="1"/>
  <c r="ZO18" i="30"/>
  <c r="ZO61" i="30" s="1"/>
  <c r="ZN18" i="30"/>
  <c r="ZN61" i="30" s="1"/>
  <c r="ZM18" i="30"/>
  <c r="ZM61" i="30" s="1"/>
  <c r="ZL18" i="30"/>
  <c r="ZL61" i="30" s="1"/>
  <c r="ZK18" i="30"/>
  <c r="ZK61" i="30" s="1"/>
  <c r="ZJ18" i="30"/>
  <c r="ZJ61" i="30" s="1"/>
  <c r="ZI18" i="30"/>
  <c r="ZI61" i="30" s="1"/>
  <c r="ZH18" i="30"/>
  <c r="ZH61" i="30" s="1"/>
  <c r="ZG18" i="30"/>
  <c r="ZG61" i="30" s="1"/>
  <c r="ZF18" i="30"/>
  <c r="ZF61" i="30" s="1"/>
  <c r="ZE18" i="30"/>
  <c r="ZE61" i="30" s="1"/>
  <c r="ZD18" i="30"/>
  <c r="ZD61" i="30" s="1"/>
  <c r="ZC18" i="30"/>
  <c r="ZC61" i="30" s="1"/>
  <c r="ZB18" i="30"/>
  <c r="ZB61" i="30" s="1"/>
  <c r="ZA18" i="30"/>
  <c r="ZA61" i="30" s="1"/>
  <c r="YZ18" i="30"/>
  <c r="YZ61" i="30" s="1"/>
  <c r="YY18" i="30"/>
  <c r="YY61" i="30" s="1"/>
  <c r="YX18" i="30"/>
  <c r="YX61" i="30" s="1"/>
  <c r="YS18" i="30"/>
  <c r="YS61" i="30" s="1"/>
  <c r="YJ18" i="30"/>
  <c r="YJ61" i="30" s="1"/>
  <c r="YH18" i="30"/>
  <c r="YH61" i="30" s="1"/>
  <c r="VI18" i="30"/>
  <c r="VI61" i="30" s="1"/>
  <c r="VH18" i="30"/>
  <c r="VH61" i="30" s="1"/>
  <c r="AAU16" i="30"/>
  <c r="AAT16" i="30"/>
  <c r="AAS16" i="30"/>
  <c r="AAR16" i="30"/>
  <c r="AAQ16" i="30"/>
  <c r="AAP16" i="30"/>
  <c r="AAO16" i="30"/>
  <c r="AAN16" i="30"/>
  <c r="AAM16" i="30"/>
  <c r="AAL16" i="30"/>
  <c r="AAK16" i="30"/>
  <c r="AAJ16" i="30"/>
  <c r="AAI16" i="30"/>
  <c r="AAH16" i="30"/>
  <c r="AAG16" i="30"/>
  <c r="AAF16" i="30"/>
  <c r="AAE16" i="30"/>
  <c r="AAD16" i="30"/>
  <c r="AAC16" i="30"/>
  <c r="AAB16" i="30"/>
  <c r="AAA16" i="30"/>
  <c r="ZZ16" i="30"/>
  <c r="ZY16" i="30"/>
  <c r="ZX16" i="30"/>
  <c r="ZW16" i="30"/>
  <c r="ZV16" i="30"/>
  <c r="ZU16" i="30"/>
  <c r="ZT16" i="30"/>
  <c r="ZS16" i="30"/>
  <c r="ZR16" i="30"/>
  <c r="ZQ16" i="30"/>
  <c r="ZP16" i="30"/>
  <c r="ZO16" i="30"/>
  <c r="ZN16" i="30"/>
  <c r="ZM16" i="30"/>
  <c r="ZL16" i="30"/>
  <c r="ZK16" i="30"/>
  <c r="ZK15" i="30" s="1"/>
  <c r="ZJ16" i="30"/>
  <c r="ZI16" i="30"/>
  <c r="ZH16" i="30"/>
  <c r="ZG16" i="30"/>
  <c r="ZG15" i="30" s="1"/>
  <c r="ZF16" i="30"/>
  <c r="ZF15" i="30" s="1"/>
  <c r="ZE16" i="30"/>
  <c r="ZD16" i="30"/>
  <c r="ZC16" i="30"/>
  <c r="ZB16" i="30"/>
  <c r="ZB15" i="30" s="1"/>
  <c r="ZA16" i="30"/>
  <c r="ZA15" i="30" s="1"/>
  <c r="YZ16" i="30"/>
  <c r="YZ15" i="30" s="1"/>
  <c r="YY16" i="30"/>
  <c r="YY15" i="30" s="1"/>
  <c r="YX16" i="30"/>
  <c r="YW16" i="30"/>
  <c r="YV16" i="30"/>
  <c r="YU16" i="30"/>
  <c r="YU15" i="30" s="1"/>
  <c r="YT16" i="30"/>
  <c r="YS16" i="30"/>
  <c r="YR16" i="30"/>
  <c r="YR15" i="30" s="1"/>
  <c r="YQ16" i="30"/>
  <c r="YP16" i="30"/>
  <c r="YP15" i="30" s="1"/>
  <c r="YO16" i="30"/>
  <c r="YO15" i="30" s="1"/>
  <c r="YN16" i="30"/>
  <c r="YN15" i="30" s="1"/>
  <c r="YM16" i="30"/>
  <c r="YM15" i="30" s="1"/>
  <c r="YL16" i="30"/>
  <c r="YL15" i="30" s="1"/>
  <c r="YK16" i="30"/>
  <c r="YK15" i="30" s="1"/>
  <c r="YJ16" i="30"/>
  <c r="YJ15" i="30" s="1"/>
  <c r="YI16" i="30"/>
  <c r="YI15" i="30" s="1"/>
  <c r="YH16" i="30"/>
  <c r="YH15" i="30" s="1"/>
  <c r="YG16" i="30"/>
  <c r="YG15" i="30" s="1"/>
  <c r="YF16" i="30"/>
  <c r="YF15" i="30" s="1"/>
  <c r="YE16" i="30"/>
  <c r="YE15" i="30" s="1"/>
  <c r="YD16" i="30"/>
  <c r="YD15" i="30" s="1"/>
  <c r="YC16" i="30"/>
  <c r="YC15" i="30" s="1"/>
  <c r="YB16" i="30"/>
  <c r="YB15" i="30" s="1"/>
  <c r="YA16" i="30"/>
  <c r="YA15" i="30" s="1"/>
  <c r="XZ16" i="30"/>
  <c r="XZ15" i="30" s="1"/>
  <c r="XY16" i="30"/>
  <c r="XX16" i="30"/>
  <c r="XW16" i="30"/>
  <c r="XW15" i="30" s="1"/>
  <c r="XV16" i="30"/>
  <c r="XV15" i="30" s="1"/>
  <c r="XU16" i="30"/>
  <c r="XU15" i="30" s="1"/>
  <c r="XT16" i="30"/>
  <c r="XT15" i="30" s="1"/>
  <c r="XS16" i="30"/>
  <c r="XS15" i="30" s="1"/>
  <c r="XR16" i="30"/>
  <c r="XR15" i="30" s="1"/>
  <c r="XQ16" i="30"/>
  <c r="XQ15" i="30" s="1"/>
  <c r="XP16" i="30"/>
  <c r="XP15" i="30" s="1"/>
  <c r="XO16" i="30"/>
  <c r="XO15" i="30" s="1"/>
  <c r="XN16" i="30"/>
  <c r="XN15" i="30" s="1"/>
  <c r="XM16" i="30"/>
  <c r="XL16" i="30"/>
  <c r="XL15" i="30" s="1"/>
  <c r="XK16" i="30"/>
  <c r="XJ16" i="30"/>
  <c r="XJ15" i="30" s="1"/>
  <c r="XI16" i="30"/>
  <c r="XI15" i="30" s="1"/>
  <c r="XH16" i="30"/>
  <c r="XH15" i="30" s="1"/>
  <c r="XG16" i="30"/>
  <c r="XG15" i="30" s="1"/>
  <c r="XF16" i="30"/>
  <c r="XF15" i="30" s="1"/>
  <c r="XE16" i="30"/>
  <c r="XE15" i="30" s="1"/>
  <c r="XD16" i="30"/>
  <c r="XD15" i="30" s="1"/>
  <c r="XC16" i="30"/>
  <c r="XC15" i="30" s="1"/>
  <c r="XB16" i="30"/>
  <c r="XB15" i="30" s="1"/>
  <c r="XA16" i="30"/>
  <c r="WZ16" i="30"/>
  <c r="WZ15" i="30" s="1"/>
  <c r="WY16" i="30"/>
  <c r="WY15" i="30" s="1"/>
  <c r="WX16" i="30"/>
  <c r="WX15" i="30" s="1"/>
  <c r="WW16" i="30"/>
  <c r="WW15" i="30" s="1"/>
  <c r="WV16" i="30"/>
  <c r="WV15" i="30" s="1"/>
  <c r="WU16" i="30"/>
  <c r="WU15" i="30" s="1"/>
  <c r="WT16" i="30"/>
  <c r="WT15" i="30" s="1"/>
  <c r="WS16" i="30"/>
  <c r="WS15" i="30" s="1"/>
  <c r="WR16" i="30"/>
  <c r="WR15" i="30" s="1"/>
  <c r="WQ16" i="30"/>
  <c r="WQ15" i="30" s="1"/>
  <c r="WP16" i="30"/>
  <c r="WP15" i="30" s="1"/>
  <c r="WO16" i="30"/>
  <c r="WO15" i="30" s="1"/>
  <c r="WN16" i="30"/>
  <c r="WN15" i="30" s="1"/>
  <c r="WM16" i="30"/>
  <c r="WM15" i="30" s="1"/>
  <c r="WL16" i="30"/>
  <c r="WL15" i="30" s="1"/>
  <c r="WK16" i="30"/>
  <c r="WK15" i="30" s="1"/>
  <c r="WJ16" i="30"/>
  <c r="WJ15" i="30" s="1"/>
  <c r="WI16" i="30"/>
  <c r="WI15" i="30" s="1"/>
  <c r="WH16" i="30"/>
  <c r="WH15" i="30" s="1"/>
  <c r="WG16" i="30"/>
  <c r="WG15" i="30" s="1"/>
  <c r="WF16" i="30"/>
  <c r="WF15" i="30" s="1"/>
  <c r="WE16" i="30"/>
  <c r="WE15" i="30" s="1"/>
  <c r="WD16" i="30"/>
  <c r="WD15" i="30" s="1"/>
  <c r="WC16" i="30"/>
  <c r="WB16" i="30"/>
  <c r="WB15" i="30" s="1"/>
  <c r="WA16" i="30"/>
  <c r="WA15" i="30" s="1"/>
  <c r="VZ16" i="30"/>
  <c r="VZ15" i="30" s="1"/>
  <c r="VY16" i="30"/>
  <c r="VY15" i="30" s="1"/>
  <c r="VX16" i="30"/>
  <c r="VX15" i="30" s="1"/>
  <c r="VW16" i="30"/>
  <c r="VW15" i="30" s="1"/>
  <c r="VV16" i="30"/>
  <c r="VV15" i="30" s="1"/>
  <c r="VU16" i="30"/>
  <c r="VU15" i="30" s="1"/>
  <c r="VT16" i="30"/>
  <c r="VT15" i="30" s="1"/>
  <c r="VS16" i="30"/>
  <c r="VS15" i="30" s="1"/>
  <c r="VR16" i="30"/>
  <c r="VR15" i="30" s="1"/>
  <c r="VQ16" i="30"/>
  <c r="VQ15" i="30" s="1"/>
  <c r="VP16" i="30"/>
  <c r="VO16" i="30"/>
  <c r="VO15" i="30" s="1"/>
  <c r="VN16" i="30"/>
  <c r="VN15" i="30" s="1"/>
  <c r="VM16" i="30"/>
  <c r="VM15" i="30" s="1"/>
  <c r="VL16" i="30"/>
  <c r="VL15" i="30" s="1"/>
  <c r="VK16" i="30"/>
  <c r="VK15" i="30" s="1"/>
  <c r="VJ16" i="30"/>
  <c r="VJ15" i="30" s="1"/>
  <c r="VI16" i="30"/>
  <c r="VI15" i="30" s="1"/>
  <c r="VH16" i="30"/>
  <c r="VH15" i="30" s="1"/>
  <c r="AAU15" i="30"/>
  <c r="AAT15" i="30"/>
  <c r="AAS15" i="30"/>
  <c r="AAR15" i="30"/>
  <c r="AAQ15" i="30"/>
  <c r="AAP15" i="30"/>
  <c r="AAO15" i="30"/>
  <c r="AAN15" i="30"/>
  <c r="AAM15" i="30"/>
  <c r="AAL15" i="30"/>
  <c r="AAK15" i="30"/>
  <c r="AAJ15" i="30"/>
  <c r="AAI15" i="30"/>
  <c r="AAH15" i="30"/>
  <c r="AAG15" i="30"/>
  <c r="AAF15" i="30"/>
  <c r="AAE15" i="30"/>
  <c r="AAD15" i="30"/>
  <c r="AAC15" i="30"/>
  <c r="AAB15" i="30"/>
  <c r="AAA15" i="30"/>
  <c r="ZZ15" i="30"/>
  <c r="ZY15" i="30"/>
  <c r="ZX15" i="30"/>
  <c r="ZW15" i="30"/>
  <c r="ZV15" i="30"/>
  <c r="ZU15" i="30"/>
  <c r="ZT15" i="30"/>
  <c r="ZS15" i="30"/>
  <c r="ZR15" i="30"/>
  <c r="ZQ15" i="30"/>
  <c r="ZP15" i="30"/>
  <c r="ZO15" i="30"/>
  <c r="ZN15" i="30"/>
  <c r="ZM15" i="30"/>
  <c r="ZL15" i="30"/>
  <c r="ZJ15" i="30"/>
  <c r="ZI15" i="30"/>
  <c r="ZH15" i="30"/>
  <c r="ZE15" i="30"/>
  <c r="ZD15" i="30"/>
  <c r="ZC15" i="30"/>
  <c r="YX15" i="30"/>
  <c r="YW15" i="30"/>
  <c r="YV15" i="30"/>
  <c r="YT15" i="30"/>
  <c r="YS15" i="30"/>
  <c r="YQ15" i="30"/>
  <c r="XY15" i="30"/>
  <c r="XX15" i="30"/>
  <c r="XM15" i="30"/>
  <c r="XK15" i="30"/>
  <c r="XA15" i="30"/>
  <c r="WC15" i="30"/>
  <c r="VP15" i="30"/>
  <c r="QX61" i="30"/>
  <c r="VG49" i="30"/>
  <c r="VF49" i="30"/>
  <c r="VE49" i="30"/>
  <c r="VD49" i="30"/>
  <c r="VC49" i="30"/>
  <c r="VB49" i="30"/>
  <c r="VA49" i="30"/>
  <c r="UZ49" i="30"/>
  <c r="UY49" i="30"/>
  <c r="UX49" i="30"/>
  <c r="UW49" i="30"/>
  <c r="UV49" i="30"/>
  <c r="UU49" i="30"/>
  <c r="UT49" i="30"/>
  <c r="US49" i="30"/>
  <c r="US48" i="30" s="1"/>
  <c r="UR49" i="30"/>
  <c r="UR48" i="30" s="1"/>
  <c r="UQ49" i="30"/>
  <c r="UQ48" i="30" s="1"/>
  <c r="UP49" i="30"/>
  <c r="UP48" i="30" s="1"/>
  <c r="UO49" i="30"/>
  <c r="UO48" i="30" s="1"/>
  <c r="UN49" i="30"/>
  <c r="UN48" i="30" s="1"/>
  <c r="UM49" i="30"/>
  <c r="UM48" i="30" s="1"/>
  <c r="UL49" i="30"/>
  <c r="UL48" i="30" s="1"/>
  <c r="UK49" i="30"/>
  <c r="UK48" i="30" s="1"/>
  <c r="UJ49" i="30"/>
  <c r="UJ48" i="30" s="1"/>
  <c r="UI49" i="30"/>
  <c r="UI48" i="30" s="1"/>
  <c r="UH49" i="30"/>
  <c r="UH48" i="30" s="1"/>
  <c r="UG49" i="30"/>
  <c r="UG48" i="30" s="1"/>
  <c r="UF49" i="30"/>
  <c r="UF48" i="30" s="1"/>
  <c r="UE49" i="30"/>
  <c r="UE48" i="30" s="1"/>
  <c r="UD49" i="30"/>
  <c r="UC49" i="30"/>
  <c r="UC48" i="30" s="1"/>
  <c r="UB49" i="30"/>
  <c r="UB48" i="30" s="1"/>
  <c r="UA49" i="30"/>
  <c r="UA48" i="30" s="1"/>
  <c r="TZ49" i="30"/>
  <c r="TZ48" i="30" s="1"/>
  <c r="TY49" i="30"/>
  <c r="TY48" i="30" s="1"/>
  <c r="TX49" i="30"/>
  <c r="TX48" i="30" s="1"/>
  <c r="TW49" i="30"/>
  <c r="TW48" i="30" s="1"/>
  <c r="TV49" i="30"/>
  <c r="TV48" i="30" s="1"/>
  <c r="TU49" i="30"/>
  <c r="TU48" i="30" s="1"/>
  <c r="TT49" i="30"/>
  <c r="TS49" i="30"/>
  <c r="TS48" i="30" s="1"/>
  <c r="TR49" i="30"/>
  <c r="TR48" i="30" s="1"/>
  <c r="TQ49" i="30"/>
  <c r="TQ48" i="30" s="1"/>
  <c r="TP49" i="30"/>
  <c r="TP48" i="30" s="1"/>
  <c r="TO49" i="30"/>
  <c r="TO48" i="30" s="1"/>
  <c r="TN49" i="30"/>
  <c r="TN48" i="30" s="1"/>
  <c r="TM49" i="30"/>
  <c r="TM48" i="30" s="1"/>
  <c r="TL49" i="30"/>
  <c r="TL48" i="30" s="1"/>
  <c r="TK49" i="30"/>
  <c r="TK48" i="30" s="1"/>
  <c r="TJ49" i="30"/>
  <c r="TJ48" i="30" s="1"/>
  <c r="TI49" i="30"/>
  <c r="TI48" i="30" s="1"/>
  <c r="TH49" i="30"/>
  <c r="TH48" i="30" s="1"/>
  <c r="TG49" i="30"/>
  <c r="TG48" i="30" s="1"/>
  <c r="TF49" i="30"/>
  <c r="TE49" i="30"/>
  <c r="TE48" i="30" s="1"/>
  <c r="TD49" i="30"/>
  <c r="TD48" i="30" s="1"/>
  <c r="TC49" i="30"/>
  <c r="TC48" i="30" s="1"/>
  <c r="TB49" i="30"/>
  <c r="TB48" i="30" s="1"/>
  <c r="TA49" i="30"/>
  <c r="TA48" i="30" s="1"/>
  <c r="SZ49" i="30"/>
  <c r="SZ48" i="30" s="1"/>
  <c r="SY49" i="30"/>
  <c r="SY48" i="30" s="1"/>
  <c r="SX49" i="30"/>
  <c r="SX48" i="30" s="1"/>
  <c r="SW49" i="30"/>
  <c r="SW48" i="30" s="1"/>
  <c r="SV49" i="30"/>
  <c r="SV48" i="30" s="1"/>
  <c r="SU49" i="30"/>
  <c r="SU48" i="30" s="1"/>
  <c r="ST49" i="30"/>
  <c r="SS49" i="30"/>
  <c r="SS48" i="30" s="1"/>
  <c r="SR49" i="30"/>
  <c r="SR48" i="30" s="1"/>
  <c r="SQ49" i="30"/>
  <c r="SQ48" i="30" s="1"/>
  <c r="SP49" i="30"/>
  <c r="SP48" i="30" s="1"/>
  <c r="SO49" i="30"/>
  <c r="SO48" i="30" s="1"/>
  <c r="SN49" i="30"/>
  <c r="SN48" i="30" s="1"/>
  <c r="SM49" i="30"/>
  <c r="SM48" i="30" s="1"/>
  <c r="SL49" i="30"/>
  <c r="SL48" i="30" s="1"/>
  <c r="SK49" i="30"/>
  <c r="SK48" i="30" s="1"/>
  <c r="SJ49" i="30"/>
  <c r="SI49" i="30"/>
  <c r="SH49" i="30"/>
  <c r="SH48" i="30" s="1"/>
  <c r="SG49" i="30"/>
  <c r="SG48" i="30" s="1"/>
  <c r="SF49" i="30"/>
  <c r="SF48" i="30" s="1"/>
  <c r="SE49" i="30"/>
  <c r="SE48" i="30" s="1"/>
  <c r="SD49" i="30"/>
  <c r="SD48" i="30" s="1"/>
  <c r="SC49" i="30"/>
  <c r="SC48" i="30" s="1"/>
  <c r="SB49" i="30"/>
  <c r="SB48" i="30" s="1"/>
  <c r="SA49" i="30"/>
  <c r="SA48" i="30" s="1"/>
  <c r="RZ49" i="30"/>
  <c r="RZ48" i="30" s="1"/>
  <c r="RY49" i="30"/>
  <c r="RY48" i="30" s="1"/>
  <c r="RX49" i="30"/>
  <c r="RX48" i="30" s="1"/>
  <c r="RW49" i="30"/>
  <c r="RW48" i="30" s="1"/>
  <c r="RV49" i="30"/>
  <c r="RV48" i="30" s="1"/>
  <c r="RU49" i="30"/>
  <c r="RU48" i="30" s="1"/>
  <c r="RT49" i="30"/>
  <c r="RT48" i="30" s="1"/>
  <c r="RS49" i="30"/>
  <c r="RS48" i="30" s="1"/>
  <c r="RR49" i="30"/>
  <c r="RR48" i="30" s="1"/>
  <c r="RQ49" i="30"/>
  <c r="RQ48" i="30" s="1"/>
  <c r="RP49" i="30"/>
  <c r="RP48" i="30" s="1"/>
  <c r="RO49" i="30"/>
  <c r="RO48" i="30" s="1"/>
  <c r="RN49" i="30"/>
  <c r="RN48" i="30" s="1"/>
  <c r="RM49" i="30"/>
  <c r="RM48" i="30" s="1"/>
  <c r="RL49" i="30"/>
  <c r="RL48" i="30" s="1"/>
  <c r="RK49" i="30"/>
  <c r="RK48" i="30" s="1"/>
  <c r="RJ49" i="30"/>
  <c r="RJ48" i="30" s="1"/>
  <c r="RI49" i="30"/>
  <c r="RI48" i="30" s="1"/>
  <c r="RH49" i="30"/>
  <c r="RH48" i="30" s="1"/>
  <c r="RG49" i="30"/>
  <c r="RG48" i="30" s="1"/>
  <c r="RF49" i="30"/>
  <c r="RF48" i="30" s="1"/>
  <c r="RE49" i="30"/>
  <c r="RE48" i="30" s="1"/>
  <c r="RD49" i="30"/>
  <c r="RD48" i="30" s="1"/>
  <c r="RC49" i="30"/>
  <c r="RC48" i="30" s="1"/>
  <c r="RB49" i="30"/>
  <c r="RB48" i="30" s="1"/>
  <c r="RA49" i="30"/>
  <c r="RA48" i="30" s="1"/>
  <c r="QZ49" i="30"/>
  <c r="QZ48" i="30" s="1"/>
  <c r="QY49" i="30"/>
  <c r="QY48" i="30" s="1"/>
  <c r="QX49" i="30"/>
  <c r="QX48" i="30" s="1"/>
  <c r="QW49" i="30"/>
  <c r="QW48" i="30" s="1"/>
  <c r="QV49" i="30"/>
  <c r="QV48" i="30" s="1"/>
  <c r="QU49" i="30"/>
  <c r="QU48" i="30" s="1"/>
  <c r="QT49" i="30"/>
  <c r="QT48" i="30" s="1"/>
  <c r="QS49" i="30"/>
  <c r="QS48" i="30" s="1"/>
  <c r="QR49" i="30"/>
  <c r="QR48" i="30" s="1"/>
  <c r="QQ49" i="30"/>
  <c r="QQ48" i="30" s="1"/>
  <c r="QP49" i="30"/>
  <c r="QP48" i="30" s="1"/>
  <c r="QO49" i="30"/>
  <c r="QO48" i="30" s="1"/>
  <c r="QN49" i="30"/>
  <c r="QN48" i="30" s="1"/>
  <c r="QM49" i="30"/>
  <c r="QM48" i="30" s="1"/>
  <c r="QL49" i="30"/>
  <c r="QL48" i="30" s="1"/>
  <c r="QK49" i="30"/>
  <c r="QK48" i="30" s="1"/>
  <c r="QJ49" i="30"/>
  <c r="QJ48" i="30" s="1"/>
  <c r="QI49" i="30"/>
  <c r="QI48" i="30" s="1"/>
  <c r="QH49" i="30"/>
  <c r="QH48" i="30" s="1"/>
  <c r="QG49" i="30"/>
  <c r="QG48" i="30" s="1"/>
  <c r="QF49" i="30"/>
  <c r="QF48" i="30" s="1"/>
  <c r="QE49" i="30"/>
  <c r="QE48" i="30" s="1"/>
  <c r="QD49" i="30"/>
  <c r="QD48" i="30" s="1"/>
  <c r="QC49" i="30"/>
  <c r="QC48" i="30" s="1"/>
  <c r="QB49" i="30"/>
  <c r="QB48" i="30" s="1"/>
  <c r="QA49" i="30"/>
  <c r="QA48" i="30" s="1"/>
  <c r="PZ49" i="30"/>
  <c r="PY49" i="30"/>
  <c r="PY48" i="30" s="1"/>
  <c r="PX49" i="30"/>
  <c r="PX48" i="30" s="1"/>
  <c r="PW49" i="30"/>
  <c r="PW48" i="30" s="1"/>
  <c r="PV49" i="30"/>
  <c r="PV48" i="30" s="1"/>
  <c r="PU49" i="30"/>
  <c r="PU48" i="30" s="1"/>
  <c r="PT49" i="30"/>
  <c r="PT48" i="30" s="1"/>
  <c r="VG48" i="30"/>
  <c r="VF48" i="30"/>
  <c r="VE48" i="30"/>
  <c r="VD48" i="30"/>
  <c r="VC48" i="30"/>
  <c r="VB48" i="30"/>
  <c r="VA48" i="30"/>
  <c r="UZ48" i="30"/>
  <c r="UY48" i="30"/>
  <c r="UX48" i="30"/>
  <c r="UW48" i="30"/>
  <c r="UV48" i="30"/>
  <c r="UU48" i="30"/>
  <c r="UT48" i="30"/>
  <c r="UD48" i="30"/>
  <c r="TT48" i="30"/>
  <c r="TF48" i="30"/>
  <c r="ST48" i="30"/>
  <c r="SJ48" i="30"/>
  <c r="SI48" i="30"/>
  <c r="PZ48" i="30"/>
  <c r="VG44" i="30"/>
  <c r="VF44" i="30"/>
  <c r="VE44" i="30"/>
  <c r="VD44" i="30"/>
  <c r="VC44" i="30"/>
  <c r="VB44" i="30"/>
  <c r="VA44" i="30"/>
  <c r="UZ44" i="30"/>
  <c r="UY44" i="30"/>
  <c r="UX44" i="30"/>
  <c r="UW44" i="30"/>
  <c r="UV44" i="30"/>
  <c r="UU44" i="30"/>
  <c r="UT44" i="30"/>
  <c r="US44" i="30"/>
  <c r="UR44" i="30"/>
  <c r="UQ44" i="30"/>
  <c r="UP44" i="30"/>
  <c r="UO44" i="30"/>
  <c r="UN44" i="30"/>
  <c r="UM44" i="30"/>
  <c r="UL44" i="30"/>
  <c r="UK44" i="30"/>
  <c r="UJ44" i="30"/>
  <c r="UI44" i="30"/>
  <c r="UH44" i="30"/>
  <c r="UG44" i="30"/>
  <c r="UF44" i="30"/>
  <c r="UE44" i="30"/>
  <c r="UD44" i="30"/>
  <c r="UC44" i="30"/>
  <c r="UB44" i="30"/>
  <c r="UA44" i="30"/>
  <c r="TZ44" i="30"/>
  <c r="TY44" i="30"/>
  <c r="TY59" i="30" s="1"/>
  <c r="TX44" i="30"/>
  <c r="TW44" i="30"/>
  <c r="TV44" i="30"/>
  <c r="TU44" i="30"/>
  <c r="TT44" i="30"/>
  <c r="TS44" i="30"/>
  <c r="TR44" i="30"/>
  <c r="TR66" i="30" s="1"/>
  <c r="TQ44" i="30"/>
  <c r="TP44" i="30"/>
  <c r="TO44" i="30"/>
  <c r="TO66" i="30" s="1"/>
  <c r="TN44" i="30"/>
  <c r="TM44" i="30"/>
  <c r="TL44" i="30"/>
  <c r="TL59" i="30" s="1"/>
  <c r="TK44" i="30"/>
  <c r="TJ44" i="30"/>
  <c r="TI44" i="30"/>
  <c r="TH44" i="30"/>
  <c r="TH66" i="30" s="1"/>
  <c r="TG44" i="30"/>
  <c r="TG59" i="30" s="1"/>
  <c r="TF44" i="30"/>
  <c r="TF66" i="30" s="1"/>
  <c r="TE44" i="30"/>
  <c r="TE66" i="30" s="1"/>
  <c r="TD44" i="30"/>
  <c r="TD66" i="30" s="1"/>
  <c r="TC44" i="30"/>
  <c r="TC66" i="30" s="1"/>
  <c r="TB44" i="30"/>
  <c r="TA44" i="30"/>
  <c r="TA66" i="30" s="1"/>
  <c r="SZ44" i="30"/>
  <c r="SZ66" i="30" s="1"/>
  <c r="SY44" i="30"/>
  <c r="SY59" i="30" s="1"/>
  <c r="SX44" i="30"/>
  <c r="SX66" i="30" s="1"/>
  <c r="SW44" i="30"/>
  <c r="SW59" i="30" s="1"/>
  <c r="SV44" i="30"/>
  <c r="SV59" i="30" s="1"/>
  <c r="SU44" i="30"/>
  <c r="SU66" i="30" s="1"/>
  <c r="ST44" i="30"/>
  <c r="ST66" i="30" s="1"/>
  <c r="SS44" i="30"/>
  <c r="SR44" i="30"/>
  <c r="SQ44" i="30"/>
  <c r="SP44" i="30"/>
  <c r="SO44" i="30"/>
  <c r="SN44" i="30"/>
  <c r="SN59" i="30" s="1"/>
  <c r="SM44" i="30"/>
  <c r="SL44" i="30"/>
  <c r="SK44" i="30"/>
  <c r="SJ44" i="30"/>
  <c r="SI44" i="30"/>
  <c r="SH44" i="30"/>
  <c r="SG44" i="30"/>
  <c r="SF44" i="30"/>
  <c r="SE44" i="30"/>
  <c r="SE66" i="30" s="1"/>
  <c r="SD44" i="30"/>
  <c r="SD59" i="30" s="1"/>
  <c r="SC44" i="30"/>
  <c r="SC59" i="30" s="1"/>
  <c r="SB44" i="30"/>
  <c r="SA44" i="30"/>
  <c r="RZ44" i="30"/>
  <c r="RZ66" i="30" s="1"/>
  <c r="RY44" i="30"/>
  <c r="RX44" i="30"/>
  <c r="RX59" i="30" s="1"/>
  <c r="RW44" i="30"/>
  <c r="RV44" i="30"/>
  <c r="RU44" i="30"/>
  <c r="RU66" i="30" s="1"/>
  <c r="RT44" i="30"/>
  <c r="RT66" i="30" s="1"/>
  <c r="RS44" i="30"/>
  <c r="RR44" i="30"/>
  <c r="RQ44" i="30"/>
  <c r="RQ66" i="30" s="1"/>
  <c r="RP44" i="30"/>
  <c r="RP66" i="30" s="1"/>
  <c r="RO44" i="30"/>
  <c r="RN44" i="30"/>
  <c r="RN66" i="30" s="1"/>
  <c r="RM44" i="30"/>
  <c r="RM66" i="30" s="1"/>
  <c r="RL44" i="30"/>
  <c r="RK44" i="30"/>
  <c r="RJ44" i="30"/>
  <c r="RI44" i="30"/>
  <c r="RI59" i="30" s="1"/>
  <c r="RH44" i="30"/>
  <c r="RG44" i="30"/>
  <c r="RG66" i="30" s="1"/>
  <c r="RF44" i="30"/>
  <c r="RE44" i="30"/>
  <c r="RD44" i="30"/>
  <c r="RD59" i="30" s="1"/>
  <c r="RC44" i="30"/>
  <c r="RC59" i="30" s="1"/>
  <c r="RB44" i="30"/>
  <c r="RA44" i="30"/>
  <c r="RA66" i="30" s="1"/>
  <c r="QZ44" i="30"/>
  <c r="QZ66" i="30" s="1"/>
  <c r="QY44" i="30"/>
  <c r="QX44" i="30"/>
  <c r="QW44" i="30"/>
  <c r="QW59" i="30" s="1"/>
  <c r="QV44" i="30"/>
  <c r="QV59" i="30" s="1"/>
  <c r="QU44" i="30"/>
  <c r="QT44" i="30"/>
  <c r="QS44" i="30"/>
  <c r="QR44" i="30"/>
  <c r="QR66" i="30" s="1"/>
  <c r="QQ44" i="30"/>
  <c r="QQ59" i="30" s="1"/>
  <c r="QP44" i="30"/>
  <c r="QO44" i="30"/>
  <c r="QO66" i="30" s="1"/>
  <c r="QN44" i="30"/>
  <c r="QN66" i="30" s="1"/>
  <c r="QM44" i="30"/>
  <c r="QL44" i="30"/>
  <c r="QK44" i="30"/>
  <c r="QJ44" i="30"/>
  <c r="QI44" i="30"/>
  <c r="QH44" i="30"/>
  <c r="QG44" i="30"/>
  <c r="QF44" i="30"/>
  <c r="QE44" i="30"/>
  <c r="QD44" i="30"/>
  <c r="QC44" i="30"/>
  <c r="QB44" i="30"/>
  <c r="QA44" i="30"/>
  <c r="PZ44" i="30"/>
  <c r="PZ66" i="30" s="1"/>
  <c r="PY44" i="30"/>
  <c r="PX44" i="30"/>
  <c r="PW44" i="30"/>
  <c r="PV44" i="30"/>
  <c r="PU44" i="30"/>
  <c r="PT44" i="30"/>
  <c r="VF66" i="30"/>
  <c r="VD59" i="30"/>
  <c r="VC66" i="30"/>
  <c r="VA59" i="30"/>
  <c r="UZ59" i="30"/>
  <c r="UY59" i="30"/>
  <c r="UX59" i="30"/>
  <c r="UW59" i="30"/>
  <c r="UU59" i="30"/>
  <c r="UT66" i="30"/>
  <c r="US66" i="30"/>
  <c r="UO66" i="30"/>
  <c r="UI59" i="30"/>
  <c r="UH66" i="30"/>
  <c r="UE66" i="30"/>
  <c r="UD59" i="30"/>
  <c r="UC66" i="30"/>
  <c r="UB66" i="30"/>
  <c r="VG40" i="30"/>
  <c r="VF40" i="30"/>
  <c r="VE40" i="30"/>
  <c r="VD40" i="30"/>
  <c r="VC40" i="30"/>
  <c r="VB40" i="30"/>
  <c r="VA40" i="30"/>
  <c r="UZ40" i="30"/>
  <c r="UY40" i="30"/>
  <c r="UX40" i="30"/>
  <c r="UW40" i="30"/>
  <c r="UV40" i="30"/>
  <c r="UU40" i="30"/>
  <c r="UT40" i="30"/>
  <c r="US40" i="30"/>
  <c r="UR40" i="30"/>
  <c r="UQ40" i="30"/>
  <c r="UP40" i="30"/>
  <c r="UO40" i="30"/>
  <c r="UN40" i="30"/>
  <c r="UM40" i="30"/>
  <c r="UL40" i="30"/>
  <c r="UK40" i="30"/>
  <c r="UJ40" i="30"/>
  <c r="UI40" i="30"/>
  <c r="UH40" i="30"/>
  <c r="UG40" i="30"/>
  <c r="UF40" i="30"/>
  <c r="UE40" i="30"/>
  <c r="UD40" i="30"/>
  <c r="UC40" i="30"/>
  <c r="UB40" i="30"/>
  <c r="UA40" i="30"/>
  <c r="TZ40" i="30"/>
  <c r="TY40" i="30"/>
  <c r="TX40" i="30"/>
  <c r="TW40" i="30"/>
  <c r="TV40" i="30"/>
  <c r="TU40" i="30"/>
  <c r="TT40" i="30"/>
  <c r="TS40" i="30"/>
  <c r="TR40" i="30"/>
  <c r="TQ40" i="30"/>
  <c r="TP40" i="30"/>
  <c r="TO40" i="30"/>
  <c r="TN40" i="30"/>
  <c r="TM40" i="30"/>
  <c r="TL40" i="30"/>
  <c r="TK40" i="30"/>
  <c r="TJ40" i="30"/>
  <c r="TI40" i="30"/>
  <c r="TH40" i="30"/>
  <c r="TG40" i="30"/>
  <c r="TF40" i="30"/>
  <c r="TE40" i="30"/>
  <c r="TD40" i="30"/>
  <c r="TC40" i="30"/>
  <c r="TB40" i="30"/>
  <c r="TA40" i="30"/>
  <c r="SZ40" i="30"/>
  <c r="SY40" i="30"/>
  <c r="SX40" i="30"/>
  <c r="SW40" i="30"/>
  <c r="SV40" i="30"/>
  <c r="SU40" i="30"/>
  <c r="ST40" i="30"/>
  <c r="SS40" i="30"/>
  <c r="SR40" i="30"/>
  <c r="SQ40" i="30"/>
  <c r="SP40" i="30"/>
  <c r="SO40" i="30"/>
  <c r="SN40" i="30"/>
  <c r="SM40" i="30"/>
  <c r="SL40" i="30"/>
  <c r="SK40" i="30"/>
  <c r="SJ40" i="30"/>
  <c r="SI40" i="30"/>
  <c r="SH40" i="30"/>
  <c r="SG40" i="30"/>
  <c r="SF40" i="30"/>
  <c r="SE40" i="30"/>
  <c r="SD40" i="30"/>
  <c r="SC40" i="30"/>
  <c r="SB40" i="30"/>
  <c r="SA40" i="30"/>
  <c r="RZ40" i="30"/>
  <c r="RY40" i="30"/>
  <c r="RX40" i="30"/>
  <c r="RW40" i="30"/>
  <c r="RV40" i="30"/>
  <c r="RU40" i="30"/>
  <c r="RU39" i="30" s="1"/>
  <c r="RU65" i="30" s="1"/>
  <c r="RT40" i="30"/>
  <c r="RT39" i="30" s="1"/>
  <c r="RS40" i="30"/>
  <c r="RS39" i="30" s="1"/>
  <c r="RR40" i="30"/>
  <c r="RR39" i="30" s="1"/>
  <c r="RQ40" i="30"/>
  <c r="RQ39" i="30" s="1"/>
  <c r="RP40" i="30"/>
  <c r="RP39" i="30" s="1"/>
  <c r="RO40" i="30"/>
  <c r="RO39" i="30" s="1"/>
  <c r="RO58" i="30" s="1"/>
  <c r="RN40" i="30"/>
  <c r="RN39" i="30" s="1"/>
  <c r="RM40" i="30"/>
  <c r="RL40" i="30"/>
  <c r="RL39" i="30" s="1"/>
  <c r="RL65" i="30" s="1"/>
  <c r="RK40" i="30"/>
  <c r="RK39" i="30" s="1"/>
  <c r="RK65" i="30" s="1"/>
  <c r="RJ40" i="30"/>
  <c r="RJ39" i="30" s="1"/>
  <c r="RI40" i="30"/>
  <c r="RH40" i="30"/>
  <c r="RH39" i="30" s="1"/>
  <c r="RG40" i="30"/>
  <c r="RG39" i="30" s="1"/>
  <c r="RF40" i="30"/>
  <c r="RF39" i="30" s="1"/>
  <c r="RE40" i="30"/>
  <c r="RE39" i="30" s="1"/>
  <c r="RD40" i="30"/>
  <c r="RD39" i="30" s="1"/>
  <c r="RC40" i="30"/>
  <c r="RC39" i="30" s="1"/>
  <c r="RB40" i="30"/>
  <c r="RB39" i="30" s="1"/>
  <c r="RB65" i="30" s="1"/>
  <c r="RA40" i="30"/>
  <c r="RA39" i="30" s="1"/>
  <c r="QZ40" i="30"/>
  <c r="QZ39" i="30" s="1"/>
  <c r="QZ65" i="30" s="1"/>
  <c r="QY40" i="30"/>
  <c r="QY39" i="30" s="1"/>
  <c r="QX40" i="30"/>
  <c r="QX39" i="30" s="1"/>
  <c r="QX65" i="30" s="1"/>
  <c r="QW40" i="30"/>
  <c r="QW39" i="30" s="1"/>
  <c r="QW65" i="30" s="1"/>
  <c r="QV40" i="30"/>
  <c r="QV39" i="30" s="1"/>
  <c r="QV58" i="30" s="1"/>
  <c r="QU40" i="30"/>
  <c r="QU39" i="30" s="1"/>
  <c r="QU58" i="30" s="1"/>
  <c r="QT40" i="30"/>
  <c r="QT39" i="30" s="1"/>
  <c r="QT65" i="30" s="1"/>
  <c r="QS40" i="30"/>
  <c r="QS39" i="30" s="1"/>
  <c r="QR40" i="30"/>
  <c r="QR39" i="30" s="1"/>
  <c r="QQ40" i="30"/>
  <c r="QQ39" i="30" s="1"/>
  <c r="QP40" i="30"/>
  <c r="QP39" i="30" s="1"/>
  <c r="QP65" i="30" s="1"/>
  <c r="QO40" i="30"/>
  <c r="QO39" i="30" s="1"/>
  <c r="QN40" i="30"/>
  <c r="QN39" i="30" s="1"/>
  <c r="QN65" i="30" s="1"/>
  <c r="QM40" i="30"/>
  <c r="QM39" i="30" s="1"/>
  <c r="QL40" i="30"/>
  <c r="QL39" i="30" s="1"/>
  <c r="QK40" i="30"/>
  <c r="QK39" i="30" s="1"/>
  <c r="QK65" i="30" s="1"/>
  <c r="QJ40" i="30"/>
  <c r="QJ39" i="30" s="1"/>
  <c r="QI40" i="30"/>
  <c r="QI39" i="30" s="1"/>
  <c r="QH40" i="30"/>
  <c r="QH39" i="30" s="1"/>
  <c r="QG40" i="30"/>
  <c r="QG39" i="30" s="1"/>
  <c r="QF40" i="30"/>
  <c r="QF39" i="30" s="1"/>
  <c r="QF65" i="30" s="1"/>
  <c r="QE40" i="30"/>
  <c r="QE39" i="30" s="1"/>
  <c r="QD40" i="30"/>
  <c r="QD39" i="30" s="1"/>
  <c r="QD65" i="30" s="1"/>
  <c r="QC40" i="30"/>
  <c r="QC39" i="30" s="1"/>
  <c r="QC58" i="30" s="1"/>
  <c r="QB40" i="30"/>
  <c r="QB39" i="30" s="1"/>
  <c r="QA40" i="30"/>
  <c r="QA39" i="30" s="1"/>
  <c r="QA65" i="30" s="1"/>
  <c r="PZ40" i="30"/>
  <c r="PZ39" i="30" s="1"/>
  <c r="PZ65" i="30" s="1"/>
  <c r="PY40" i="30"/>
  <c r="PY39" i="30" s="1"/>
  <c r="PX40" i="30"/>
  <c r="PX39" i="30" s="1"/>
  <c r="PX58" i="30" s="1"/>
  <c r="PW40" i="30"/>
  <c r="PW39" i="30" s="1"/>
  <c r="PW58" i="30" s="1"/>
  <c r="PV40" i="30"/>
  <c r="PV39" i="30" s="1"/>
  <c r="PU40" i="30"/>
  <c r="PU39" i="30" s="1"/>
  <c r="PT40" i="30"/>
  <c r="PT39" i="30" s="1"/>
  <c r="VG39" i="30"/>
  <c r="VF39" i="30"/>
  <c r="VF65" i="30" s="1"/>
  <c r="VE39" i="30"/>
  <c r="VE65" i="30" s="1"/>
  <c r="VD39" i="30"/>
  <c r="VD58" i="30" s="1"/>
  <c r="VC39" i="30"/>
  <c r="VB39" i="30"/>
  <c r="VA39" i="30"/>
  <c r="VA65" i="30" s="1"/>
  <c r="UZ39" i="30"/>
  <c r="UZ65" i="30" s="1"/>
  <c r="UY39" i="30"/>
  <c r="UY65" i="30" s="1"/>
  <c r="UX39" i="30"/>
  <c r="UW39" i="30"/>
  <c r="UV39" i="30"/>
  <c r="UV65" i="30" s="1"/>
  <c r="UU39" i="30"/>
  <c r="UT39" i="30"/>
  <c r="US39" i="30"/>
  <c r="US65" i="30" s="1"/>
  <c r="UR39" i="30"/>
  <c r="UQ39" i="30"/>
  <c r="UQ58" i="30" s="1"/>
  <c r="UP39" i="30"/>
  <c r="UP65" i="30" s="1"/>
  <c r="UO39" i="30"/>
  <c r="UN39" i="30"/>
  <c r="UM39" i="30"/>
  <c r="UL39" i="30"/>
  <c r="UL65" i="30" s="1"/>
  <c r="UK39" i="30"/>
  <c r="UJ39" i="30"/>
  <c r="UI39" i="30"/>
  <c r="UI58" i="30" s="1"/>
  <c r="UH39" i="30"/>
  <c r="UG39" i="30"/>
  <c r="UG65" i="30" s="1"/>
  <c r="UF39" i="30"/>
  <c r="UF65" i="30" s="1"/>
  <c r="UE39" i="30"/>
  <c r="UD39" i="30"/>
  <c r="UC39" i="30"/>
  <c r="UC65" i="30" s="1"/>
  <c r="UB39" i="30"/>
  <c r="UA39" i="30"/>
  <c r="TZ39" i="30"/>
  <c r="TY39" i="30"/>
  <c r="TX39" i="30"/>
  <c r="TW39" i="30"/>
  <c r="TV39" i="30"/>
  <c r="TU39" i="30"/>
  <c r="TU65" i="30" s="1"/>
  <c r="TT39" i="30"/>
  <c r="TT65" i="30" s="1"/>
  <c r="TS39" i="30"/>
  <c r="TR39" i="30"/>
  <c r="TR65" i="30" s="1"/>
  <c r="TQ39" i="30"/>
  <c r="TQ58" i="30" s="1"/>
  <c r="TP39" i="30"/>
  <c r="TP65" i="30" s="1"/>
  <c r="TO39" i="30"/>
  <c r="TO65" i="30" s="1"/>
  <c r="TN39" i="30"/>
  <c r="TM39" i="30"/>
  <c r="TM65" i="30" s="1"/>
  <c r="TL39" i="30"/>
  <c r="TL65" i="30" s="1"/>
  <c r="TK39" i="30"/>
  <c r="TJ39" i="30"/>
  <c r="TI39" i="30"/>
  <c r="TI58" i="30" s="1"/>
  <c r="TH39" i="30"/>
  <c r="TH58" i="30" s="1"/>
  <c r="TG39" i="30"/>
  <c r="TG65" i="30" s="1"/>
  <c r="TF39" i="30"/>
  <c r="TF65" i="30" s="1"/>
  <c r="TE39" i="30"/>
  <c r="TE58" i="30" s="1"/>
  <c r="TD39" i="30"/>
  <c r="TD58" i="30" s="1"/>
  <c r="TC39" i="30"/>
  <c r="TB39" i="30"/>
  <c r="TA39" i="30"/>
  <c r="TA65" i="30" s="1"/>
  <c r="SZ39" i="30"/>
  <c r="SZ65" i="30" s="1"/>
  <c r="SY39" i="30"/>
  <c r="SY58" i="30" s="1"/>
  <c r="SX39" i="30"/>
  <c r="SW39" i="30"/>
  <c r="SV39" i="30"/>
  <c r="SU39" i="30"/>
  <c r="ST39" i="30"/>
  <c r="ST58" i="30" s="1"/>
  <c r="SS39" i="30"/>
  <c r="SS65" i="30" s="1"/>
  <c r="SR39" i="30"/>
  <c r="SR65" i="30" s="1"/>
  <c r="SQ39" i="30"/>
  <c r="SP39" i="30"/>
  <c r="SO39" i="30"/>
  <c r="SN39" i="30"/>
  <c r="SM39" i="30"/>
  <c r="SM58" i="30" s="1"/>
  <c r="SL39" i="30"/>
  <c r="SL65" i="30" s="1"/>
  <c r="SK39" i="30"/>
  <c r="SJ39" i="30"/>
  <c r="SI39" i="30"/>
  <c r="SI58" i="30" s="1"/>
  <c r="SH39" i="30"/>
  <c r="SH65" i="30" s="1"/>
  <c r="SG39" i="30"/>
  <c r="SG65" i="30" s="1"/>
  <c r="SF39" i="30"/>
  <c r="SF65" i="30" s="1"/>
  <c r="SE39" i="30"/>
  <c r="SE65" i="30" s="1"/>
  <c r="SD39" i="30"/>
  <c r="SC39" i="30"/>
  <c r="SC65" i="30" s="1"/>
  <c r="SB39" i="30"/>
  <c r="SB65" i="30" s="1"/>
  <c r="SA39" i="30"/>
  <c r="SA58" i="30" s="1"/>
  <c r="RZ39" i="30"/>
  <c r="RZ65" i="30" s="1"/>
  <c r="RY39" i="30"/>
  <c r="RX39" i="30"/>
  <c r="RX58" i="30" s="1"/>
  <c r="RW39" i="30"/>
  <c r="RV39" i="30"/>
  <c r="RM39" i="30"/>
  <c r="RM58" i="30" s="1"/>
  <c r="RI39" i="30"/>
  <c r="RI58" i="30" s="1"/>
  <c r="SM33" i="30"/>
  <c r="RM33" i="30"/>
  <c r="QB33" i="30"/>
  <c r="VG33" i="30"/>
  <c r="VF33" i="30"/>
  <c r="VE33" i="30"/>
  <c r="VE64" i="30" s="1"/>
  <c r="VD33" i="30"/>
  <c r="VD64" i="30" s="1"/>
  <c r="VC33" i="30"/>
  <c r="VC57" i="30" s="1"/>
  <c r="VB33" i="30"/>
  <c r="VB64" i="30" s="1"/>
  <c r="VA33" i="30"/>
  <c r="UZ33" i="30"/>
  <c r="UZ64" i="30" s="1"/>
  <c r="UY33" i="30"/>
  <c r="UY64" i="30" s="1"/>
  <c r="UX33" i="30"/>
  <c r="UX57" i="30" s="1"/>
  <c r="UW33" i="30"/>
  <c r="UW57" i="30" s="1"/>
  <c r="UV33" i="30"/>
  <c r="UV64" i="30" s="1"/>
  <c r="UU33" i="30"/>
  <c r="UT33" i="30"/>
  <c r="UT64" i="30" s="1"/>
  <c r="US33" i="30"/>
  <c r="US64" i="30" s="1"/>
  <c r="UR33" i="30"/>
  <c r="UR57" i="30" s="1"/>
  <c r="UQ33" i="30"/>
  <c r="UP33" i="30"/>
  <c r="UP64" i="30" s="1"/>
  <c r="UO33" i="30"/>
  <c r="UO64" i="30" s="1"/>
  <c r="UN33" i="30"/>
  <c r="UN64" i="30" s="1"/>
  <c r="UM33" i="30"/>
  <c r="UL33" i="30"/>
  <c r="UK33" i="30"/>
  <c r="UJ33" i="30"/>
  <c r="UI33" i="30"/>
  <c r="UI57" i="30" s="1"/>
  <c r="UH33" i="30"/>
  <c r="UH64" i="30" s="1"/>
  <c r="UG33" i="30"/>
  <c r="UG64" i="30" s="1"/>
  <c r="UF33" i="30"/>
  <c r="UE33" i="30"/>
  <c r="UD33" i="30"/>
  <c r="UD57" i="30" s="1"/>
  <c r="UC33" i="30"/>
  <c r="UB33" i="30"/>
  <c r="UA33" i="30"/>
  <c r="UA64" i="30" s="1"/>
  <c r="TZ33" i="30"/>
  <c r="TY33" i="30"/>
  <c r="TY57" i="30" s="1"/>
  <c r="TX33" i="30"/>
  <c r="TX57" i="30" s="1"/>
  <c r="TW33" i="30"/>
  <c r="TV33" i="30"/>
  <c r="TU33" i="30"/>
  <c r="TU57" i="30" s="1"/>
  <c r="TT33" i="30"/>
  <c r="TT64" i="30" s="1"/>
  <c r="TS33" i="30"/>
  <c r="TR33" i="30"/>
  <c r="TR64" i="30" s="1"/>
  <c r="TQ33" i="30"/>
  <c r="TQ64" i="30" s="1"/>
  <c r="TP33" i="30"/>
  <c r="TO33" i="30"/>
  <c r="TO64" i="30" s="1"/>
  <c r="TN33" i="30"/>
  <c r="TN64" i="30" s="1"/>
  <c r="TM33" i="30"/>
  <c r="TL33" i="30"/>
  <c r="TL57" i="30" s="1"/>
  <c r="TK33" i="30"/>
  <c r="TJ33" i="30"/>
  <c r="TI33" i="30"/>
  <c r="TH33" i="30"/>
  <c r="TH64" i="30" s="1"/>
  <c r="TG33" i="30"/>
  <c r="TF33" i="30"/>
  <c r="TF64" i="30" s="1"/>
  <c r="TE33" i="30"/>
  <c r="TE57" i="30" s="1"/>
  <c r="TD33" i="30"/>
  <c r="TD64" i="30" s="1"/>
  <c r="TC33" i="30"/>
  <c r="TB33" i="30"/>
  <c r="TB57" i="30" s="1"/>
  <c r="TA33" i="30"/>
  <c r="TA57" i="30" s="1"/>
  <c r="SZ33" i="30"/>
  <c r="SZ57" i="30" s="1"/>
  <c r="SY33" i="30"/>
  <c r="SX33" i="30"/>
  <c r="SX64" i="30" s="1"/>
  <c r="SW33" i="30"/>
  <c r="SV33" i="30"/>
  <c r="SV57" i="30" s="1"/>
  <c r="SU33" i="30"/>
  <c r="ST33" i="30"/>
  <c r="ST64" i="30" s="1"/>
  <c r="SS33" i="30"/>
  <c r="SS64" i="30" s="1"/>
  <c r="SR33" i="30"/>
  <c r="SR64" i="30" s="1"/>
  <c r="SQ33" i="30"/>
  <c r="SP33" i="30"/>
  <c r="SP64" i="30" s="1"/>
  <c r="SO33" i="30"/>
  <c r="SN33" i="30"/>
  <c r="SL33" i="30"/>
  <c r="SL64" i="30" s="1"/>
  <c r="SK33" i="30"/>
  <c r="SK57" i="30" s="1"/>
  <c r="SJ33" i="30"/>
  <c r="SJ57" i="30" s="1"/>
  <c r="SI33" i="30"/>
  <c r="SI57" i="30" s="1"/>
  <c r="SH33" i="30"/>
  <c r="SH64" i="30" s="1"/>
  <c r="SG33" i="30"/>
  <c r="SG57" i="30" s="1"/>
  <c r="SF33" i="30"/>
  <c r="SF64" i="30" s="1"/>
  <c r="SE33" i="30"/>
  <c r="SE64" i="30" s="1"/>
  <c r="SD33" i="30"/>
  <c r="SD64" i="30" s="1"/>
  <c r="SC33" i="30"/>
  <c r="SC64" i="30" s="1"/>
  <c r="SB33" i="30"/>
  <c r="SA33" i="30"/>
  <c r="RZ33" i="30"/>
  <c r="RZ64" i="30" s="1"/>
  <c r="RY33" i="30"/>
  <c r="RY64" i="30" s="1"/>
  <c r="RX33" i="30"/>
  <c r="RX57" i="30" s="1"/>
  <c r="RW33" i="30"/>
  <c r="RV33" i="30"/>
  <c r="RV57" i="30" s="1"/>
  <c r="RU33" i="30"/>
  <c r="RU64" i="30" s="1"/>
  <c r="RT33" i="30"/>
  <c r="RS33" i="30"/>
  <c r="RR33" i="30"/>
  <c r="RQ33" i="30"/>
  <c r="RP33" i="30"/>
  <c r="RP64" i="30" s="1"/>
  <c r="RO33" i="30"/>
  <c r="RO57" i="30" s="1"/>
  <c r="RN33" i="30"/>
  <c r="RN64" i="30" s="1"/>
  <c r="RL33" i="30"/>
  <c r="RK33" i="30"/>
  <c r="RK64" i="30" s="1"/>
  <c r="RJ33" i="30"/>
  <c r="RJ64" i="30" s="1"/>
  <c r="RI33" i="30"/>
  <c r="RI64" i="30" s="1"/>
  <c r="RH33" i="30"/>
  <c r="RH64" i="30" s="1"/>
  <c r="RG33" i="30"/>
  <c r="RG64" i="30" s="1"/>
  <c r="RF33" i="30"/>
  <c r="RF64" i="30" s="1"/>
  <c r="RE33" i="30"/>
  <c r="RE57" i="30" s="1"/>
  <c r="RD33" i="30"/>
  <c r="RD57" i="30" s="1"/>
  <c r="RC33" i="30"/>
  <c r="RC64" i="30" s="1"/>
  <c r="RB33" i="30"/>
  <c r="RA33" i="30"/>
  <c r="RA64" i="30" s="1"/>
  <c r="QZ33" i="30"/>
  <c r="QZ57" i="30" s="1"/>
  <c r="QY33" i="30"/>
  <c r="QY57" i="30" s="1"/>
  <c r="QX33" i="30"/>
  <c r="QX64" i="30" s="1"/>
  <c r="QW33" i="30"/>
  <c r="QW57" i="30" s="1"/>
  <c r="QV33" i="30"/>
  <c r="QV57" i="30" s="1"/>
  <c r="QU33" i="30"/>
  <c r="QU64" i="30" s="1"/>
  <c r="QT33" i="30"/>
  <c r="QS33" i="30"/>
  <c r="QS64" i="30" s="1"/>
  <c r="QR33" i="30"/>
  <c r="QR64" i="30" s="1"/>
  <c r="QQ33" i="30"/>
  <c r="QQ57" i="30" s="1"/>
  <c r="QP33" i="30"/>
  <c r="QP64" i="30" s="1"/>
  <c r="QO33" i="30"/>
  <c r="QO57" i="30" s="1"/>
  <c r="QN33" i="30"/>
  <c r="QM33" i="30"/>
  <c r="QL33" i="30"/>
  <c r="QK33" i="30"/>
  <c r="QK57" i="30" s="1"/>
  <c r="QJ33" i="30"/>
  <c r="QJ64" i="30" s="1"/>
  <c r="QI33" i="30"/>
  <c r="QI57" i="30" s="1"/>
  <c r="QH33" i="30"/>
  <c r="QG33" i="30"/>
  <c r="QG64" i="30" s="1"/>
  <c r="QF33" i="30"/>
  <c r="QF64" i="30" s="1"/>
  <c r="QE33" i="30"/>
  <c r="QE64" i="30" s="1"/>
  <c r="QD33" i="30"/>
  <c r="QD64" i="30" s="1"/>
  <c r="QC33" i="30"/>
  <c r="QC57" i="30" s="1"/>
  <c r="QA33" i="30"/>
  <c r="QA64" i="30" s="1"/>
  <c r="PZ33" i="30"/>
  <c r="PZ64" i="30" s="1"/>
  <c r="PY33" i="30"/>
  <c r="PY57" i="30" s="1"/>
  <c r="PX33" i="30"/>
  <c r="PX57" i="30" s="1"/>
  <c r="PW33" i="30"/>
  <c r="PW64" i="30" s="1"/>
  <c r="PV33" i="30"/>
  <c r="PU33" i="30"/>
  <c r="PT33" i="30"/>
  <c r="VG26" i="30"/>
  <c r="VG63" i="30" s="1"/>
  <c r="VF26" i="30"/>
  <c r="VF63" i="30" s="1"/>
  <c r="VE26" i="30"/>
  <c r="VE63" i="30" s="1"/>
  <c r="VD26" i="30"/>
  <c r="VD63" i="30" s="1"/>
  <c r="VC26" i="30"/>
  <c r="VC63" i="30" s="1"/>
  <c r="VB26" i="30"/>
  <c r="VB56" i="30" s="1"/>
  <c r="VA26" i="30"/>
  <c r="VA56" i="30" s="1"/>
  <c r="UZ26" i="30"/>
  <c r="UZ63" i="30" s="1"/>
  <c r="UY26" i="30"/>
  <c r="UY63" i="30" s="1"/>
  <c r="UX26" i="30"/>
  <c r="UW26" i="30"/>
  <c r="UW56" i="30" s="1"/>
  <c r="UV26" i="30"/>
  <c r="UV63" i="30" s="1"/>
  <c r="UU26" i="30"/>
  <c r="UU63" i="30" s="1"/>
  <c r="UT26" i="30"/>
  <c r="US26" i="30"/>
  <c r="US63" i="30" s="1"/>
  <c r="UR26" i="30"/>
  <c r="UR56" i="30" s="1"/>
  <c r="UQ26" i="30"/>
  <c r="UQ56" i="30" s="1"/>
  <c r="UP26" i="30"/>
  <c r="UP56" i="30" s="1"/>
  <c r="UO26" i="30"/>
  <c r="UO56" i="30" s="1"/>
  <c r="UN26" i="30"/>
  <c r="UN63" i="30" s="1"/>
  <c r="UM26" i="30"/>
  <c r="UM63" i="30" s="1"/>
  <c r="UL26" i="30"/>
  <c r="UL63" i="30" s="1"/>
  <c r="UK26" i="30"/>
  <c r="UK63" i="30" s="1"/>
  <c r="UJ26" i="30"/>
  <c r="UI26" i="30"/>
  <c r="UI63" i="30" s="1"/>
  <c r="UH26" i="30"/>
  <c r="UH63" i="30" s="1"/>
  <c r="UG26" i="30"/>
  <c r="UG63" i="30" s="1"/>
  <c r="UF26" i="30"/>
  <c r="UE26" i="30"/>
  <c r="UE63" i="30" s="1"/>
  <c r="UD26" i="30"/>
  <c r="UD56" i="30" s="1"/>
  <c r="UC26" i="30"/>
  <c r="UC56" i="30" s="1"/>
  <c r="UB26" i="30"/>
  <c r="UB63" i="30" s="1"/>
  <c r="UA26" i="30"/>
  <c r="UA56" i="30" s="1"/>
  <c r="TZ26" i="30"/>
  <c r="TZ56" i="30" s="1"/>
  <c r="TY26" i="30"/>
  <c r="TY56" i="30" s="1"/>
  <c r="TX26" i="30"/>
  <c r="TW26" i="30"/>
  <c r="TW63" i="30" s="1"/>
  <c r="TV26" i="30"/>
  <c r="TU26" i="30"/>
  <c r="TU56" i="30" s="1"/>
  <c r="TT26" i="30"/>
  <c r="TT63" i="30" s="1"/>
  <c r="TS26" i="30"/>
  <c r="TS63" i="30" s="1"/>
  <c r="TR26" i="30"/>
  <c r="TR63" i="30" s="1"/>
  <c r="TQ26" i="30"/>
  <c r="TQ56" i="30" s="1"/>
  <c r="TP26" i="30"/>
  <c r="TP63" i="30" s="1"/>
  <c r="TO26" i="30"/>
  <c r="TO63" i="30" s="1"/>
  <c r="TN26" i="30"/>
  <c r="TN63" i="30" s="1"/>
  <c r="TM26" i="30"/>
  <c r="TM63" i="30" s="1"/>
  <c r="TL26" i="30"/>
  <c r="TK26" i="30"/>
  <c r="TK63" i="30" s="1"/>
  <c r="TJ26" i="30"/>
  <c r="TJ63" i="30" s="1"/>
  <c r="TI26" i="30"/>
  <c r="TI63" i="30" s="1"/>
  <c r="TH26" i="30"/>
  <c r="TH56" i="30" s="1"/>
  <c r="TG26" i="30"/>
  <c r="TG63" i="30" s="1"/>
  <c r="TF26" i="30"/>
  <c r="TF63" i="30" s="1"/>
  <c r="TE26" i="30"/>
  <c r="TE56" i="30" s="1"/>
  <c r="TD26" i="30"/>
  <c r="TD63" i="30" s="1"/>
  <c r="TC26" i="30"/>
  <c r="TC63" i="30" s="1"/>
  <c r="TB26" i="30"/>
  <c r="TB56" i="30" s="1"/>
  <c r="TA26" i="30"/>
  <c r="TA63" i="30" s="1"/>
  <c r="SZ26" i="30"/>
  <c r="SZ63" i="30" s="1"/>
  <c r="SY26" i="30"/>
  <c r="SY63" i="30" s="1"/>
  <c r="SX26" i="30"/>
  <c r="SX63" i="30" s="1"/>
  <c r="SW26" i="30"/>
  <c r="SW63" i="30" s="1"/>
  <c r="SV26" i="30"/>
  <c r="SV63" i="30" s="1"/>
  <c r="SU26" i="30"/>
  <c r="ST26" i="30"/>
  <c r="ST56" i="30" s="1"/>
  <c r="SS26" i="30"/>
  <c r="SS63" i="30" s="1"/>
  <c r="SR26" i="30"/>
  <c r="SR56" i="30" s="1"/>
  <c r="SQ26" i="30"/>
  <c r="SP26" i="30"/>
  <c r="SO26" i="30"/>
  <c r="SO63" i="30" s="1"/>
  <c r="SN26" i="30"/>
  <c r="SN56" i="30" s="1"/>
  <c r="SM26" i="30"/>
  <c r="SM63" i="30" s="1"/>
  <c r="SL26" i="30"/>
  <c r="SL63" i="30" s="1"/>
  <c r="SK26" i="30"/>
  <c r="SK63" i="30" s="1"/>
  <c r="SJ26" i="30"/>
  <c r="SJ63" i="30" s="1"/>
  <c r="SI26" i="30"/>
  <c r="SI63" i="30" s="1"/>
  <c r="SH26" i="30"/>
  <c r="SH56" i="30" s="1"/>
  <c r="SG26" i="30"/>
  <c r="SG63" i="30" s="1"/>
  <c r="SF26" i="30"/>
  <c r="SF63" i="30" s="1"/>
  <c r="SE26" i="30"/>
  <c r="SE63" i="30" s="1"/>
  <c r="SD26" i="30"/>
  <c r="SC26" i="30"/>
  <c r="SB26" i="30"/>
  <c r="SA26" i="30"/>
  <c r="SA63" i="30" s="1"/>
  <c r="RZ26" i="30"/>
  <c r="RY26" i="30"/>
  <c r="RY56" i="30" s="1"/>
  <c r="RX26" i="30"/>
  <c r="RX63" i="30" s="1"/>
  <c r="RW26" i="30"/>
  <c r="RV26" i="30"/>
  <c r="RV56" i="30" s="1"/>
  <c r="RU26" i="30"/>
  <c r="RU56" i="30" s="1"/>
  <c r="RT26" i="30"/>
  <c r="RT56" i="30" s="1"/>
  <c r="RS26" i="30"/>
  <c r="RS63" i="30" s="1"/>
  <c r="RR26" i="30"/>
  <c r="RR63" i="30" s="1"/>
  <c r="RQ26" i="30"/>
  <c r="RQ63" i="30" s="1"/>
  <c r="RP26" i="30"/>
  <c r="RO26" i="30"/>
  <c r="RO63" i="30" s="1"/>
  <c r="RN26" i="30"/>
  <c r="RN63" i="30" s="1"/>
  <c r="RM26" i="30"/>
  <c r="RM63" i="30" s="1"/>
  <c r="RL26" i="30"/>
  <c r="RL56" i="30" s="1"/>
  <c r="RK26" i="30"/>
  <c r="RJ26" i="30"/>
  <c r="RJ56" i="30" s="1"/>
  <c r="RI26" i="30"/>
  <c r="RI56" i="30" s="1"/>
  <c r="RH26" i="30"/>
  <c r="RH56" i="30" s="1"/>
  <c r="RG26" i="30"/>
  <c r="RF26" i="30"/>
  <c r="RF63" i="30" s="1"/>
  <c r="RE26" i="30"/>
  <c r="RE63" i="30" s="1"/>
  <c r="RD26" i="30"/>
  <c r="RD63" i="30" s="1"/>
  <c r="RC26" i="30"/>
  <c r="RC63" i="30" s="1"/>
  <c r="RB26" i="30"/>
  <c r="RA26" i="30"/>
  <c r="RA56" i="30" s="1"/>
  <c r="QZ26" i="30"/>
  <c r="QZ63" i="30" s="1"/>
  <c r="QY26" i="30"/>
  <c r="QY63" i="30" s="1"/>
  <c r="QX26" i="30"/>
  <c r="QX56" i="30" s="1"/>
  <c r="QW26" i="30"/>
  <c r="QW56" i="30" s="1"/>
  <c r="QV26" i="30"/>
  <c r="QV56" i="30" s="1"/>
  <c r="QU26" i="30"/>
  <c r="QU56" i="30" s="1"/>
  <c r="QT26" i="30"/>
  <c r="QT56" i="30" s="1"/>
  <c r="QS26" i="30"/>
  <c r="QR26" i="30"/>
  <c r="QR56" i="30" s="1"/>
  <c r="QQ26" i="30"/>
  <c r="QQ63" i="30" s="1"/>
  <c r="QP26" i="30"/>
  <c r="QP63" i="30" s="1"/>
  <c r="QO26" i="30"/>
  <c r="QO63" i="30" s="1"/>
  <c r="QN26" i="30"/>
  <c r="QM26" i="30"/>
  <c r="QM63" i="30" s="1"/>
  <c r="QL26" i="30"/>
  <c r="QL56" i="30" s="1"/>
  <c r="QK26" i="30"/>
  <c r="QK63" i="30" s="1"/>
  <c r="QJ26" i="30"/>
  <c r="QJ63" i="30" s="1"/>
  <c r="QI26" i="30"/>
  <c r="QI63" i="30" s="1"/>
  <c r="QH26" i="30"/>
  <c r="QG26" i="30"/>
  <c r="QG63" i="30" s="1"/>
  <c r="QF26" i="30"/>
  <c r="QF63" i="30" s="1"/>
  <c r="QE26" i="30"/>
  <c r="QE56" i="30" s="1"/>
  <c r="QD26" i="30"/>
  <c r="QD63" i="30" s="1"/>
  <c r="QC26" i="30"/>
  <c r="QC56" i="30" s="1"/>
  <c r="QB26" i="30"/>
  <c r="QB56" i="30" s="1"/>
  <c r="QA26" i="30"/>
  <c r="QA63" i="30" s="1"/>
  <c r="PZ26" i="30"/>
  <c r="PZ56" i="30" s="1"/>
  <c r="PY26" i="30"/>
  <c r="PY56" i="30" s="1"/>
  <c r="PX26" i="30"/>
  <c r="PX56" i="30" s="1"/>
  <c r="PW26" i="30"/>
  <c r="PW63" i="30" s="1"/>
  <c r="PV26" i="30"/>
  <c r="PV56" i="30" s="1"/>
  <c r="PU26" i="30"/>
  <c r="PU63" i="30" s="1"/>
  <c r="PT26" i="30"/>
  <c r="VG23" i="30"/>
  <c r="VF23" i="30"/>
  <c r="VE23" i="30"/>
  <c r="VD23" i="30"/>
  <c r="VC23" i="30"/>
  <c r="VC22" i="30" s="1"/>
  <c r="VC60" i="30" s="1"/>
  <c r="VB23" i="30"/>
  <c r="VB22" i="30" s="1"/>
  <c r="VB60" i="30" s="1"/>
  <c r="VA23" i="30"/>
  <c r="VA22" i="30" s="1"/>
  <c r="VA60" i="30" s="1"/>
  <c r="UZ23" i="30"/>
  <c r="UZ22" i="30" s="1"/>
  <c r="UZ60" i="30" s="1"/>
  <c r="UY23" i="30"/>
  <c r="UY22" i="30" s="1"/>
  <c r="UY60" i="30" s="1"/>
  <c r="UX23" i="30"/>
  <c r="UX22" i="30" s="1"/>
  <c r="UX60" i="30" s="1"/>
  <c r="UW23" i="30"/>
  <c r="UW22" i="30" s="1"/>
  <c r="UW60" i="30" s="1"/>
  <c r="UV23" i="30"/>
  <c r="UV22" i="30" s="1"/>
  <c r="UV60" i="30" s="1"/>
  <c r="UU23" i="30"/>
  <c r="UU22" i="30" s="1"/>
  <c r="UU60" i="30" s="1"/>
  <c r="UT23" i="30"/>
  <c r="US23" i="30"/>
  <c r="UR23" i="30"/>
  <c r="UR22" i="30" s="1"/>
  <c r="UR60" i="30" s="1"/>
  <c r="UQ23" i="30"/>
  <c r="UQ22" i="30" s="1"/>
  <c r="UQ60" i="30" s="1"/>
  <c r="UP23" i="30"/>
  <c r="UP22" i="30" s="1"/>
  <c r="UP60" i="30" s="1"/>
  <c r="UO23" i="30"/>
  <c r="UO22" i="30" s="1"/>
  <c r="UO60" i="30" s="1"/>
  <c r="UN23" i="30"/>
  <c r="UN22" i="30" s="1"/>
  <c r="UN60" i="30" s="1"/>
  <c r="UM23" i="30"/>
  <c r="UL23" i="30"/>
  <c r="UL22" i="30" s="1"/>
  <c r="UL60" i="30" s="1"/>
  <c r="UK23" i="30"/>
  <c r="UK22" i="30" s="1"/>
  <c r="UK60" i="30" s="1"/>
  <c r="UJ23" i="30"/>
  <c r="UJ22" i="30" s="1"/>
  <c r="UJ60" i="30" s="1"/>
  <c r="UI23" i="30"/>
  <c r="UI22" i="30" s="1"/>
  <c r="UI60" i="30" s="1"/>
  <c r="UH23" i="30"/>
  <c r="UG23" i="30"/>
  <c r="UG22" i="30" s="1"/>
  <c r="UG60" i="30" s="1"/>
  <c r="UF23" i="30"/>
  <c r="UF22" i="30" s="1"/>
  <c r="UF60" i="30" s="1"/>
  <c r="UE23" i="30"/>
  <c r="UE22" i="30" s="1"/>
  <c r="UE60" i="30" s="1"/>
  <c r="UD23" i="30"/>
  <c r="UD22" i="30" s="1"/>
  <c r="UD60" i="30" s="1"/>
  <c r="UC23" i="30"/>
  <c r="UC22" i="30" s="1"/>
  <c r="UC60" i="30" s="1"/>
  <c r="UB23" i="30"/>
  <c r="UB22" i="30" s="1"/>
  <c r="UB60" i="30" s="1"/>
  <c r="UA23" i="30"/>
  <c r="UA22" i="30" s="1"/>
  <c r="UA60" i="30" s="1"/>
  <c r="TZ23" i="30"/>
  <c r="TZ22" i="30" s="1"/>
  <c r="TZ60" i="30" s="1"/>
  <c r="TY23" i="30"/>
  <c r="TY22" i="30" s="1"/>
  <c r="TY60" i="30" s="1"/>
  <c r="TX23" i="30"/>
  <c r="TX22" i="30" s="1"/>
  <c r="TX60" i="30" s="1"/>
  <c r="TW23" i="30"/>
  <c r="TW22" i="30" s="1"/>
  <c r="TW60" i="30" s="1"/>
  <c r="TV23" i="30"/>
  <c r="TV22" i="30" s="1"/>
  <c r="TV60" i="30" s="1"/>
  <c r="TU23" i="30"/>
  <c r="TU22" i="30" s="1"/>
  <c r="TU60" i="30" s="1"/>
  <c r="TT23" i="30"/>
  <c r="TT22" i="30" s="1"/>
  <c r="TT60" i="30" s="1"/>
  <c r="TS23" i="30"/>
  <c r="TS22" i="30" s="1"/>
  <c r="TS60" i="30" s="1"/>
  <c r="TR23" i="30"/>
  <c r="TR22" i="30" s="1"/>
  <c r="TR60" i="30" s="1"/>
  <c r="TQ23" i="30"/>
  <c r="TQ22" i="30" s="1"/>
  <c r="TQ60" i="30" s="1"/>
  <c r="TP23" i="30"/>
  <c r="TP22" i="30" s="1"/>
  <c r="TP60" i="30" s="1"/>
  <c r="TO23" i="30"/>
  <c r="TO22" i="30" s="1"/>
  <c r="TO60" i="30" s="1"/>
  <c r="TN23" i="30"/>
  <c r="TN22" i="30" s="1"/>
  <c r="TN60" i="30" s="1"/>
  <c r="TM23" i="30"/>
  <c r="TM22" i="30" s="1"/>
  <c r="TM60" i="30" s="1"/>
  <c r="TL23" i="30"/>
  <c r="TL22" i="30" s="1"/>
  <c r="TL60" i="30" s="1"/>
  <c r="TK23" i="30"/>
  <c r="TK22" i="30" s="1"/>
  <c r="TK60" i="30" s="1"/>
  <c r="TJ23" i="30"/>
  <c r="TJ22" i="30" s="1"/>
  <c r="TJ60" i="30" s="1"/>
  <c r="TI23" i="30"/>
  <c r="TH23" i="30"/>
  <c r="TH22" i="30" s="1"/>
  <c r="TH60" i="30" s="1"/>
  <c r="TG23" i="30"/>
  <c r="TG22" i="30" s="1"/>
  <c r="TG60" i="30" s="1"/>
  <c r="TF23" i="30"/>
  <c r="TF22" i="30" s="1"/>
  <c r="TF60" i="30" s="1"/>
  <c r="TE23" i="30"/>
  <c r="TE22" i="30" s="1"/>
  <c r="TE60" i="30" s="1"/>
  <c r="TD23" i="30"/>
  <c r="TD22" i="30" s="1"/>
  <c r="TD60" i="30" s="1"/>
  <c r="TC23" i="30"/>
  <c r="TB23" i="30"/>
  <c r="TA23" i="30"/>
  <c r="TA22" i="30" s="1"/>
  <c r="TA60" i="30" s="1"/>
  <c r="SZ23" i="30"/>
  <c r="SZ22" i="30" s="1"/>
  <c r="SZ60" i="30" s="1"/>
  <c r="SY23" i="30"/>
  <c r="SY22" i="30" s="1"/>
  <c r="SY60" i="30" s="1"/>
  <c r="SX23" i="30"/>
  <c r="SX22" i="30" s="1"/>
  <c r="SX60" i="30" s="1"/>
  <c r="SW23" i="30"/>
  <c r="SW22" i="30" s="1"/>
  <c r="SW60" i="30" s="1"/>
  <c r="SV23" i="30"/>
  <c r="SV22" i="30" s="1"/>
  <c r="SV60" i="30" s="1"/>
  <c r="SU23" i="30"/>
  <c r="SU22" i="30" s="1"/>
  <c r="SU60" i="30" s="1"/>
  <c r="ST23" i="30"/>
  <c r="ST22" i="30" s="1"/>
  <c r="ST60" i="30" s="1"/>
  <c r="SS23" i="30"/>
  <c r="SS22" i="30" s="1"/>
  <c r="SS60" i="30" s="1"/>
  <c r="SR23" i="30"/>
  <c r="SR22" i="30" s="1"/>
  <c r="SR60" i="30" s="1"/>
  <c r="SQ23" i="30"/>
  <c r="SQ22" i="30" s="1"/>
  <c r="SQ60" i="30" s="1"/>
  <c r="SP23" i="30"/>
  <c r="SP22" i="30" s="1"/>
  <c r="SP60" i="30" s="1"/>
  <c r="SO23" i="30"/>
  <c r="SO22" i="30" s="1"/>
  <c r="SO60" i="30" s="1"/>
  <c r="SN23" i="30"/>
  <c r="SN22" i="30" s="1"/>
  <c r="SN60" i="30" s="1"/>
  <c r="SM23" i="30"/>
  <c r="SM22" i="30" s="1"/>
  <c r="SM60" i="30" s="1"/>
  <c r="SL23" i="30"/>
  <c r="SL22" i="30" s="1"/>
  <c r="SL60" i="30" s="1"/>
  <c r="SK23" i="30"/>
  <c r="SK22" i="30" s="1"/>
  <c r="SK60" i="30" s="1"/>
  <c r="SJ23" i="30"/>
  <c r="SJ22" i="30" s="1"/>
  <c r="SJ60" i="30" s="1"/>
  <c r="SI23" i="30"/>
  <c r="SI22" i="30" s="1"/>
  <c r="SI60" i="30" s="1"/>
  <c r="SH23" i="30"/>
  <c r="SH22" i="30" s="1"/>
  <c r="SH60" i="30" s="1"/>
  <c r="SG23" i="30"/>
  <c r="SG22" i="30" s="1"/>
  <c r="SG60" i="30" s="1"/>
  <c r="SF23" i="30"/>
  <c r="SF22" i="30" s="1"/>
  <c r="SF60" i="30" s="1"/>
  <c r="SE23" i="30"/>
  <c r="SE22" i="30" s="1"/>
  <c r="SE60" i="30" s="1"/>
  <c r="SD23" i="30"/>
  <c r="SD22" i="30" s="1"/>
  <c r="SD60" i="30" s="1"/>
  <c r="SC23" i="30"/>
  <c r="SC22" i="30" s="1"/>
  <c r="SC60" i="30" s="1"/>
  <c r="SB23" i="30"/>
  <c r="SB22" i="30" s="1"/>
  <c r="SB60" i="30" s="1"/>
  <c r="SA23" i="30"/>
  <c r="SA22" i="30" s="1"/>
  <c r="SA60" i="30" s="1"/>
  <c r="RZ23" i="30"/>
  <c r="RZ22" i="30" s="1"/>
  <c r="RZ60" i="30" s="1"/>
  <c r="RY23" i="30"/>
  <c r="RY22" i="30" s="1"/>
  <c r="RY60" i="30" s="1"/>
  <c r="RX23" i="30"/>
  <c r="RX22" i="30" s="1"/>
  <c r="RX60" i="30" s="1"/>
  <c r="RW23" i="30"/>
  <c r="RV23" i="30"/>
  <c r="RV22" i="30" s="1"/>
  <c r="RV60" i="30" s="1"/>
  <c r="RU23" i="30"/>
  <c r="RU22" i="30" s="1"/>
  <c r="RU60" i="30" s="1"/>
  <c r="RT23" i="30"/>
  <c r="RS23" i="30"/>
  <c r="RR23" i="30"/>
  <c r="RR22" i="30" s="1"/>
  <c r="RR60" i="30" s="1"/>
  <c r="RQ23" i="30"/>
  <c r="RQ22" i="30" s="1"/>
  <c r="RQ60" i="30" s="1"/>
  <c r="RP23" i="30"/>
  <c r="RP22" i="30" s="1"/>
  <c r="RP60" i="30" s="1"/>
  <c r="RO23" i="30"/>
  <c r="RO22" i="30" s="1"/>
  <c r="RO60" i="30" s="1"/>
  <c r="RN23" i="30"/>
  <c r="RN22" i="30" s="1"/>
  <c r="RN60" i="30" s="1"/>
  <c r="RM23" i="30"/>
  <c r="RL23" i="30"/>
  <c r="RL22" i="30" s="1"/>
  <c r="RL60" i="30" s="1"/>
  <c r="RK23" i="30"/>
  <c r="RK22" i="30" s="1"/>
  <c r="RK60" i="30" s="1"/>
  <c r="RJ23" i="30"/>
  <c r="RJ22" i="30" s="1"/>
  <c r="RJ60" i="30" s="1"/>
  <c r="RI23" i="30"/>
  <c r="RI22" i="30" s="1"/>
  <c r="RI60" i="30" s="1"/>
  <c r="RH23" i="30"/>
  <c r="RH22" i="30" s="1"/>
  <c r="RH60" i="30" s="1"/>
  <c r="RG23" i="30"/>
  <c r="RG22" i="30" s="1"/>
  <c r="RG60" i="30" s="1"/>
  <c r="RF23" i="30"/>
  <c r="RF22" i="30" s="1"/>
  <c r="RF60" i="30" s="1"/>
  <c r="RE23" i="30"/>
  <c r="RE22" i="30" s="1"/>
  <c r="RE60" i="30" s="1"/>
  <c r="RD23" i="30"/>
  <c r="RD22" i="30" s="1"/>
  <c r="RD60" i="30" s="1"/>
  <c r="RC23" i="30"/>
  <c r="RC22" i="30" s="1"/>
  <c r="RC60" i="30" s="1"/>
  <c r="RB23" i="30"/>
  <c r="RB22" i="30" s="1"/>
  <c r="RB60" i="30" s="1"/>
  <c r="RA23" i="30"/>
  <c r="RA22" i="30" s="1"/>
  <c r="RA60" i="30" s="1"/>
  <c r="QZ23" i="30"/>
  <c r="QZ22" i="30" s="1"/>
  <c r="QZ60" i="30" s="1"/>
  <c r="QY23" i="30"/>
  <c r="QY22" i="30" s="1"/>
  <c r="QY60" i="30" s="1"/>
  <c r="QX23" i="30"/>
  <c r="QX22" i="30" s="1"/>
  <c r="QX60" i="30" s="1"/>
  <c r="QW23" i="30"/>
  <c r="QW22" i="30" s="1"/>
  <c r="QW60" i="30" s="1"/>
  <c r="QV23" i="30"/>
  <c r="QV22" i="30" s="1"/>
  <c r="QV60" i="30" s="1"/>
  <c r="QU23" i="30"/>
  <c r="QU22" i="30" s="1"/>
  <c r="QU60" i="30" s="1"/>
  <c r="QT23" i="30"/>
  <c r="QT22" i="30" s="1"/>
  <c r="QT60" i="30" s="1"/>
  <c r="QS23" i="30"/>
  <c r="QS22" i="30" s="1"/>
  <c r="QS60" i="30" s="1"/>
  <c r="QR23" i="30"/>
  <c r="QR22" i="30" s="1"/>
  <c r="QR60" i="30" s="1"/>
  <c r="QQ23" i="30"/>
  <c r="QQ22" i="30" s="1"/>
  <c r="QQ60" i="30" s="1"/>
  <c r="QP23" i="30"/>
  <c r="QP22" i="30" s="1"/>
  <c r="QP60" i="30" s="1"/>
  <c r="QO23" i="30"/>
  <c r="QO22" i="30" s="1"/>
  <c r="QO60" i="30" s="1"/>
  <c r="QN23" i="30"/>
  <c r="QN22" i="30" s="1"/>
  <c r="QN60" i="30" s="1"/>
  <c r="QM23" i="30"/>
  <c r="QM22" i="30" s="1"/>
  <c r="QM60" i="30" s="1"/>
  <c r="QL23" i="30"/>
  <c r="QL22" i="30" s="1"/>
  <c r="QL60" i="30" s="1"/>
  <c r="QK23" i="30"/>
  <c r="QK22" i="30" s="1"/>
  <c r="QK60" i="30" s="1"/>
  <c r="QJ23" i="30"/>
  <c r="QJ22" i="30" s="1"/>
  <c r="QJ60" i="30" s="1"/>
  <c r="QI23" i="30"/>
  <c r="QI22" i="30" s="1"/>
  <c r="QI60" i="30" s="1"/>
  <c r="QH23" i="30"/>
  <c r="QH22" i="30" s="1"/>
  <c r="QH60" i="30" s="1"/>
  <c r="QG23" i="30"/>
  <c r="QG22" i="30" s="1"/>
  <c r="QG60" i="30" s="1"/>
  <c r="QF23" i="30"/>
  <c r="QF22" i="30" s="1"/>
  <c r="QF60" i="30" s="1"/>
  <c r="QE23" i="30"/>
  <c r="QE22" i="30" s="1"/>
  <c r="QE60" i="30" s="1"/>
  <c r="QD23" i="30"/>
  <c r="QD22" i="30" s="1"/>
  <c r="QD60" i="30" s="1"/>
  <c r="QC23" i="30"/>
  <c r="QB23" i="30"/>
  <c r="QB22" i="30" s="1"/>
  <c r="QB60" i="30" s="1"/>
  <c r="QA23" i="30"/>
  <c r="QA22" i="30" s="1"/>
  <c r="QA60" i="30" s="1"/>
  <c r="PZ23" i="30"/>
  <c r="PZ22" i="30" s="1"/>
  <c r="PZ60" i="30" s="1"/>
  <c r="PY23" i="30"/>
  <c r="PY22" i="30" s="1"/>
  <c r="PY60" i="30" s="1"/>
  <c r="PX23" i="30"/>
  <c r="PX22" i="30" s="1"/>
  <c r="PX60" i="30" s="1"/>
  <c r="PW23" i="30"/>
  <c r="PV23" i="30"/>
  <c r="PV22" i="30" s="1"/>
  <c r="PV60" i="30" s="1"/>
  <c r="PU23" i="30"/>
  <c r="PU22" i="30" s="1"/>
  <c r="PU60" i="30" s="1"/>
  <c r="PT23" i="30"/>
  <c r="PT22" i="30" s="1"/>
  <c r="PT60" i="30" s="1"/>
  <c r="VG22" i="30"/>
  <c r="VG60" i="30" s="1"/>
  <c r="VF22" i="30"/>
  <c r="VF60" i="30" s="1"/>
  <c r="VE22" i="30"/>
  <c r="VE60" i="30" s="1"/>
  <c r="VD22" i="30"/>
  <c r="VD60" i="30" s="1"/>
  <c r="UT22" i="30"/>
  <c r="UT60" i="30" s="1"/>
  <c r="US22" i="30"/>
  <c r="US60" i="30" s="1"/>
  <c r="UM22" i="30"/>
  <c r="UM60" i="30" s="1"/>
  <c r="UH22" i="30"/>
  <c r="UH60" i="30" s="1"/>
  <c r="TI22" i="30"/>
  <c r="TI60" i="30" s="1"/>
  <c r="TC22" i="30"/>
  <c r="TC60" i="30" s="1"/>
  <c r="TB22" i="30"/>
  <c r="TB60" i="30" s="1"/>
  <c r="RW22" i="30"/>
  <c r="RW60" i="30" s="1"/>
  <c r="RT22" i="30"/>
  <c r="RT60" i="30" s="1"/>
  <c r="RS22" i="30"/>
  <c r="RS60" i="30" s="1"/>
  <c r="RM22" i="30"/>
  <c r="RM60" i="30" s="1"/>
  <c r="QC22" i="30"/>
  <c r="QC60" i="30" s="1"/>
  <c r="PW22" i="30"/>
  <c r="PW60" i="30" s="1"/>
  <c r="VG19" i="30"/>
  <c r="VF19" i="30"/>
  <c r="VE19" i="30"/>
  <c r="VD19" i="30"/>
  <c r="VC19" i="30"/>
  <c r="VB19" i="30"/>
  <c r="VA19" i="30"/>
  <c r="UZ19" i="30"/>
  <c r="UY19" i="30"/>
  <c r="UX19" i="30"/>
  <c r="UW19" i="30"/>
  <c r="UV19" i="30"/>
  <c r="UU19" i="30"/>
  <c r="UT19" i="30"/>
  <c r="US19" i="30"/>
  <c r="UR19" i="30"/>
  <c r="UQ19" i="30"/>
  <c r="UP19" i="30"/>
  <c r="UO19" i="30"/>
  <c r="UN19" i="30"/>
  <c r="UM19" i="30"/>
  <c r="UL19" i="30"/>
  <c r="UK19" i="30"/>
  <c r="UJ19" i="30"/>
  <c r="UI19" i="30"/>
  <c r="UH19" i="30"/>
  <c r="UG19" i="30"/>
  <c r="UF19" i="30"/>
  <c r="UE19" i="30"/>
  <c r="UD19" i="30"/>
  <c r="UC19" i="30"/>
  <c r="UB19" i="30"/>
  <c r="UA19" i="30"/>
  <c r="TZ19" i="30"/>
  <c r="TY19" i="30"/>
  <c r="TX19" i="30"/>
  <c r="TW19" i="30"/>
  <c r="TV19" i="30"/>
  <c r="TU19" i="30"/>
  <c r="TT19" i="30"/>
  <c r="TS19" i="30"/>
  <c r="TR19" i="30"/>
  <c r="TQ19" i="30"/>
  <c r="TP19" i="30"/>
  <c r="TO19" i="30"/>
  <c r="TN19" i="30"/>
  <c r="TM19" i="30"/>
  <c r="TL19" i="30"/>
  <c r="TK19" i="30"/>
  <c r="TJ19" i="30"/>
  <c r="TI19" i="30"/>
  <c r="TH19" i="30"/>
  <c r="TG19" i="30"/>
  <c r="TF19" i="30"/>
  <c r="TE19" i="30"/>
  <c r="TD19" i="30"/>
  <c r="TC19" i="30"/>
  <c r="TB19" i="30"/>
  <c r="TA19" i="30"/>
  <c r="SZ19" i="30"/>
  <c r="SY19" i="30"/>
  <c r="SX19" i="30"/>
  <c r="SW19" i="30"/>
  <c r="SV19" i="30"/>
  <c r="SU19" i="30"/>
  <c r="ST19" i="30"/>
  <c r="SS19" i="30"/>
  <c r="SR19" i="30"/>
  <c r="SQ19" i="30"/>
  <c r="SP19" i="30"/>
  <c r="SO19" i="30"/>
  <c r="SN19" i="30"/>
  <c r="SM19" i="30"/>
  <c r="SL19" i="30"/>
  <c r="SK19" i="30"/>
  <c r="SJ19" i="30"/>
  <c r="SI19" i="30"/>
  <c r="SH19" i="30"/>
  <c r="SG19" i="30"/>
  <c r="SF19" i="30"/>
  <c r="SE19" i="30"/>
  <c r="SD19" i="30"/>
  <c r="SC19" i="30"/>
  <c r="SB19" i="30"/>
  <c r="SA19" i="30"/>
  <c r="RZ19" i="30"/>
  <c r="RY19" i="30"/>
  <c r="RX19" i="30"/>
  <c r="RW19" i="30"/>
  <c r="RV19" i="30"/>
  <c r="RU19" i="30"/>
  <c r="RT19" i="30"/>
  <c r="RS19" i="30"/>
  <c r="RR19" i="30"/>
  <c r="RQ19" i="30"/>
  <c r="RP19" i="30"/>
  <c r="RO19" i="30"/>
  <c r="RN19" i="30"/>
  <c r="RM19" i="30"/>
  <c r="RL19" i="30"/>
  <c r="RK19" i="30"/>
  <c r="RJ19" i="30"/>
  <c r="RI19" i="30"/>
  <c r="RH19" i="30"/>
  <c r="RG19" i="30"/>
  <c r="RF19" i="30"/>
  <c r="RE19" i="30"/>
  <c r="RD19" i="30"/>
  <c r="RC19" i="30"/>
  <c r="RB19" i="30"/>
  <c r="RA19" i="30"/>
  <c r="QZ19" i="30"/>
  <c r="QY19" i="30"/>
  <c r="QX19" i="30"/>
  <c r="QW19" i="30"/>
  <c r="QV19" i="30"/>
  <c r="QU19" i="30"/>
  <c r="QT19" i="30"/>
  <c r="QS19" i="30"/>
  <c r="QR19" i="30"/>
  <c r="QQ19" i="30"/>
  <c r="QP19" i="30"/>
  <c r="QO19" i="30"/>
  <c r="QN19" i="30"/>
  <c r="QM19" i="30"/>
  <c r="QL19" i="30"/>
  <c r="QK19" i="30"/>
  <c r="QJ19" i="30"/>
  <c r="QI19" i="30"/>
  <c r="QH19" i="30"/>
  <c r="QG19" i="30"/>
  <c r="QG18" i="30" s="1"/>
  <c r="QG61" i="30" s="1"/>
  <c r="QF19" i="30"/>
  <c r="QF18" i="30" s="1"/>
  <c r="QF61" i="30" s="1"/>
  <c r="QE19" i="30"/>
  <c r="QE18" i="30" s="1"/>
  <c r="QE61" i="30" s="1"/>
  <c r="QD19" i="30"/>
  <c r="QD18" i="30" s="1"/>
  <c r="QD61" i="30" s="1"/>
  <c r="QC19" i="30"/>
  <c r="QC18" i="30" s="1"/>
  <c r="QC61" i="30" s="1"/>
  <c r="QB19" i="30"/>
  <c r="QB18" i="30" s="1"/>
  <c r="QB61" i="30" s="1"/>
  <c r="QA19" i="30"/>
  <c r="QA18" i="30" s="1"/>
  <c r="QA61" i="30" s="1"/>
  <c r="PZ19" i="30"/>
  <c r="PZ18" i="30" s="1"/>
  <c r="PZ61" i="30" s="1"/>
  <c r="PY19" i="30"/>
  <c r="PY18" i="30" s="1"/>
  <c r="PY61" i="30" s="1"/>
  <c r="PX19" i="30"/>
  <c r="PX18" i="30" s="1"/>
  <c r="PX61" i="30" s="1"/>
  <c r="PW19" i="30"/>
  <c r="PW18" i="30" s="1"/>
  <c r="PW61" i="30" s="1"/>
  <c r="PV19" i="30"/>
  <c r="PV18" i="30" s="1"/>
  <c r="PV61" i="30" s="1"/>
  <c r="PU19" i="30"/>
  <c r="PU18" i="30" s="1"/>
  <c r="PU61" i="30" s="1"/>
  <c r="PT19" i="30"/>
  <c r="PT18" i="30" s="1"/>
  <c r="PT61" i="30" s="1"/>
  <c r="VG18" i="30"/>
  <c r="VG61" i="30" s="1"/>
  <c r="VF18" i="30"/>
  <c r="VF61" i="30" s="1"/>
  <c r="VE18" i="30"/>
  <c r="VE61" i="30" s="1"/>
  <c r="VD18" i="30"/>
  <c r="VD61" i="30" s="1"/>
  <c r="VC18" i="30"/>
  <c r="VC61" i="30" s="1"/>
  <c r="VB18" i="30"/>
  <c r="VB61" i="30" s="1"/>
  <c r="VA18" i="30"/>
  <c r="VA61" i="30" s="1"/>
  <c r="UZ18" i="30"/>
  <c r="UZ61" i="30" s="1"/>
  <c r="UY18" i="30"/>
  <c r="UY61" i="30" s="1"/>
  <c r="UX18" i="30"/>
  <c r="UX61" i="30" s="1"/>
  <c r="UW18" i="30"/>
  <c r="UW61" i="30" s="1"/>
  <c r="UV18" i="30"/>
  <c r="UV61" i="30" s="1"/>
  <c r="UU18" i="30"/>
  <c r="UU61" i="30" s="1"/>
  <c r="UT18" i="30"/>
  <c r="UT61" i="30" s="1"/>
  <c r="US18" i="30"/>
  <c r="US61" i="30" s="1"/>
  <c r="UR18" i="30"/>
  <c r="UR61" i="30" s="1"/>
  <c r="UQ18" i="30"/>
  <c r="UQ61" i="30" s="1"/>
  <c r="UP18" i="30"/>
  <c r="UP61" i="30" s="1"/>
  <c r="UO18" i="30"/>
  <c r="UO61" i="30" s="1"/>
  <c r="UN18" i="30"/>
  <c r="UN61" i="30" s="1"/>
  <c r="UM18" i="30"/>
  <c r="UM61" i="30" s="1"/>
  <c r="UL18" i="30"/>
  <c r="UL61" i="30" s="1"/>
  <c r="UK18" i="30"/>
  <c r="UK61" i="30" s="1"/>
  <c r="UJ18" i="30"/>
  <c r="UJ61" i="30" s="1"/>
  <c r="UI18" i="30"/>
  <c r="UI61" i="30" s="1"/>
  <c r="UH18" i="30"/>
  <c r="UH61" i="30" s="1"/>
  <c r="UG18" i="30"/>
  <c r="UG61" i="30" s="1"/>
  <c r="UF18" i="30"/>
  <c r="UF61" i="30" s="1"/>
  <c r="UE18" i="30"/>
  <c r="UE61" i="30" s="1"/>
  <c r="UD18" i="30"/>
  <c r="UD61" i="30" s="1"/>
  <c r="UC18" i="30"/>
  <c r="UC61" i="30" s="1"/>
  <c r="UB18" i="30"/>
  <c r="UB61" i="30" s="1"/>
  <c r="UA18" i="30"/>
  <c r="UA61" i="30" s="1"/>
  <c r="TZ18" i="30"/>
  <c r="TZ61" i="30" s="1"/>
  <c r="TY18" i="30"/>
  <c r="TY61" i="30" s="1"/>
  <c r="TX18" i="30"/>
  <c r="TX61" i="30" s="1"/>
  <c r="TW18" i="30"/>
  <c r="TW61" i="30" s="1"/>
  <c r="TV18" i="30"/>
  <c r="TV61" i="30" s="1"/>
  <c r="TU18" i="30"/>
  <c r="TU61" i="30" s="1"/>
  <c r="TT18" i="30"/>
  <c r="TT61" i="30" s="1"/>
  <c r="TS18" i="30"/>
  <c r="TS61" i="30" s="1"/>
  <c r="TR18" i="30"/>
  <c r="TR61" i="30" s="1"/>
  <c r="TQ18" i="30"/>
  <c r="TQ61" i="30" s="1"/>
  <c r="TP18" i="30"/>
  <c r="TP61" i="30" s="1"/>
  <c r="TO18" i="30"/>
  <c r="TO61" i="30" s="1"/>
  <c r="TN18" i="30"/>
  <c r="TN61" i="30" s="1"/>
  <c r="TM18" i="30"/>
  <c r="TM61" i="30" s="1"/>
  <c r="TL18" i="30"/>
  <c r="TL61" i="30" s="1"/>
  <c r="TK18" i="30"/>
  <c r="TK61" i="30" s="1"/>
  <c r="TJ18" i="30"/>
  <c r="TJ61" i="30" s="1"/>
  <c r="TI18" i="30"/>
  <c r="TI61" i="30" s="1"/>
  <c r="TH18" i="30"/>
  <c r="TH61" i="30" s="1"/>
  <c r="TG18" i="30"/>
  <c r="TG61" i="30" s="1"/>
  <c r="TF18" i="30"/>
  <c r="TF61" i="30" s="1"/>
  <c r="TE18" i="30"/>
  <c r="TE61" i="30" s="1"/>
  <c r="TD18" i="30"/>
  <c r="TD61" i="30" s="1"/>
  <c r="TC18" i="30"/>
  <c r="TC61" i="30" s="1"/>
  <c r="TB18" i="30"/>
  <c r="TB61" i="30" s="1"/>
  <c r="TA18" i="30"/>
  <c r="TA61" i="30" s="1"/>
  <c r="SZ18" i="30"/>
  <c r="SZ61" i="30" s="1"/>
  <c r="SY18" i="30"/>
  <c r="SY61" i="30" s="1"/>
  <c r="SX18" i="30"/>
  <c r="SX61" i="30" s="1"/>
  <c r="SW18" i="30"/>
  <c r="SW61" i="30" s="1"/>
  <c r="SV18" i="30"/>
  <c r="SV61" i="30" s="1"/>
  <c r="SU18" i="30"/>
  <c r="SU61" i="30" s="1"/>
  <c r="ST18" i="30"/>
  <c r="ST61" i="30" s="1"/>
  <c r="SS18" i="30"/>
  <c r="SS61" i="30" s="1"/>
  <c r="SR18" i="30"/>
  <c r="SR61" i="30" s="1"/>
  <c r="SQ18" i="30"/>
  <c r="SQ61" i="30" s="1"/>
  <c r="SP18" i="30"/>
  <c r="SP61" i="30" s="1"/>
  <c r="SO18" i="30"/>
  <c r="SO61" i="30" s="1"/>
  <c r="SN18" i="30"/>
  <c r="SN61" i="30" s="1"/>
  <c r="SM18" i="30"/>
  <c r="SM61" i="30" s="1"/>
  <c r="SL18" i="30"/>
  <c r="SL61" i="30" s="1"/>
  <c r="SK18" i="30"/>
  <c r="SK61" i="30" s="1"/>
  <c r="SJ18" i="30"/>
  <c r="SJ61" i="30" s="1"/>
  <c r="SI18" i="30"/>
  <c r="SI61" i="30" s="1"/>
  <c r="SH18" i="30"/>
  <c r="SH61" i="30" s="1"/>
  <c r="SG18" i="30"/>
  <c r="SG61" i="30" s="1"/>
  <c r="SF18" i="30"/>
  <c r="SF61" i="30" s="1"/>
  <c r="SE18" i="30"/>
  <c r="SE61" i="30" s="1"/>
  <c r="SD18" i="30"/>
  <c r="SD61" i="30" s="1"/>
  <c r="SC18" i="30"/>
  <c r="SC61" i="30" s="1"/>
  <c r="SB18" i="30"/>
  <c r="SB61" i="30" s="1"/>
  <c r="SA18" i="30"/>
  <c r="SA61" i="30" s="1"/>
  <c r="RZ18" i="30"/>
  <c r="RZ61" i="30" s="1"/>
  <c r="RY18" i="30"/>
  <c r="RY61" i="30" s="1"/>
  <c r="RX18" i="30"/>
  <c r="RX61" i="30" s="1"/>
  <c r="RW18" i="30"/>
  <c r="RW61" i="30" s="1"/>
  <c r="RV18" i="30"/>
  <c r="RV61" i="30" s="1"/>
  <c r="RU18" i="30"/>
  <c r="RU61" i="30" s="1"/>
  <c r="RT18" i="30"/>
  <c r="RT61" i="30" s="1"/>
  <c r="RS18" i="30"/>
  <c r="RS61" i="30" s="1"/>
  <c r="RR18" i="30"/>
  <c r="RR61" i="30" s="1"/>
  <c r="RQ18" i="30"/>
  <c r="RQ61" i="30" s="1"/>
  <c r="RP18" i="30"/>
  <c r="RP61" i="30" s="1"/>
  <c r="RO18" i="30"/>
  <c r="RO61" i="30" s="1"/>
  <c r="RN18" i="30"/>
  <c r="RN61" i="30" s="1"/>
  <c r="RM18" i="30"/>
  <c r="RM61" i="30" s="1"/>
  <c r="RL18" i="30"/>
  <c r="RL61" i="30" s="1"/>
  <c r="RK18" i="30"/>
  <c r="RK61" i="30" s="1"/>
  <c r="RJ18" i="30"/>
  <c r="RJ61" i="30" s="1"/>
  <c r="RI18" i="30"/>
  <c r="RI61" i="30" s="1"/>
  <c r="RH18" i="30"/>
  <c r="RH61" i="30" s="1"/>
  <c r="RG18" i="30"/>
  <c r="RG61" i="30" s="1"/>
  <c r="RF18" i="30"/>
  <c r="RF61" i="30" s="1"/>
  <c r="RE18" i="30"/>
  <c r="RE61" i="30" s="1"/>
  <c r="RD18" i="30"/>
  <c r="RD61" i="30" s="1"/>
  <c r="RC18" i="30"/>
  <c r="RC61" i="30" s="1"/>
  <c r="RB18" i="30"/>
  <c r="RB61" i="30" s="1"/>
  <c r="RA18" i="30"/>
  <c r="RA61" i="30" s="1"/>
  <c r="QZ18" i="30"/>
  <c r="QZ61" i="30" s="1"/>
  <c r="QY18" i="30"/>
  <c r="QY61" i="30" s="1"/>
  <c r="QX18" i="30"/>
  <c r="QW18" i="30"/>
  <c r="QW61" i="30" s="1"/>
  <c r="QV18" i="30"/>
  <c r="QV61" i="30" s="1"/>
  <c r="QU18" i="30"/>
  <c r="QU61" i="30" s="1"/>
  <c r="QT18" i="30"/>
  <c r="QT61" i="30" s="1"/>
  <c r="QS18" i="30"/>
  <c r="QS61" i="30" s="1"/>
  <c r="QR18" i="30"/>
  <c r="QR61" i="30" s="1"/>
  <c r="QQ18" i="30"/>
  <c r="QQ61" i="30" s="1"/>
  <c r="QP18" i="30"/>
  <c r="QP61" i="30" s="1"/>
  <c r="QO18" i="30"/>
  <c r="QO61" i="30" s="1"/>
  <c r="QN18" i="30"/>
  <c r="QN61" i="30" s="1"/>
  <c r="QM18" i="30"/>
  <c r="QM61" i="30" s="1"/>
  <c r="QL18" i="30"/>
  <c r="QL61" i="30" s="1"/>
  <c r="QK18" i="30"/>
  <c r="QK61" i="30" s="1"/>
  <c r="QJ18" i="30"/>
  <c r="QJ61" i="30" s="1"/>
  <c r="QI18" i="30"/>
  <c r="QI61" i="30" s="1"/>
  <c r="QH18" i="30"/>
  <c r="QH61" i="30" s="1"/>
  <c r="VG16" i="30"/>
  <c r="VF16" i="30"/>
  <c r="VE16" i="30"/>
  <c r="VD16" i="30"/>
  <c r="VC16" i="30"/>
  <c r="VB16" i="30"/>
  <c r="VA16" i="30"/>
  <c r="UZ16" i="30"/>
  <c r="UY16" i="30"/>
  <c r="UX16" i="30"/>
  <c r="UW16" i="30"/>
  <c r="UV16" i="30"/>
  <c r="UV15" i="30" s="1"/>
  <c r="UU16" i="30"/>
  <c r="UU15" i="30" s="1"/>
  <c r="UT16" i="30"/>
  <c r="UT15" i="30" s="1"/>
  <c r="US16" i="30"/>
  <c r="US15" i="30" s="1"/>
  <c r="UR16" i="30"/>
  <c r="UR15" i="30" s="1"/>
  <c r="UQ16" i="30"/>
  <c r="UQ15" i="30" s="1"/>
  <c r="UP16" i="30"/>
  <c r="UP15" i="30" s="1"/>
  <c r="UO16" i="30"/>
  <c r="UN16" i="30"/>
  <c r="UN15" i="30" s="1"/>
  <c r="UM16" i="30"/>
  <c r="UM15" i="30" s="1"/>
  <c r="UL16" i="30"/>
  <c r="UL15" i="30" s="1"/>
  <c r="UK16" i="30"/>
  <c r="UK15" i="30" s="1"/>
  <c r="UJ16" i="30"/>
  <c r="UJ15" i="30" s="1"/>
  <c r="UI16" i="30"/>
  <c r="UI15" i="30" s="1"/>
  <c r="UH16" i="30"/>
  <c r="UH15" i="30" s="1"/>
  <c r="UG16" i="30"/>
  <c r="UG15" i="30" s="1"/>
  <c r="UF16" i="30"/>
  <c r="UF15" i="30" s="1"/>
  <c r="UE16" i="30"/>
  <c r="UE15" i="30" s="1"/>
  <c r="UD16" i="30"/>
  <c r="UD15" i="30" s="1"/>
  <c r="UC16" i="30"/>
  <c r="UC15" i="30" s="1"/>
  <c r="UB16" i="30"/>
  <c r="UB15" i="30" s="1"/>
  <c r="UA16" i="30"/>
  <c r="UA15" i="30" s="1"/>
  <c r="TZ16" i="30"/>
  <c r="TZ15" i="30" s="1"/>
  <c r="TY16" i="30"/>
  <c r="TY15" i="30" s="1"/>
  <c r="TX16" i="30"/>
  <c r="TX15" i="30" s="1"/>
  <c r="TW16" i="30"/>
  <c r="TW15" i="30" s="1"/>
  <c r="TV16" i="30"/>
  <c r="TV15" i="30" s="1"/>
  <c r="TU16" i="30"/>
  <c r="TU15" i="30" s="1"/>
  <c r="TT16" i="30"/>
  <c r="TT15" i="30" s="1"/>
  <c r="TS16" i="30"/>
  <c r="TS15" i="30" s="1"/>
  <c r="TR16" i="30"/>
  <c r="TR15" i="30" s="1"/>
  <c r="TQ16" i="30"/>
  <c r="TQ15" i="30" s="1"/>
  <c r="TP16" i="30"/>
  <c r="TP15" i="30" s="1"/>
  <c r="TO16" i="30"/>
  <c r="TO15" i="30" s="1"/>
  <c r="TN16" i="30"/>
  <c r="TN15" i="30" s="1"/>
  <c r="TM16" i="30"/>
  <c r="TM15" i="30" s="1"/>
  <c r="TL16" i="30"/>
  <c r="TL15" i="30" s="1"/>
  <c r="TK16" i="30"/>
  <c r="TJ16" i="30"/>
  <c r="TI16" i="30"/>
  <c r="TI15" i="30" s="1"/>
  <c r="TH16" i="30"/>
  <c r="TH15" i="30" s="1"/>
  <c r="TG16" i="30"/>
  <c r="TG15" i="30" s="1"/>
  <c r="TF16" i="30"/>
  <c r="TF15" i="30" s="1"/>
  <c r="TE16" i="30"/>
  <c r="TE15" i="30" s="1"/>
  <c r="TD16" i="30"/>
  <c r="TD15" i="30" s="1"/>
  <c r="TC16" i="30"/>
  <c r="TC15" i="30" s="1"/>
  <c r="TB16" i="30"/>
  <c r="TB15" i="30" s="1"/>
  <c r="TA16" i="30"/>
  <c r="TA15" i="30" s="1"/>
  <c r="SZ16" i="30"/>
  <c r="SZ15" i="30" s="1"/>
  <c r="SY16" i="30"/>
  <c r="SY15" i="30" s="1"/>
  <c r="SX16" i="30"/>
  <c r="SX15" i="30" s="1"/>
  <c r="SW16" i="30"/>
  <c r="SW15" i="30" s="1"/>
  <c r="SV16" i="30"/>
  <c r="SV15" i="30" s="1"/>
  <c r="SU16" i="30"/>
  <c r="SU15" i="30" s="1"/>
  <c r="ST16" i="30"/>
  <c r="ST15" i="30" s="1"/>
  <c r="SS16" i="30"/>
  <c r="SS15" i="30" s="1"/>
  <c r="SR16" i="30"/>
  <c r="SR15" i="30" s="1"/>
  <c r="SQ16" i="30"/>
  <c r="SQ15" i="30" s="1"/>
  <c r="SP16" i="30"/>
  <c r="SP15" i="30" s="1"/>
  <c r="SO16" i="30"/>
  <c r="SO15" i="30" s="1"/>
  <c r="SN16" i="30"/>
  <c r="SN15" i="30" s="1"/>
  <c r="SM16" i="30"/>
  <c r="SM15" i="30" s="1"/>
  <c r="SL16" i="30"/>
  <c r="SL15" i="30" s="1"/>
  <c r="SK16" i="30"/>
  <c r="SK15" i="30" s="1"/>
  <c r="SJ16" i="30"/>
  <c r="SJ15" i="30" s="1"/>
  <c r="SI16" i="30"/>
  <c r="SI15" i="30" s="1"/>
  <c r="SH16" i="30"/>
  <c r="SH15" i="30" s="1"/>
  <c r="SG16" i="30"/>
  <c r="SG15" i="30" s="1"/>
  <c r="SF16" i="30"/>
  <c r="SF15" i="30" s="1"/>
  <c r="SE16" i="30"/>
  <c r="SE15" i="30" s="1"/>
  <c r="SD16" i="30"/>
  <c r="SD15" i="30" s="1"/>
  <c r="SC16" i="30"/>
  <c r="SC15" i="30" s="1"/>
  <c r="SB16" i="30"/>
  <c r="SB15" i="30" s="1"/>
  <c r="SA16" i="30"/>
  <c r="SA15" i="30" s="1"/>
  <c r="RZ16" i="30"/>
  <c r="RZ15" i="30" s="1"/>
  <c r="RY16" i="30"/>
  <c r="RY15" i="30" s="1"/>
  <c r="RX16" i="30"/>
  <c r="RX15" i="30" s="1"/>
  <c r="RW16" i="30"/>
  <c r="RW15" i="30" s="1"/>
  <c r="RV16" i="30"/>
  <c r="RV15" i="30" s="1"/>
  <c r="RU16" i="30"/>
  <c r="RU15" i="30" s="1"/>
  <c r="RT16" i="30"/>
  <c r="RT15" i="30" s="1"/>
  <c r="RS16" i="30"/>
  <c r="RS15" i="30" s="1"/>
  <c r="RR16" i="30"/>
  <c r="RR15" i="30" s="1"/>
  <c r="RQ16" i="30"/>
  <c r="RQ15" i="30" s="1"/>
  <c r="RP16" i="30"/>
  <c r="RP15" i="30" s="1"/>
  <c r="RO16" i="30"/>
  <c r="RN16" i="30"/>
  <c r="RN15" i="30" s="1"/>
  <c r="RM16" i="30"/>
  <c r="RM15" i="30" s="1"/>
  <c r="RL16" i="30"/>
  <c r="RL15" i="30" s="1"/>
  <c r="RK16" i="30"/>
  <c r="RK15" i="30" s="1"/>
  <c r="RJ16" i="30"/>
  <c r="RJ15" i="30" s="1"/>
  <c r="RI16" i="30"/>
  <c r="RI15" i="30" s="1"/>
  <c r="RH16" i="30"/>
  <c r="RH15" i="30" s="1"/>
  <c r="RG16" i="30"/>
  <c r="RG15" i="30" s="1"/>
  <c r="RF16" i="30"/>
  <c r="RF15" i="30" s="1"/>
  <c r="RE16" i="30"/>
  <c r="RE15" i="30" s="1"/>
  <c r="RD16" i="30"/>
  <c r="RD15" i="30" s="1"/>
  <c r="RC16" i="30"/>
  <c r="RC15" i="30" s="1"/>
  <c r="RB16" i="30"/>
  <c r="RB15" i="30" s="1"/>
  <c r="RA16" i="30"/>
  <c r="RA15" i="30" s="1"/>
  <c r="QZ16" i="30"/>
  <c r="QZ15" i="30" s="1"/>
  <c r="QY16" i="30"/>
  <c r="QY15" i="30" s="1"/>
  <c r="QX16" i="30"/>
  <c r="QX15" i="30" s="1"/>
  <c r="QW16" i="30"/>
  <c r="QW15" i="30" s="1"/>
  <c r="QV16" i="30"/>
  <c r="QV15" i="30" s="1"/>
  <c r="QU16" i="30"/>
  <c r="QU15" i="30" s="1"/>
  <c r="QT16" i="30"/>
  <c r="QT15" i="30" s="1"/>
  <c r="QS16" i="30"/>
  <c r="QS15" i="30" s="1"/>
  <c r="QR16" i="30"/>
  <c r="QR15" i="30" s="1"/>
  <c r="QQ16" i="30"/>
  <c r="QP16" i="30"/>
  <c r="QP15" i="30" s="1"/>
  <c r="QO16" i="30"/>
  <c r="QO15" i="30" s="1"/>
  <c r="QN16" i="30"/>
  <c r="QN15" i="30" s="1"/>
  <c r="QM16" i="30"/>
  <c r="QM15" i="30" s="1"/>
  <c r="QL16" i="30"/>
  <c r="QL15" i="30" s="1"/>
  <c r="QK16" i="30"/>
  <c r="QK15" i="30" s="1"/>
  <c r="QJ16" i="30"/>
  <c r="QJ15" i="30" s="1"/>
  <c r="QI16" i="30"/>
  <c r="QI15" i="30" s="1"/>
  <c r="QH16" i="30"/>
  <c r="QH15" i="30" s="1"/>
  <c r="QG16" i="30"/>
  <c r="QG15" i="30" s="1"/>
  <c r="QF16" i="30"/>
  <c r="QF15" i="30" s="1"/>
  <c r="QE16" i="30"/>
  <c r="QD16" i="30"/>
  <c r="QD15" i="30" s="1"/>
  <c r="QC16" i="30"/>
  <c r="QC15" i="30" s="1"/>
  <c r="QB16" i="30"/>
  <c r="QB15" i="30" s="1"/>
  <c r="QA16" i="30"/>
  <c r="QA15" i="30" s="1"/>
  <c r="PZ16" i="30"/>
  <c r="PZ15" i="30" s="1"/>
  <c r="PY16" i="30"/>
  <c r="PY15" i="30" s="1"/>
  <c r="PX16" i="30"/>
  <c r="PX15" i="30" s="1"/>
  <c r="PW16" i="30"/>
  <c r="PW15" i="30" s="1"/>
  <c r="PV16" i="30"/>
  <c r="PV15" i="30" s="1"/>
  <c r="PU16" i="30"/>
  <c r="PU15" i="30" s="1"/>
  <c r="PT16" i="30"/>
  <c r="PT15" i="30" s="1"/>
  <c r="VG15" i="30"/>
  <c r="VF15" i="30"/>
  <c r="VE15" i="30"/>
  <c r="VD15" i="30"/>
  <c r="VC15" i="30"/>
  <c r="VB15" i="30"/>
  <c r="VA15" i="30"/>
  <c r="UZ15" i="30"/>
  <c r="UY15" i="30"/>
  <c r="UX15" i="30"/>
  <c r="UW15" i="30"/>
  <c r="UO15" i="30"/>
  <c r="TK15" i="30"/>
  <c r="TJ15" i="30"/>
  <c r="RO15" i="30"/>
  <c r="QQ15" i="30"/>
  <c r="QE15" i="30"/>
  <c r="PF66" i="30"/>
  <c r="OZ66" i="30"/>
  <c r="OO66" i="30"/>
  <c r="NV66" i="30"/>
  <c r="NS66" i="30"/>
  <c r="NR66" i="30"/>
  <c r="NP66" i="30"/>
  <c r="NE66" i="30"/>
  <c r="ND66" i="30"/>
  <c r="MI66" i="30"/>
  <c r="MH66" i="30"/>
  <c r="MF66" i="30"/>
  <c r="LL66" i="30"/>
  <c r="LK66" i="30"/>
  <c r="LA66" i="30"/>
  <c r="KY66" i="30"/>
  <c r="KJ66" i="30"/>
  <c r="PP65" i="30"/>
  <c r="PN65" i="30"/>
  <c r="PK65" i="30"/>
  <c r="PC65" i="30"/>
  <c r="OZ65" i="30"/>
  <c r="OW65" i="30"/>
  <c r="OC65" i="30"/>
  <c r="OB65" i="30"/>
  <c r="NM65" i="30"/>
  <c r="MX65" i="30"/>
  <c r="MW65" i="30"/>
  <c r="MV65" i="30"/>
  <c r="MF65" i="30"/>
  <c r="MC65" i="30"/>
  <c r="LY65" i="30"/>
  <c r="LL65" i="30"/>
  <c r="LI65" i="30"/>
  <c r="LB65" i="30"/>
  <c r="KV65" i="30"/>
  <c r="KU65" i="30"/>
  <c r="KS65" i="30"/>
  <c r="KK65" i="30"/>
  <c r="KJ65" i="30"/>
  <c r="PM64" i="30"/>
  <c r="PC64" i="30"/>
  <c r="OZ64" i="30"/>
  <c r="OW64" i="30"/>
  <c r="OH64" i="30"/>
  <c r="NY64" i="30"/>
  <c r="NP64" i="30"/>
  <c r="NM64" i="30"/>
  <c r="MV64" i="30"/>
  <c r="ML64" i="30"/>
  <c r="MK64" i="30"/>
  <c r="MJ64" i="30"/>
  <c r="MF64" i="30"/>
  <c r="LN64" i="30"/>
  <c r="LL64" i="30"/>
  <c r="LH64" i="30"/>
  <c r="LG64" i="30"/>
  <c r="LF64" i="30"/>
  <c r="KV64" i="30"/>
  <c r="KO64" i="30"/>
  <c r="KK64" i="30"/>
  <c r="KJ64" i="30"/>
  <c r="PL63" i="30"/>
  <c r="PC63" i="30"/>
  <c r="OZ63" i="30"/>
  <c r="OS63" i="30"/>
  <c r="OP63" i="30"/>
  <c r="OM63" i="30"/>
  <c r="OL63" i="30"/>
  <c r="OK63" i="30"/>
  <c r="NH63" i="30"/>
  <c r="NG63" i="30"/>
  <c r="MS63" i="30"/>
  <c r="MK63" i="30"/>
  <c r="MJ63" i="30"/>
  <c r="LK63" i="30"/>
  <c r="LI63" i="30"/>
  <c r="LF63" i="30"/>
  <c r="LB63" i="30"/>
  <c r="KY63" i="30"/>
  <c r="KS63" i="30"/>
  <c r="PL59" i="30"/>
  <c r="PD59" i="30"/>
  <c r="PC59" i="30"/>
  <c r="PB59" i="30"/>
  <c r="PA59" i="30"/>
  <c r="OZ59" i="30"/>
  <c r="OP59" i="30"/>
  <c r="ON59" i="30"/>
  <c r="OB59" i="30"/>
  <c r="NU59" i="30"/>
  <c r="NP59" i="30"/>
  <c r="NJ59" i="30"/>
  <c r="NI59" i="30"/>
  <c r="NH59" i="30"/>
  <c r="NG59" i="30"/>
  <c r="NE59" i="30"/>
  <c r="ND59" i="30"/>
  <c r="MS59" i="30"/>
  <c r="MR59" i="30"/>
  <c r="MO59" i="30"/>
  <c r="MG59" i="30"/>
  <c r="MF59" i="30"/>
  <c r="MC59" i="30"/>
  <c r="LV59" i="30"/>
  <c r="LT59" i="30"/>
  <c r="LQ59" i="30"/>
  <c r="LK59" i="30"/>
  <c r="LH59" i="30"/>
  <c r="LE59" i="30"/>
  <c r="KV59" i="30"/>
  <c r="KS59" i="30"/>
  <c r="KP59" i="30"/>
  <c r="KJ59" i="30"/>
  <c r="KG59" i="30"/>
  <c r="PO58" i="30"/>
  <c r="PL58" i="30"/>
  <c r="PI58" i="30"/>
  <c r="PC58" i="30"/>
  <c r="PB58" i="30"/>
  <c r="OZ58" i="30"/>
  <c r="OW58" i="30"/>
  <c r="ON58" i="30"/>
  <c r="OK58" i="30"/>
  <c r="OH58" i="30"/>
  <c r="OB58" i="30"/>
  <c r="NY58" i="30"/>
  <c r="NV58" i="30"/>
  <c r="NS58" i="30"/>
  <c r="NR58" i="30"/>
  <c r="NP58" i="30"/>
  <c r="NM58" i="30"/>
  <c r="NG58" i="30"/>
  <c r="ND58" i="30"/>
  <c r="NA58" i="30"/>
  <c r="MU58" i="30"/>
  <c r="MR58" i="30"/>
  <c r="MQ58" i="30"/>
  <c r="MP58" i="30"/>
  <c r="MO58" i="30"/>
  <c r="MN58" i="30"/>
  <c r="ML58" i="30"/>
  <c r="MF58" i="30"/>
  <c r="MC58" i="30"/>
  <c r="LZ58" i="30"/>
  <c r="LX58" i="30"/>
  <c r="LW58" i="30"/>
  <c r="LN58" i="30"/>
  <c r="LL58" i="30"/>
  <c r="LK58" i="30"/>
  <c r="LH58" i="30"/>
  <c r="LE58" i="30"/>
  <c r="KZ58" i="30"/>
  <c r="KY58" i="30"/>
  <c r="KX58" i="30"/>
  <c r="KV58" i="30"/>
  <c r="KU58" i="30"/>
  <c r="KT58" i="30"/>
  <c r="KJ58" i="30"/>
  <c r="KG58" i="30"/>
  <c r="PP57" i="30"/>
  <c r="PO57" i="30"/>
  <c r="PL57" i="30"/>
  <c r="PI57" i="30"/>
  <c r="PB57" i="30"/>
  <c r="OZ57" i="30"/>
  <c r="OW57" i="30"/>
  <c r="OT57" i="30"/>
  <c r="OR57" i="30"/>
  <c r="OQ57" i="30"/>
  <c r="OF57" i="30"/>
  <c r="OE57" i="30"/>
  <c r="OD57" i="30"/>
  <c r="OB57" i="30"/>
  <c r="NY57" i="30"/>
  <c r="NT57" i="30"/>
  <c r="NS57" i="30"/>
  <c r="NQ57" i="30"/>
  <c r="NP57" i="30"/>
  <c r="NG57" i="30"/>
  <c r="NF57" i="30"/>
  <c r="NE57" i="30"/>
  <c r="ND57" i="30"/>
  <c r="NC57" i="30"/>
  <c r="NB57" i="30"/>
  <c r="MS57" i="30"/>
  <c r="MR57" i="30"/>
  <c r="MO57" i="30"/>
  <c r="ML57" i="30"/>
  <c r="MJ57" i="30"/>
  <c r="MH57" i="30"/>
  <c r="MG57" i="30"/>
  <c r="MF57" i="30"/>
  <c r="MC57" i="30"/>
  <c r="LX57" i="30"/>
  <c r="LW57" i="30"/>
  <c r="LU57" i="30"/>
  <c r="LT57" i="30"/>
  <c r="LQ57" i="30"/>
  <c r="LH57" i="30"/>
  <c r="LE57" i="30"/>
  <c r="LB57" i="30"/>
  <c r="KW57" i="30"/>
  <c r="KS57" i="30"/>
  <c r="KP57" i="30"/>
  <c r="KN57" i="30"/>
  <c r="KK57" i="30"/>
  <c r="KJ57" i="30"/>
  <c r="KH57" i="30"/>
  <c r="KG57" i="30"/>
  <c r="PO56" i="30"/>
  <c r="PL56" i="30"/>
  <c r="PI56" i="30"/>
  <c r="PF56" i="30"/>
  <c r="PD56" i="30"/>
  <c r="OT56" i="30"/>
  <c r="OS56" i="30"/>
  <c r="OR56" i="30"/>
  <c r="OQ56" i="30"/>
  <c r="OG56" i="30"/>
  <c r="OF56" i="30"/>
  <c r="OE56" i="30"/>
  <c r="OD56" i="30"/>
  <c r="OA56" i="30"/>
  <c r="NZ56" i="30"/>
  <c r="NJ56" i="30"/>
  <c r="NI56" i="30"/>
  <c r="NH56" i="30"/>
  <c r="MX56" i="30"/>
  <c r="MW56" i="30"/>
  <c r="MV56" i="30"/>
  <c r="MU56" i="30"/>
  <c r="MJ56" i="30"/>
  <c r="MI56" i="30"/>
  <c r="MH56" i="30"/>
  <c r="ME56" i="30"/>
  <c r="MD56" i="30"/>
  <c r="LN56" i="30"/>
  <c r="LM56" i="30"/>
  <c r="LL56" i="30"/>
  <c r="LB56" i="30"/>
  <c r="LA56" i="30"/>
  <c r="KY56" i="30"/>
  <c r="KN56" i="30"/>
  <c r="KM56" i="30"/>
  <c r="KL56" i="30"/>
  <c r="KI56" i="30"/>
  <c r="KH56" i="30"/>
  <c r="PS49" i="30"/>
  <c r="PR49" i="30"/>
  <c r="PQ49" i="30"/>
  <c r="PP49" i="30"/>
  <c r="PO49" i="30"/>
  <c r="PN49" i="30"/>
  <c r="PM49" i="30"/>
  <c r="PL49" i="30"/>
  <c r="PK49" i="30"/>
  <c r="PJ49" i="30"/>
  <c r="PI49" i="30"/>
  <c r="PH49" i="30"/>
  <c r="PG49" i="30"/>
  <c r="PF49" i="30"/>
  <c r="PE49" i="30"/>
  <c r="PD49" i="30"/>
  <c r="PC49" i="30"/>
  <c r="PB49" i="30"/>
  <c r="PA49" i="30"/>
  <c r="OZ49" i="30"/>
  <c r="OY49" i="30"/>
  <c r="OX49" i="30"/>
  <c r="OW49" i="30"/>
  <c r="OV49" i="30"/>
  <c r="OU49" i="30"/>
  <c r="OT49" i="30"/>
  <c r="OS49" i="30"/>
  <c r="OR49" i="30"/>
  <c r="OQ49" i="30"/>
  <c r="OP49" i="30"/>
  <c r="OO49" i="30"/>
  <c r="ON49" i="30"/>
  <c r="ON48" i="30" s="1"/>
  <c r="OM49" i="30"/>
  <c r="OM48" i="30" s="1"/>
  <c r="OL49" i="30"/>
  <c r="OL48" i="30" s="1"/>
  <c r="OK49" i="30"/>
  <c r="OK48" i="30" s="1"/>
  <c r="OJ49" i="30"/>
  <c r="OJ48" i="30" s="1"/>
  <c r="OI49" i="30"/>
  <c r="OI48" i="30" s="1"/>
  <c r="OH49" i="30"/>
  <c r="OH48" i="30" s="1"/>
  <c r="OG49" i="30"/>
  <c r="OG48" i="30" s="1"/>
  <c r="OF49" i="30"/>
  <c r="OF48" i="30" s="1"/>
  <c r="OE49" i="30"/>
  <c r="OE48" i="30" s="1"/>
  <c r="OD49" i="30"/>
  <c r="OD48" i="30" s="1"/>
  <c r="OC49" i="30"/>
  <c r="OC48" i="30" s="1"/>
  <c r="OB49" i="30"/>
  <c r="OB48" i="30" s="1"/>
  <c r="OA49" i="30"/>
  <c r="OA48" i="30" s="1"/>
  <c r="NZ49" i="30"/>
  <c r="NZ48" i="30" s="1"/>
  <c r="NY49" i="30"/>
  <c r="NY48" i="30" s="1"/>
  <c r="NX49" i="30"/>
  <c r="NX48" i="30" s="1"/>
  <c r="NW49" i="30"/>
  <c r="NW48" i="30" s="1"/>
  <c r="NV49" i="30"/>
  <c r="NU49" i="30"/>
  <c r="NU48" i="30" s="1"/>
  <c r="NT49" i="30"/>
  <c r="NT48" i="30" s="1"/>
  <c r="NS49" i="30"/>
  <c r="NS48" i="30" s="1"/>
  <c r="NR49" i="30"/>
  <c r="NR48" i="30" s="1"/>
  <c r="NQ49" i="30"/>
  <c r="NQ48" i="30" s="1"/>
  <c r="NP49" i="30"/>
  <c r="NP48" i="30" s="1"/>
  <c r="NO49" i="30"/>
  <c r="NO48" i="30" s="1"/>
  <c r="NN49" i="30"/>
  <c r="NN48" i="30" s="1"/>
  <c r="NM49" i="30"/>
  <c r="NM48" i="30" s="1"/>
  <c r="NL49" i="30"/>
  <c r="NL48" i="30" s="1"/>
  <c r="NK49" i="30"/>
  <c r="NK48" i="30" s="1"/>
  <c r="NJ49" i="30"/>
  <c r="NJ48" i="30" s="1"/>
  <c r="NI49" i="30"/>
  <c r="NI48" i="30" s="1"/>
  <c r="NH49" i="30"/>
  <c r="NH48" i="30" s="1"/>
  <c r="NG49" i="30"/>
  <c r="NG48" i="30" s="1"/>
  <c r="NF49" i="30"/>
  <c r="NF48" i="30" s="1"/>
  <c r="NE49" i="30"/>
  <c r="NE48" i="30" s="1"/>
  <c r="ND49" i="30"/>
  <c r="ND48" i="30" s="1"/>
  <c r="NC49" i="30"/>
  <c r="NC48" i="30" s="1"/>
  <c r="NB49" i="30"/>
  <c r="NB48" i="30" s="1"/>
  <c r="NA49" i="30"/>
  <c r="NA48" i="30" s="1"/>
  <c r="MZ49" i="30"/>
  <c r="MZ48" i="30" s="1"/>
  <c r="MY49" i="30"/>
  <c r="MY48" i="30" s="1"/>
  <c r="MX49" i="30"/>
  <c r="MX48" i="30" s="1"/>
  <c r="MW49" i="30"/>
  <c r="MW48" i="30" s="1"/>
  <c r="MV49" i="30"/>
  <c r="MV48" i="30" s="1"/>
  <c r="MU49" i="30"/>
  <c r="MU48" i="30" s="1"/>
  <c r="MT49" i="30"/>
  <c r="MT48" i="30" s="1"/>
  <c r="MS49" i="30"/>
  <c r="MS48" i="30" s="1"/>
  <c r="MR49" i="30"/>
  <c r="MR48" i="30" s="1"/>
  <c r="MQ49" i="30"/>
  <c r="MQ48" i="30" s="1"/>
  <c r="MP49" i="30"/>
  <c r="MP48" i="30" s="1"/>
  <c r="MO49" i="30"/>
  <c r="MO48" i="30" s="1"/>
  <c r="MN49" i="30"/>
  <c r="MN48" i="30" s="1"/>
  <c r="MM49" i="30"/>
  <c r="MM48" i="30" s="1"/>
  <c r="ML49" i="30"/>
  <c r="ML48" i="30" s="1"/>
  <c r="MK49" i="30"/>
  <c r="MK48" i="30" s="1"/>
  <c r="MJ49" i="30"/>
  <c r="MJ48" i="30" s="1"/>
  <c r="MI49" i="30"/>
  <c r="MI48" i="30" s="1"/>
  <c r="MH49" i="30"/>
  <c r="MH48" i="30" s="1"/>
  <c r="MG49" i="30"/>
  <c r="MG48" i="30" s="1"/>
  <c r="MF49" i="30"/>
  <c r="MF48" i="30" s="1"/>
  <c r="ME49" i="30"/>
  <c r="ME48" i="30" s="1"/>
  <c r="MD49" i="30"/>
  <c r="MD48" i="30" s="1"/>
  <c r="MC49" i="30"/>
  <c r="MC48" i="30" s="1"/>
  <c r="MB49" i="30"/>
  <c r="MB48" i="30" s="1"/>
  <c r="MA49" i="30"/>
  <c r="MA48" i="30" s="1"/>
  <c r="LZ49" i="30"/>
  <c r="LZ48" i="30" s="1"/>
  <c r="LY49" i="30"/>
  <c r="LY48" i="30" s="1"/>
  <c r="LX49" i="30"/>
  <c r="LX48" i="30" s="1"/>
  <c r="LW49" i="30"/>
  <c r="LW48" i="30" s="1"/>
  <c r="LV49" i="30"/>
  <c r="LV48" i="30" s="1"/>
  <c r="LU49" i="30"/>
  <c r="LU48" i="30" s="1"/>
  <c r="LT49" i="30"/>
  <c r="LT48" i="30" s="1"/>
  <c r="LS49" i="30"/>
  <c r="LS48" i="30" s="1"/>
  <c r="LR49" i="30"/>
  <c r="LR48" i="30" s="1"/>
  <c r="LQ49" i="30"/>
  <c r="LQ48" i="30" s="1"/>
  <c r="LP49" i="30"/>
  <c r="LP48" i="30" s="1"/>
  <c r="LO49" i="30"/>
  <c r="LO48" i="30" s="1"/>
  <c r="LN49" i="30"/>
  <c r="LN48" i="30" s="1"/>
  <c r="LM49" i="30"/>
  <c r="LM48" i="30" s="1"/>
  <c r="LL49" i="30"/>
  <c r="LL48" i="30" s="1"/>
  <c r="LK49" i="30"/>
  <c r="LK48" i="30" s="1"/>
  <c r="LJ49" i="30"/>
  <c r="LJ48" i="30" s="1"/>
  <c r="LI49" i="30"/>
  <c r="LI48" i="30" s="1"/>
  <c r="LH49" i="30"/>
  <c r="LH48" i="30" s="1"/>
  <c r="LG49" i="30"/>
  <c r="LG48" i="30" s="1"/>
  <c r="LF49" i="30"/>
  <c r="LF48" i="30" s="1"/>
  <c r="LE49" i="30"/>
  <c r="LE48" i="30" s="1"/>
  <c r="LD49" i="30"/>
  <c r="LD48" i="30" s="1"/>
  <c r="LC49" i="30"/>
  <c r="LC48" i="30" s="1"/>
  <c r="LB49" i="30"/>
  <c r="LB48" i="30" s="1"/>
  <c r="LA49" i="30"/>
  <c r="LA48" i="30" s="1"/>
  <c r="KZ49" i="30"/>
  <c r="KY49" i="30"/>
  <c r="KX49" i="30"/>
  <c r="KW49" i="30"/>
  <c r="KW48" i="30" s="1"/>
  <c r="KV49" i="30"/>
  <c r="KV48" i="30" s="1"/>
  <c r="KU49" i="30"/>
  <c r="KU48" i="30" s="1"/>
  <c r="KT49" i="30"/>
  <c r="KT48" i="30" s="1"/>
  <c r="KS49" i="30"/>
  <c r="KS48" i="30" s="1"/>
  <c r="KR49" i="30"/>
  <c r="KR48" i="30" s="1"/>
  <c r="KQ49" i="30"/>
  <c r="KQ48" i="30" s="1"/>
  <c r="KP49" i="30"/>
  <c r="KP48" i="30" s="1"/>
  <c r="KO49" i="30"/>
  <c r="KN49" i="30"/>
  <c r="KN48" i="30" s="1"/>
  <c r="KM49" i="30"/>
  <c r="KM48" i="30" s="1"/>
  <c r="KL49" i="30"/>
  <c r="KL48" i="30" s="1"/>
  <c r="KK49" i="30"/>
  <c r="KK48" i="30" s="1"/>
  <c r="KJ49" i="30"/>
  <c r="KJ48" i="30" s="1"/>
  <c r="KI49" i="30"/>
  <c r="KI48" i="30" s="1"/>
  <c r="KH49" i="30"/>
  <c r="KH48" i="30" s="1"/>
  <c r="KG49" i="30"/>
  <c r="KG48" i="30" s="1"/>
  <c r="KF49" i="30"/>
  <c r="KF48" i="30" s="1"/>
  <c r="PS48" i="30"/>
  <c r="PR48" i="30"/>
  <c r="PQ48" i="30"/>
  <c r="PP48" i="30"/>
  <c r="PO48" i="30"/>
  <c r="PN48" i="30"/>
  <c r="PM48" i="30"/>
  <c r="PL48" i="30"/>
  <c r="PK48" i="30"/>
  <c r="PJ48" i="30"/>
  <c r="PI48" i="30"/>
  <c r="PH48" i="30"/>
  <c r="PG48" i="30"/>
  <c r="PF48" i="30"/>
  <c r="PE48" i="30"/>
  <c r="PD48" i="30"/>
  <c r="PC48" i="30"/>
  <c r="PB48" i="30"/>
  <c r="PA48" i="30"/>
  <c r="OZ48" i="30"/>
  <c r="OY48" i="30"/>
  <c r="OX48" i="30"/>
  <c r="OW48" i="30"/>
  <c r="OV48" i="30"/>
  <c r="OU48" i="30"/>
  <c r="OT48" i="30"/>
  <c r="OS48" i="30"/>
  <c r="OR48" i="30"/>
  <c r="OQ48" i="30"/>
  <c r="OP48" i="30"/>
  <c r="OO48" i="30"/>
  <c r="NV48" i="30"/>
  <c r="KZ48" i="30"/>
  <c r="KY48" i="30"/>
  <c r="KX48" i="30"/>
  <c r="KO48" i="30"/>
  <c r="PR66" i="30"/>
  <c r="PM59" i="30"/>
  <c r="PL66" i="30"/>
  <c r="PJ59" i="30"/>
  <c r="PG59" i="30"/>
  <c r="PF59" i="30"/>
  <c r="PE66" i="30"/>
  <c r="PD66" i="30"/>
  <c r="PC66" i="30"/>
  <c r="PB66" i="30"/>
  <c r="PA66" i="30"/>
  <c r="OP66" i="30"/>
  <c r="OO59" i="30"/>
  <c r="ON66" i="30"/>
  <c r="OJ66" i="30"/>
  <c r="OH66" i="30"/>
  <c r="OE66" i="30"/>
  <c r="OB66" i="30"/>
  <c r="OA59" i="30"/>
  <c r="NZ59" i="30"/>
  <c r="NV59" i="30"/>
  <c r="NU66" i="30"/>
  <c r="NS59" i="30"/>
  <c r="NR59" i="30"/>
  <c r="NL66" i="30"/>
  <c r="NJ66" i="30"/>
  <c r="NI66" i="30"/>
  <c r="NH66" i="30"/>
  <c r="NG66" i="30"/>
  <c r="MX66" i="30"/>
  <c r="MS66" i="30"/>
  <c r="MR66" i="30"/>
  <c r="MO66" i="30"/>
  <c r="MN66" i="30"/>
  <c r="MM66" i="30"/>
  <c r="ML59" i="30"/>
  <c r="MI59" i="30"/>
  <c r="MH59" i="30"/>
  <c r="MG66" i="30"/>
  <c r="MC66" i="30"/>
  <c r="LZ66" i="30"/>
  <c r="LW66" i="30"/>
  <c r="LV66" i="30"/>
  <c r="LT66" i="30"/>
  <c r="LR59" i="30"/>
  <c r="LQ66" i="30"/>
  <c r="LP66" i="30"/>
  <c r="LL59" i="30"/>
  <c r="LJ59" i="30"/>
  <c r="LH66" i="30"/>
  <c r="LG66" i="30"/>
  <c r="LE66" i="30"/>
  <c r="LA59" i="30"/>
  <c r="KZ59" i="30"/>
  <c r="KY59" i="30"/>
  <c r="KV66" i="30"/>
  <c r="KU66" i="30"/>
  <c r="KT66" i="30"/>
  <c r="KS66" i="30"/>
  <c r="KR66" i="30"/>
  <c r="KQ66" i="30"/>
  <c r="KP66" i="30"/>
  <c r="KI66" i="30"/>
  <c r="KG66" i="30"/>
  <c r="PR65" i="30"/>
  <c r="PQ58" i="30"/>
  <c r="PP58" i="30"/>
  <c r="PO65" i="30"/>
  <c r="PN58" i="30"/>
  <c r="PL65" i="30"/>
  <c r="PK58" i="30"/>
  <c r="PI65" i="30"/>
  <c r="PH65" i="30"/>
  <c r="PB65" i="30"/>
  <c r="OU58" i="30"/>
  <c r="OQ65" i="30"/>
  <c r="ON65" i="30"/>
  <c r="OL65" i="30"/>
  <c r="OK65" i="30"/>
  <c r="OJ65" i="30"/>
  <c r="OI65" i="30"/>
  <c r="OH65" i="30"/>
  <c r="OF58" i="30"/>
  <c r="OC58" i="30"/>
  <c r="NY65" i="30"/>
  <c r="NV65" i="30"/>
  <c r="NS65" i="30"/>
  <c r="NR65" i="30"/>
  <c r="NP65" i="30"/>
  <c r="NL65" i="30"/>
  <c r="NG65" i="30"/>
  <c r="NF65" i="30"/>
  <c r="ND65" i="30"/>
  <c r="NC58" i="30"/>
  <c r="NB58" i="30"/>
  <c r="NA65" i="30"/>
  <c r="MY58" i="30"/>
  <c r="MX58" i="30"/>
  <c r="MW58" i="30"/>
  <c r="MV58" i="30"/>
  <c r="MU65" i="30"/>
  <c r="MS58" i="30"/>
  <c r="MR65" i="30"/>
  <c r="MQ65" i="30"/>
  <c r="MP65" i="30"/>
  <c r="MO65" i="30"/>
  <c r="MN65" i="30"/>
  <c r="MM65" i="30"/>
  <c r="ML65" i="30"/>
  <c r="MG58" i="30"/>
  <c r="LZ65" i="30"/>
  <c r="LY58" i="30"/>
  <c r="LX65" i="30"/>
  <c r="LW65" i="30"/>
  <c r="LT65" i="30"/>
  <c r="LS65" i="30"/>
  <c r="LR65" i="30"/>
  <c r="LQ65" i="30"/>
  <c r="LO65" i="30"/>
  <c r="LN65" i="30"/>
  <c r="LK65" i="30"/>
  <c r="LI58" i="30"/>
  <c r="LH65" i="30"/>
  <c r="LE65" i="30"/>
  <c r="LD65" i="30"/>
  <c r="LB58" i="30"/>
  <c r="KZ65" i="30"/>
  <c r="KY65" i="30"/>
  <c r="KX65" i="30"/>
  <c r="KT65" i="30"/>
  <c r="KS58" i="30"/>
  <c r="KQ65" i="30"/>
  <c r="KP65" i="30"/>
  <c r="KK58" i="30"/>
  <c r="KH65" i="30"/>
  <c r="KG65" i="30"/>
  <c r="KF65" i="30"/>
  <c r="PP64" i="30"/>
  <c r="PO64" i="30"/>
  <c r="PM57" i="30"/>
  <c r="PL64" i="30"/>
  <c r="PK64" i="30"/>
  <c r="PJ64" i="30"/>
  <c r="PI64" i="30"/>
  <c r="PF64" i="30"/>
  <c r="PC57" i="30"/>
  <c r="PB64" i="30"/>
  <c r="OY57" i="30"/>
  <c r="OX57" i="30"/>
  <c r="OV64" i="30"/>
  <c r="OU64" i="30"/>
  <c r="OT64" i="30"/>
  <c r="OR64" i="30"/>
  <c r="OQ64" i="30"/>
  <c r="ON64" i="30"/>
  <c r="OK64" i="30"/>
  <c r="OH57" i="30"/>
  <c r="OF64" i="30"/>
  <c r="OE64" i="30"/>
  <c r="OD64" i="30"/>
  <c r="OB64" i="30"/>
  <c r="NX64" i="30"/>
  <c r="NV57" i="30"/>
  <c r="NT64" i="30"/>
  <c r="NS64" i="30"/>
  <c r="NQ64" i="30"/>
  <c r="NM57" i="30"/>
  <c r="NL64" i="30"/>
  <c r="NK64" i="30"/>
  <c r="NG64" i="30"/>
  <c r="NF64" i="30"/>
  <c r="NE64" i="30"/>
  <c r="ND64" i="30"/>
  <c r="NC64" i="30"/>
  <c r="NB64" i="30"/>
  <c r="NA64" i="30"/>
  <c r="MX64" i="30"/>
  <c r="MV57" i="30"/>
  <c r="MS64" i="30"/>
  <c r="MR64" i="30"/>
  <c r="MQ64" i="30"/>
  <c r="MP64" i="30"/>
  <c r="MO64" i="30"/>
  <c r="MK57" i="30"/>
  <c r="MI57" i="30"/>
  <c r="MH64" i="30"/>
  <c r="MG64" i="30"/>
  <c r="MC64" i="30"/>
  <c r="MB64" i="30"/>
  <c r="LX64" i="30"/>
  <c r="LW64" i="30"/>
  <c r="LU64" i="30"/>
  <c r="LT64" i="30"/>
  <c r="LS64" i="30"/>
  <c r="LR64" i="30"/>
  <c r="LQ64" i="30"/>
  <c r="LN57" i="30"/>
  <c r="LL57" i="30"/>
  <c r="LK64" i="30"/>
  <c r="LI64" i="30"/>
  <c r="LG57" i="30"/>
  <c r="LF57" i="30"/>
  <c r="LE64" i="30"/>
  <c r="LD64" i="30"/>
  <c r="LC64" i="30"/>
  <c r="LB64" i="30"/>
  <c r="KX64" i="30"/>
  <c r="KW64" i="30"/>
  <c r="KV57" i="30"/>
  <c r="KS64" i="30"/>
  <c r="KR64" i="30"/>
  <c r="KQ64" i="30"/>
  <c r="KP64" i="30"/>
  <c r="KO57" i="30"/>
  <c r="KN64" i="30"/>
  <c r="KH64" i="30"/>
  <c r="KG64" i="30"/>
  <c r="PR63" i="30"/>
  <c r="PP63" i="30"/>
  <c r="PO63" i="30"/>
  <c r="PM63" i="30"/>
  <c r="PK63" i="30"/>
  <c r="PI63" i="30"/>
  <c r="PH63" i="30"/>
  <c r="PG63" i="30"/>
  <c r="PF63" i="30"/>
  <c r="PD63" i="30"/>
  <c r="PC56" i="30"/>
  <c r="PA63" i="30"/>
  <c r="OZ56" i="30"/>
  <c r="OW63" i="30"/>
  <c r="OV63" i="30"/>
  <c r="OU63" i="30"/>
  <c r="OT63" i="30"/>
  <c r="OR63" i="30"/>
  <c r="OQ63" i="30"/>
  <c r="OP56" i="30"/>
  <c r="OO63" i="30"/>
  <c r="ON63" i="30"/>
  <c r="OM56" i="30"/>
  <c r="OL56" i="30"/>
  <c r="OK56" i="30"/>
  <c r="OH63" i="30"/>
  <c r="OG63" i="30"/>
  <c r="OF63" i="30"/>
  <c r="OE63" i="30"/>
  <c r="OD63" i="30"/>
  <c r="OC63" i="30"/>
  <c r="OB63" i="30"/>
  <c r="OA63" i="30"/>
  <c r="NZ63" i="30"/>
  <c r="NY63" i="30"/>
  <c r="NX63" i="30"/>
  <c r="NW63" i="30"/>
  <c r="NV56" i="30"/>
  <c r="NT63" i="30"/>
  <c r="NS63" i="30"/>
  <c r="NR63" i="30"/>
  <c r="NQ63" i="30"/>
  <c r="NP63" i="30"/>
  <c r="NO63" i="30"/>
  <c r="NN63" i="30"/>
  <c r="NM63" i="30"/>
  <c r="NL63" i="30"/>
  <c r="NK63" i="30"/>
  <c r="NJ63" i="30"/>
  <c r="NI63" i="30"/>
  <c r="NG56" i="30"/>
  <c r="NF56" i="30"/>
  <c r="NE63" i="30"/>
  <c r="ND63" i="30"/>
  <c r="NA63" i="30"/>
  <c r="MZ63" i="30"/>
  <c r="MY63" i="30"/>
  <c r="MX63" i="30"/>
  <c r="MW63" i="30"/>
  <c r="MV63" i="30"/>
  <c r="MU63" i="30"/>
  <c r="MT63" i="30"/>
  <c r="MS56" i="30"/>
  <c r="MR63" i="30"/>
  <c r="MQ63" i="30"/>
  <c r="MP56" i="30"/>
  <c r="MO63" i="30"/>
  <c r="ML63" i="30"/>
  <c r="MK56" i="30"/>
  <c r="MI63" i="30"/>
  <c r="MH63" i="30"/>
  <c r="MG63" i="30"/>
  <c r="MF63" i="30"/>
  <c r="ME63" i="30"/>
  <c r="MD63" i="30"/>
  <c r="MC63" i="30"/>
  <c r="MB63" i="30"/>
  <c r="MA63" i="30"/>
  <c r="LZ63" i="30"/>
  <c r="LX63" i="30"/>
  <c r="LW63" i="30"/>
  <c r="LV63" i="30"/>
  <c r="LU63" i="30"/>
  <c r="LT63" i="30"/>
  <c r="LS63" i="30"/>
  <c r="LR63" i="30"/>
  <c r="LQ63" i="30"/>
  <c r="LP63" i="30"/>
  <c r="LO63" i="30"/>
  <c r="LN63" i="30"/>
  <c r="LM63" i="30"/>
  <c r="LL63" i="30"/>
  <c r="LK56" i="30"/>
  <c r="LI56" i="30"/>
  <c r="LH63" i="30"/>
  <c r="LF56" i="30"/>
  <c r="LE63" i="30"/>
  <c r="LD63" i="30"/>
  <c r="LC63" i="30"/>
  <c r="LA63" i="30"/>
  <c r="KZ63" i="30"/>
  <c r="KW63" i="30"/>
  <c r="KV63" i="30"/>
  <c r="KU63" i="30"/>
  <c r="KT56" i="30"/>
  <c r="KS56" i="30"/>
  <c r="KP63" i="30"/>
  <c r="KO63" i="30"/>
  <c r="KN63" i="30"/>
  <c r="KM63" i="30"/>
  <c r="KL63" i="30"/>
  <c r="KK63" i="30"/>
  <c r="KJ63" i="30"/>
  <c r="KI63" i="30"/>
  <c r="KH63" i="30"/>
  <c r="KG63" i="30"/>
  <c r="KF63" i="30"/>
  <c r="PS23" i="30"/>
  <c r="PR23" i="30"/>
  <c r="PQ23" i="30"/>
  <c r="PP23" i="30"/>
  <c r="PO23" i="30"/>
  <c r="PN23" i="30"/>
  <c r="PM23" i="30"/>
  <c r="PL23" i="30"/>
  <c r="PK23" i="30"/>
  <c r="PJ23" i="30"/>
  <c r="PI23" i="30"/>
  <c r="PH23" i="30"/>
  <c r="PG23" i="30"/>
  <c r="PF23" i="30"/>
  <c r="PE23" i="30"/>
  <c r="PD23" i="30"/>
  <c r="PC23" i="30"/>
  <c r="PB23" i="30"/>
  <c r="PA23" i="30"/>
  <c r="OZ23" i="30"/>
  <c r="OY23" i="30"/>
  <c r="OX23" i="30"/>
  <c r="OW23" i="30"/>
  <c r="OV23" i="30"/>
  <c r="OU23" i="30"/>
  <c r="OT23" i="30"/>
  <c r="OS23" i="30"/>
  <c r="OR23" i="30"/>
  <c r="OQ23" i="30"/>
  <c r="OP23" i="30"/>
  <c r="OO23" i="30"/>
  <c r="ON23" i="30"/>
  <c r="OM23" i="30"/>
  <c r="OL23" i="30"/>
  <c r="OK23" i="30"/>
  <c r="OJ23" i="30"/>
  <c r="OI23" i="30"/>
  <c r="OH23" i="30"/>
  <c r="OG23" i="30"/>
  <c r="OF23" i="30"/>
  <c r="OE23" i="30"/>
  <c r="OD23" i="30"/>
  <c r="OC23" i="30"/>
  <c r="OC22" i="30" s="1"/>
  <c r="OC60" i="30" s="1"/>
  <c r="OB23" i="30"/>
  <c r="OB22" i="30" s="1"/>
  <c r="OB60" i="30" s="1"/>
  <c r="OA23" i="30"/>
  <c r="OA22" i="30" s="1"/>
  <c r="OA60" i="30" s="1"/>
  <c r="NZ23" i="30"/>
  <c r="NZ22" i="30" s="1"/>
  <c r="NZ60" i="30" s="1"/>
  <c r="NY23" i="30"/>
  <c r="NY22" i="30" s="1"/>
  <c r="NY60" i="30" s="1"/>
  <c r="NX23" i="30"/>
  <c r="NX22" i="30" s="1"/>
  <c r="NX60" i="30" s="1"/>
  <c r="NW23" i="30"/>
  <c r="NW22" i="30" s="1"/>
  <c r="NW60" i="30" s="1"/>
  <c r="NV23" i="30"/>
  <c r="NV22" i="30" s="1"/>
  <c r="NV60" i="30" s="1"/>
  <c r="NU23" i="30"/>
  <c r="NU22" i="30" s="1"/>
  <c r="NU60" i="30" s="1"/>
  <c r="NT23" i="30"/>
  <c r="NT22" i="30" s="1"/>
  <c r="NT60" i="30" s="1"/>
  <c r="NS23" i="30"/>
  <c r="NS22" i="30" s="1"/>
  <c r="NS60" i="30" s="1"/>
  <c r="NR23" i="30"/>
  <c r="NR22" i="30" s="1"/>
  <c r="NR60" i="30" s="1"/>
  <c r="NQ23" i="30"/>
  <c r="NP23" i="30"/>
  <c r="NP22" i="30" s="1"/>
  <c r="NP60" i="30" s="1"/>
  <c r="NO23" i="30"/>
  <c r="NO22" i="30" s="1"/>
  <c r="NO60" i="30" s="1"/>
  <c r="NN23" i="30"/>
  <c r="NN22" i="30" s="1"/>
  <c r="NN60" i="30" s="1"/>
  <c r="NM23" i="30"/>
  <c r="NM22" i="30" s="1"/>
  <c r="NM60" i="30" s="1"/>
  <c r="NL23" i="30"/>
  <c r="NL22" i="30" s="1"/>
  <c r="NL60" i="30" s="1"/>
  <c r="NK23" i="30"/>
  <c r="NK22" i="30" s="1"/>
  <c r="NK60" i="30" s="1"/>
  <c r="NJ23" i="30"/>
  <c r="NJ22" i="30" s="1"/>
  <c r="NJ60" i="30" s="1"/>
  <c r="NI23" i="30"/>
  <c r="NI22" i="30" s="1"/>
  <c r="NI60" i="30" s="1"/>
  <c r="NH23" i="30"/>
  <c r="NH22" i="30" s="1"/>
  <c r="NH60" i="30" s="1"/>
  <c r="NG23" i="30"/>
  <c r="NG22" i="30" s="1"/>
  <c r="NG60" i="30" s="1"/>
  <c r="NF23" i="30"/>
  <c r="NF22" i="30" s="1"/>
  <c r="NF60" i="30" s="1"/>
  <c r="NE23" i="30"/>
  <c r="ND23" i="30"/>
  <c r="ND22" i="30" s="1"/>
  <c r="ND60" i="30" s="1"/>
  <c r="NC23" i="30"/>
  <c r="NC22" i="30" s="1"/>
  <c r="NC60" i="30" s="1"/>
  <c r="NB23" i="30"/>
  <c r="NB22" i="30" s="1"/>
  <c r="NB60" i="30" s="1"/>
  <c r="NA23" i="30"/>
  <c r="NA22" i="30" s="1"/>
  <c r="NA60" i="30" s="1"/>
  <c r="MZ23" i="30"/>
  <c r="MZ22" i="30" s="1"/>
  <c r="MZ60" i="30" s="1"/>
  <c r="MY23" i="30"/>
  <c r="MY22" i="30" s="1"/>
  <c r="MY60" i="30" s="1"/>
  <c r="MX23" i="30"/>
  <c r="MX22" i="30" s="1"/>
  <c r="MX60" i="30" s="1"/>
  <c r="MW23" i="30"/>
  <c r="MW22" i="30" s="1"/>
  <c r="MW60" i="30" s="1"/>
  <c r="MV23" i="30"/>
  <c r="MV22" i="30" s="1"/>
  <c r="MV60" i="30" s="1"/>
  <c r="MU23" i="30"/>
  <c r="MU22" i="30" s="1"/>
  <c r="MU60" i="30" s="1"/>
  <c r="MT23" i="30"/>
  <c r="MT22" i="30" s="1"/>
  <c r="MT60" i="30" s="1"/>
  <c r="MS23" i="30"/>
  <c r="MS22" i="30" s="1"/>
  <c r="MS60" i="30" s="1"/>
  <c r="MR23" i="30"/>
  <c r="MR22" i="30" s="1"/>
  <c r="MR60" i="30" s="1"/>
  <c r="MQ23" i="30"/>
  <c r="MQ22" i="30" s="1"/>
  <c r="MQ60" i="30" s="1"/>
  <c r="MP23" i="30"/>
  <c r="MP22" i="30" s="1"/>
  <c r="MP60" i="30" s="1"/>
  <c r="MO23" i="30"/>
  <c r="MO22" i="30" s="1"/>
  <c r="MO60" i="30" s="1"/>
  <c r="MN23" i="30"/>
  <c r="MN22" i="30" s="1"/>
  <c r="MN60" i="30" s="1"/>
  <c r="MM23" i="30"/>
  <c r="MM22" i="30" s="1"/>
  <c r="MM60" i="30" s="1"/>
  <c r="ML23" i="30"/>
  <c r="ML22" i="30" s="1"/>
  <c r="ML60" i="30" s="1"/>
  <c r="MK23" i="30"/>
  <c r="MK22" i="30" s="1"/>
  <c r="MK60" i="30" s="1"/>
  <c r="MJ23" i="30"/>
  <c r="MJ22" i="30" s="1"/>
  <c r="MJ60" i="30" s="1"/>
  <c r="MI23" i="30"/>
  <c r="MI22" i="30" s="1"/>
  <c r="MI60" i="30" s="1"/>
  <c r="MH23" i="30"/>
  <c r="MH22" i="30" s="1"/>
  <c r="MH60" i="30" s="1"/>
  <c r="MG23" i="30"/>
  <c r="MG22" i="30" s="1"/>
  <c r="MG60" i="30" s="1"/>
  <c r="MF23" i="30"/>
  <c r="MF22" i="30" s="1"/>
  <c r="MF60" i="30" s="1"/>
  <c r="ME23" i="30"/>
  <c r="ME22" i="30" s="1"/>
  <c r="ME60" i="30" s="1"/>
  <c r="MD23" i="30"/>
  <c r="MD22" i="30" s="1"/>
  <c r="MD60" i="30" s="1"/>
  <c r="MC23" i="30"/>
  <c r="MC22" i="30" s="1"/>
  <c r="MC60" i="30" s="1"/>
  <c r="MB23" i="30"/>
  <c r="MB22" i="30" s="1"/>
  <c r="MB60" i="30" s="1"/>
  <c r="MA23" i="30"/>
  <c r="MA22" i="30" s="1"/>
  <c r="MA60" i="30" s="1"/>
  <c r="LZ23" i="30"/>
  <c r="LZ22" i="30" s="1"/>
  <c r="LZ60" i="30" s="1"/>
  <c r="LY23" i="30"/>
  <c r="LY22" i="30" s="1"/>
  <c r="LY60" i="30" s="1"/>
  <c r="LX23" i="30"/>
  <c r="LX22" i="30" s="1"/>
  <c r="LX60" i="30" s="1"/>
  <c r="LW23" i="30"/>
  <c r="LW22" i="30" s="1"/>
  <c r="LW60" i="30" s="1"/>
  <c r="LV23" i="30"/>
  <c r="LV22" i="30" s="1"/>
  <c r="LV60" i="30" s="1"/>
  <c r="LU23" i="30"/>
  <c r="LT23" i="30"/>
  <c r="LT22" i="30" s="1"/>
  <c r="LT60" i="30" s="1"/>
  <c r="LS23" i="30"/>
  <c r="LS22" i="30" s="1"/>
  <c r="LS60" i="30" s="1"/>
  <c r="LR23" i="30"/>
  <c r="LQ23" i="30"/>
  <c r="LP23" i="30"/>
  <c r="LO23" i="30"/>
  <c r="LO22" i="30" s="1"/>
  <c r="LO60" i="30" s="1"/>
  <c r="LN23" i="30"/>
  <c r="LN22" i="30" s="1"/>
  <c r="LN60" i="30" s="1"/>
  <c r="LM23" i="30"/>
  <c r="LM22" i="30" s="1"/>
  <c r="LM60" i="30" s="1"/>
  <c r="LL23" i="30"/>
  <c r="LL22" i="30" s="1"/>
  <c r="LL60" i="30" s="1"/>
  <c r="LK23" i="30"/>
  <c r="LK22" i="30" s="1"/>
  <c r="LK60" i="30" s="1"/>
  <c r="LJ23" i="30"/>
  <c r="LJ22" i="30" s="1"/>
  <c r="LJ60" i="30" s="1"/>
  <c r="LI23" i="30"/>
  <c r="LI22" i="30" s="1"/>
  <c r="LI60" i="30" s="1"/>
  <c r="LH23" i="30"/>
  <c r="LH22" i="30" s="1"/>
  <c r="LH60" i="30" s="1"/>
  <c r="LG23" i="30"/>
  <c r="LG22" i="30" s="1"/>
  <c r="LG60" i="30" s="1"/>
  <c r="LF23" i="30"/>
  <c r="LF22" i="30" s="1"/>
  <c r="LF60" i="30" s="1"/>
  <c r="LE23" i="30"/>
  <c r="LE22" i="30" s="1"/>
  <c r="LE60" i="30" s="1"/>
  <c r="LD23" i="30"/>
  <c r="LD22" i="30" s="1"/>
  <c r="LD60" i="30" s="1"/>
  <c r="LC23" i="30"/>
  <c r="LC22" i="30" s="1"/>
  <c r="LC60" i="30" s="1"/>
  <c r="LB23" i="30"/>
  <c r="LB22" i="30" s="1"/>
  <c r="LB60" i="30" s="1"/>
  <c r="LA23" i="30"/>
  <c r="LA22" i="30" s="1"/>
  <c r="LA60" i="30" s="1"/>
  <c r="KZ23" i="30"/>
  <c r="KZ22" i="30" s="1"/>
  <c r="KZ60" i="30" s="1"/>
  <c r="KY23" i="30"/>
  <c r="KY22" i="30" s="1"/>
  <c r="KY60" i="30" s="1"/>
  <c r="KX23" i="30"/>
  <c r="KX22" i="30" s="1"/>
  <c r="KX60" i="30" s="1"/>
  <c r="KW23" i="30"/>
  <c r="KW22" i="30" s="1"/>
  <c r="KW60" i="30" s="1"/>
  <c r="KV23" i="30"/>
  <c r="KV22" i="30" s="1"/>
  <c r="KV60" i="30" s="1"/>
  <c r="KU23" i="30"/>
  <c r="KU22" i="30" s="1"/>
  <c r="KU60" i="30" s="1"/>
  <c r="KT23" i="30"/>
  <c r="KT22" i="30" s="1"/>
  <c r="KT60" i="30" s="1"/>
  <c r="KS23" i="30"/>
  <c r="KS22" i="30" s="1"/>
  <c r="KS60" i="30" s="1"/>
  <c r="KR23" i="30"/>
  <c r="KR22" i="30" s="1"/>
  <c r="KR60" i="30" s="1"/>
  <c r="KQ23" i="30"/>
  <c r="KQ22" i="30" s="1"/>
  <c r="KQ60" i="30" s="1"/>
  <c r="KP23" i="30"/>
  <c r="KP22" i="30" s="1"/>
  <c r="KP60" i="30" s="1"/>
  <c r="KO23" i="30"/>
  <c r="KO22" i="30" s="1"/>
  <c r="KO60" i="30" s="1"/>
  <c r="KN23" i="30"/>
  <c r="KN22" i="30" s="1"/>
  <c r="KN60" i="30" s="1"/>
  <c r="KM23" i="30"/>
  <c r="KM22" i="30" s="1"/>
  <c r="KM60" i="30" s="1"/>
  <c r="KL23" i="30"/>
  <c r="KL22" i="30" s="1"/>
  <c r="KL60" i="30" s="1"/>
  <c r="KK23" i="30"/>
  <c r="KJ23" i="30"/>
  <c r="KJ22" i="30" s="1"/>
  <c r="KJ60" i="30" s="1"/>
  <c r="KI23" i="30"/>
  <c r="KI22" i="30" s="1"/>
  <c r="KI60" i="30" s="1"/>
  <c r="KH23" i="30"/>
  <c r="KH22" i="30" s="1"/>
  <c r="KH60" i="30" s="1"/>
  <c r="KG23" i="30"/>
  <c r="KG22" i="30" s="1"/>
  <c r="KG60" i="30" s="1"/>
  <c r="KF23" i="30"/>
  <c r="KF22" i="30" s="1"/>
  <c r="KF60" i="30" s="1"/>
  <c r="PS22" i="30"/>
  <c r="PS60" i="30" s="1"/>
  <c r="PR22" i="30"/>
  <c r="PR60" i="30" s="1"/>
  <c r="PQ22" i="30"/>
  <c r="PQ60" i="30" s="1"/>
  <c r="PP22" i="30"/>
  <c r="PP60" i="30" s="1"/>
  <c r="PO22" i="30"/>
  <c r="PO60" i="30" s="1"/>
  <c r="PN22" i="30"/>
  <c r="PN60" i="30" s="1"/>
  <c r="PM22" i="30"/>
  <c r="PM60" i="30" s="1"/>
  <c r="PL22" i="30"/>
  <c r="PL60" i="30" s="1"/>
  <c r="PK22" i="30"/>
  <c r="PK60" i="30" s="1"/>
  <c r="PJ22" i="30"/>
  <c r="PJ60" i="30" s="1"/>
  <c r="PI22" i="30"/>
  <c r="PI60" i="30" s="1"/>
  <c r="PH22" i="30"/>
  <c r="PH60" i="30" s="1"/>
  <c r="PG22" i="30"/>
  <c r="PG60" i="30" s="1"/>
  <c r="PF22" i="30"/>
  <c r="PF60" i="30" s="1"/>
  <c r="PE22" i="30"/>
  <c r="PE60" i="30" s="1"/>
  <c r="PD22" i="30"/>
  <c r="PD60" i="30" s="1"/>
  <c r="PC22" i="30"/>
  <c r="PC60" i="30" s="1"/>
  <c r="PB22" i="30"/>
  <c r="PB60" i="30" s="1"/>
  <c r="PA22" i="30"/>
  <c r="PA60" i="30" s="1"/>
  <c r="OZ22" i="30"/>
  <c r="OZ60" i="30" s="1"/>
  <c r="OY22" i="30"/>
  <c r="OY60" i="30" s="1"/>
  <c r="OX22" i="30"/>
  <c r="OX60" i="30" s="1"/>
  <c r="OW22" i="30"/>
  <c r="OW60" i="30" s="1"/>
  <c r="OV22" i="30"/>
  <c r="OV60" i="30" s="1"/>
  <c r="OU22" i="30"/>
  <c r="OU60" i="30" s="1"/>
  <c r="OT22" i="30"/>
  <c r="OT60" i="30" s="1"/>
  <c r="OS22" i="30"/>
  <c r="OS60" i="30" s="1"/>
  <c r="OR22" i="30"/>
  <c r="OR60" i="30" s="1"/>
  <c r="OQ22" i="30"/>
  <c r="OQ60" i="30" s="1"/>
  <c r="OP22" i="30"/>
  <c r="OP60" i="30" s="1"/>
  <c r="OO22" i="30"/>
  <c r="OO60" i="30" s="1"/>
  <c r="ON22" i="30"/>
  <c r="ON60" i="30" s="1"/>
  <c r="OM22" i="30"/>
  <c r="OM60" i="30" s="1"/>
  <c r="OL22" i="30"/>
  <c r="OL60" i="30" s="1"/>
  <c r="OK22" i="30"/>
  <c r="OK60" i="30" s="1"/>
  <c r="OJ22" i="30"/>
  <c r="OJ60" i="30" s="1"/>
  <c r="OI22" i="30"/>
  <c r="OI60" i="30" s="1"/>
  <c r="OH22" i="30"/>
  <c r="OH60" i="30" s="1"/>
  <c r="OG22" i="30"/>
  <c r="OG60" i="30" s="1"/>
  <c r="OF22" i="30"/>
  <c r="OF60" i="30" s="1"/>
  <c r="OE22" i="30"/>
  <c r="OE60" i="30" s="1"/>
  <c r="OD22" i="30"/>
  <c r="OD60" i="30" s="1"/>
  <c r="NQ22" i="30"/>
  <c r="NQ60" i="30" s="1"/>
  <c r="NE22" i="30"/>
  <c r="NE60" i="30" s="1"/>
  <c r="LU22" i="30"/>
  <c r="LU60" i="30" s="1"/>
  <c r="LR22" i="30"/>
  <c r="LR60" i="30" s="1"/>
  <c r="LQ22" i="30"/>
  <c r="LQ60" i="30" s="1"/>
  <c r="LP22" i="30"/>
  <c r="LP60" i="30" s="1"/>
  <c r="KK22" i="30"/>
  <c r="KK60" i="30" s="1"/>
  <c r="PS19" i="30"/>
  <c r="PR19" i="30"/>
  <c r="PQ19" i="30"/>
  <c r="PP19" i="30"/>
  <c r="PO19" i="30"/>
  <c r="PN19" i="30"/>
  <c r="PN18" i="30" s="1"/>
  <c r="PN61" i="30" s="1"/>
  <c r="PM19" i="30"/>
  <c r="PL19" i="30"/>
  <c r="PK19" i="30"/>
  <c r="PJ19" i="30"/>
  <c r="PI19" i="30"/>
  <c r="PH19" i="30"/>
  <c r="PG19" i="30"/>
  <c r="PF19" i="30"/>
  <c r="PE19" i="30"/>
  <c r="PD19" i="30"/>
  <c r="PC19" i="30"/>
  <c r="PB19" i="30"/>
  <c r="PA19" i="30"/>
  <c r="OZ19" i="30"/>
  <c r="OY19" i="30"/>
  <c r="OX19" i="30"/>
  <c r="OW19" i="30"/>
  <c r="OV19" i="30"/>
  <c r="OU19" i="30"/>
  <c r="OT19" i="30"/>
  <c r="OS19" i="30"/>
  <c r="OR19" i="30"/>
  <c r="OQ19" i="30"/>
  <c r="OP19" i="30"/>
  <c r="OO19" i="30"/>
  <c r="ON19" i="30"/>
  <c r="OM19" i="30"/>
  <c r="OL19" i="30"/>
  <c r="OK19" i="30"/>
  <c r="OJ19" i="30"/>
  <c r="OI19" i="30"/>
  <c r="OH19" i="30"/>
  <c r="OG19" i="30"/>
  <c r="OF19" i="30"/>
  <c r="OE19" i="30"/>
  <c r="OD19" i="30"/>
  <c r="OC19" i="30"/>
  <c r="OB19" i="30"/>
  <c r="OA19" i="30"/>
  <c r="NZ19" i="30"/>
  <c r="NY19" i="30"/>
  <c r="NX19" i="30"/>
  <c r="NW19" i="30"/>
  <c r="NV19" i="30"/>
  <c r="NU19" i="30"/>
  <c r="NU18" i="30" s="1"/>
  <c r="NU61" i="30" s="1"/>
  <c r="NT19" i="30"/>
  <c r="NT18" i="30" s="1"/>
  <c r="NT61" i="30" s="1"/>
  <c r="NS19" i="30"/>
  <c r="NS18" i="30" s="1"/>
  <c r="NS61" i="30" s="1"/>
  <c r="NR19" i="30"/>
  <c r="NR18" i="30" s="1"/>
  <c r="NR61" i="30" s="1"/>
  <c r="NQ19" i="30"/>
  <c r="NQ18" i="30" s="1"/>
  <c r="NQ61" i="30" s="1"/>
  <c r="NP19" i="30"/>
  <c r="NP18" i="30" s="1"/>
  <c r="NP61" i="30" s="1"/>
  <c r="NO19" i="30"/>
  <c r="NO18" i="30" s="1"/>
  <c r="NO61" i="30" s="1"/>
  <c r="NN19" i="30"/>
  <c r="NN18" i="30" s="1"/>
  <c r="NN61" i="30" s="1"/>
  <c r="NM19" i="30"/>
  <c r="NM18" i="30" s="1"/>
  <c r="NM61" i="30" s="1"/>
  <c r="NL19" i="30"/>
  <c r="NL18" i="30" s="1"/>
  <c r="NL61" i="30" s="1"/>
  <c r="NK19" i="30"/>
  <c r="NK18" i="30" s="1"/>
  <c r="NK61" i="30" s="1"/>
  <c r="NJ19" i="30"/>
  <c r="NJ18" i="30" s="1"/>
  <c r="NJ61" i="30" s="1"/>
  <c r="NI19" i="30"/>
  <c r="NH19" i="30"/>
  <c r="NH18" i="30" s="1"/>
  <c r="NH61" i="30" s="1"/>
  <c r="NG19" i="30"/>
  <c r="NG18" i="30" s="1"/>
  <c r="NG61" i="30" s="1"/>
  <c r="NF19" i="30"/>
  <c r="NF18" i="30" s="1"/>
  <c r="NF61" i="30" s="1"/>
  <c r="NE19" i="30"/>
  <c r="NE18" i="30" s="1"/>
  <c r="NE61" i="30" s="1"/>
  <c r="ND19" i="30"/>
  <c r="ND18" i="30" s="1"/>
  <c r="ND61" i="30" s="1"/>
  <c r="NC19" i="30"/>
  <c r="NC18" i="30" s="1"/>
  <c r="NC61" i="30" s="1"/>
  <c r="NB19" i="30"/>
  <c r="NA19" i="30"/>
  <c r="MZ19" i="30"/>
  <c r="MY19" i="30"/>
  <c r="MY18" i="30" s="1"/>
  <c r="MY61" i="30" s="1"/>
  <c r="MX19" i="30"/>
  <c r="MW19" i="30"/>
  <c r="MW18" i="30" s="1"/>
  <c r="MW61" i="30" s="1"/>
  <c r="MV19" i="30"/>
  <c r="MV18" i="30" s="1"/>
  <c r="MV61" i="30" s="1"/>
  <c r="MU19" i="30"/>
  <c r="MU18" i="30" s="1"/>
  <c r="MU61" i="30" s="1"/>
  <c r="MT19" i="30"/>
  <c r="MT18" i="30" s="1"/>
  <c r="MT61" i="30" s="1"/>
  <c r="MS19" i="30"/>
  <c r="MS18" i="30" s="1"/>
  <c r="MS61" i="30" s="1"/>
  <c r="MR19" i="30"/>
  <c r="MR18" i="30" s="1"/>
  <c r="MR61" i="30" s="1"/>
  <c r="MQ19" i="30"/>
  <c r="MQ18" i="30" s="1"/>
  <c r="MQ61" i="30" s="1"/>
  <c r="MP19" i="30"/>
  <c r="MP18" i="30" s="1"/>
  <c r="MP61" i="30" s="1"/>
  <c r="MO19" i="30"/>
  <c r="MO18" i="30" s="1"/>
  <c r="MO61" i="30" s="1"/>
  <c r="MN19" i="30"/>
  <c r="MN18" i="30" s="1"/>
  <c r="MN61" i="30" s="1"/>
  <c r="MM19" i="30"/>
  <c r="MM18" i="30" s="1"/>
  <c r="MM61" i="30" s="1"/>
  <c r="ML19" i="30"/>
  <c r="ML18" i="30" s="1"/>
  <c r="ML61" i="30" s="1"/>
  <c r="MK19" i="30"/>
  <c r="MK18" i="30" s="1"/>
  <c r="MK61" i="30" s="1"/>
  <c r="MJ19" i="30"/>
  <c r="MJ18" i="30" s="1"/>
  <c r="MJ61" i="30" s="1"/>
  <c r="MI19" i="30"/>
  <c r="MI18" i="30" s="1"/>
  <c r="MI61" i="30" s="1"/>
  <c r="MH19" i="30"/>
  <c r="MH18" i="30" s="1"/>
  <c r="MH61" i="30" s="1"/>
  <c r="MG19" i="30"/>
  <c r="MG18" i="30" s="1"/>
  <c r="MG61" i="30" s="1"/>
  <c r="MF19" i="30"/>
  <c r="MF18" i="30" s="1"/>
  <c r="MF61" i="30" s="1"/>
  <c r="ME19" i="30"/>
  <c r="ME18" i="30" s="1"/>
  <c r="ME61" i="30" s="1"/>
  <c r="MD19" i="30"/>
  <c r="MD18" i="30" s="1"/>
  <c r="MD61" i="30" s="1"/>
  <c r="MC19" i="30"/>
  <c r="MC18" i="30" s="1"/>
  <c r="MC61" i="30" s="1"/>
  <c r="MB19" i="30"/>
  <c r="MB18" i="30" s="1"/>
  <c r="MB61" i="30" s="1"/>
  <c r="MA19" i="30"/>
  <c r="MA18" i="30" s="1"/>
  <c r="MA61" i="30" s="1"/>
  <c r="LZ19" i="30"/>
  <c r="LZ18" i="30" s="1"/>
  <c r="LZ61" i="30" s="1"/>
  <c r="LY19" i="30"/>
  <c r="LX19" i="30"/>
  <c r="LW19" i="30"/>
  <c r="LW18" i="30" s="1"/>
  <c r="LW61" i="30" s="1"/>
  <c r="LV19" i="30"/>
  <c r="LV18" i="30" s="1"/>
  <c r="LV61" i="30" s="1"/>
  <c r="LU19" i="30"/>
  <c r="LU18" i="30" s="1"/>
  <c r="LU61" i="30" s="1"/>
  <c r="LT19" i="30"/>
  <c r="LT18" i="30" s="1"/>
  <c r="LT61" i="30" s="1"/>
  <c r="LS19" i="30"/>
  <c r="LS18" i="30" s="1"/>
  <c r="LS61" i="30" s="1"/>
  <c r="LR19" i="30"/>
  <c r="LQ19" i="30"/>
  <c r="LP19" i="30"/>
  <c r="LO19" i="30"/>
  <c r="LO18" i="30" s="1"/>
  <c r="LO61" i="30" s="1"/>
  <c r="LN19" i="30"/>
  <c r="LN18" i="30" s="1"/>
  <c r="LN61" i="30" s="1"/>
  <c r="LM19" i="30"/>
  <c r="LM18" i="30" s="1"/>
  <c r="LM61" i="30" s="1"/>
  <c r="LL19" i="30"/>
  <c r="LK19" i="30"/>
  <c r="LJ19" i="30"/>
  <c r="LJ18" i="30" s="1"/>
  <c r="LJ61" i="30" s="1"/>
  <c r="LI19" i="30"/>
  <c r="LI18" i="30" s="1"/>
  <c r="LI61" i="30" s="1"/>
  <c r="LH19" i="30"/>
  <c r="LH18" i="30" s="1"/>
  <c r="LH61" i="30" s="1"/>
  <c r="LG19" i="30"/>
  <c r="LG18" i="30" s="1"/>
  <c r="LG61" i="30" s="1"/>
  <c r="LF19" i="30"/>
  <c r="LF18" i="30" s="1"/>
  <c r="LF61" i="30" s="1"/>
  <c r="LE19" i="30"/>
  <c r="LE18" i="30" s="1"/>
  <c r="LE61" i="30" s="1"/>
  <c r="LD19" i="30"/>
  <c r="LD18" i="30" s="1"/>
  <c r="LD61" i="30" s="1"/>
  <c r="LC19" i="30"/>
  <c r="LC18" i="30" s="1"/>
  <c r="LC61" i="30" s="1"/>
  <c r="LB19" i="30"/>
  <c r="LB18" i="30" s="1"/>
  <c r="LB61" i="30" s="1"/>
  <c r="LA19" i="30"/>
  <c r="LA18" i="30" s="1"/>
  <c r="LA61" i="30" s="1"/>
  <c r="KZ19" i="30"/>
  <c r="KZ18" i="30" s="1"/>
  <c r="KZ61" i="30" s="1"/>
  <c r="KY19" i="30"/>
  <c r="KY18" i="30" s="1"/>
  <c r="KY61" i="30" s="1"/>
  <c r="KX19" i="30"/>
  <c r="KX18" i="30" s="1"/>
  <c r="KX61" i="30" s="1"/>
  <c r="KW19" i="30"/>
  <c r="KW18" i="30" s="1"/>
  <c r="KW61" i="30" s="1"/>
  <c r="KV19" i="30"/>
  <c r="KV18" i="30" s="1"/>
  <c r="KV61" i="30" s="1"/>
  <c r="KU19" i="30"/>
  <c r="KU18" i="30" s="1"/>
  <c r="KU61" i="30" s="1"/>
  <c r="KT19" i="30"/>
  <c r="KT18" i="30" s="1"/>
  <c r="KT61" i="30" s="1"/>
  <c r="KS19" i="30"/>
  <c r="KS18" i="30" s="1"/>
  <c r="KS61" i="30" s="1"/>
  <c r="KR19" i="30"/>
  <c r="KR18" i="30" s="1"/>
  <c r="KR61" i="30" s="1"/>
  <c r="KQ19" i="30"/>
  <c r="KQ18" i="30" s="1"/>
  <c r="KQ61" i="30" s="1"/>
  <c r="KP19" i="30"/>
  <c r="KP18" i="30" s="1"/>
  <c r="KP61" i="30" s="1"/>
  <c r="KO19" i="30"/>
  <c r="KO18" i="30" s="1"/>
  <c r="KO61" i="30" s="1"/>
  <c r="KN19" i="30"/>
  <c r="KN18" i="30" s="1"/>
  <c r="KN61" i="30" s="1"/>
  <c r="KM19" i="30"/>
  <c r="KM18" i="30" s="1"/>
  <c r="KM61" i="30" s="1"/>
  <c r="KL19" i="30"/>
  <c r="KL18" i="30" s="1"/>
  <c r="KL61" i="30" s="1"/>
  <c r="KK19" i="30"/>
  <c r="KK18" i="30" s="1"/>
  <c r="KK61" i="30" s="1"/>
  <c r="KJ19" i="30"/>
  <c r="KJ18" i="30" s="1"/>
  <c r="KJ61" i="30" s="1"/>
  <c r="KI19" i="30"/>
  <c r="KI18" i="30" s="1"/>
  <c r="KI61" i="30" s="1"/>
  <c r="KH19" i="30"/>
  <c r="KH18" i="30" s="1"/>
  <c r="KH61" i="30" s="1"/>
  <c r="KG19" i="30"/>
  <c r="KG18" i="30" s="1"/>
  <c r="KG61" i="30" s="1"/>
  <c r="KF19" i="30"/>
  <c r="KF18" i="30" s="1"/>
  <c r="KF61" i="30" s="1"/>
  <c r="PS18" i="30"/>
  <c r="PS61" i="30" s="1"/>
  <c r="PR18" i="30"/>
  <c r="PR61" i="30" s="1"/>
  <c r="PQ18" i="30"/>
  <c r="PQ61" i="30" s="1"/>
  <c r="PP18" i="30"/>
  <c r="PP61" i="30" s="1"/>
  <c r="PO18" i="30"/>
  <c r="PO61" i="30" s="1"/>
  <c r="PM18" i="30"/>
  <c r="PM61" i="30" s="1"/>
  <c r="PL18" i="30"/>
  <c r="PL61" i="30" s="1"/>
  <c r="PK18" i="30"/>
  <c r="PK61" i="30" s="1"/>
  <c r="PJ18" i="30"/>
  <c r="PJ61" i="30" s="1"/>
  <c r="PI18" i="30"/>
  <c r="PI61" i="30" s="1"/>
  <c r="PH18" i="30"/>
  <c r="PH61" i="30" s="1"/>
  <c r="PG18" i="30"/>
  <c r="PG61" i="30" s="1"/>
  <c r="PF18" i="30"/>
  <c r="PF61" i="30" s="1"/>
  <c r="PE18" i="30"/>
  <c r="PE61" i="30" s="1"/>
  <c r="PD18" i="30"/>
  <c r="PD61" i="30" s="1"/>
  <c r="PC18" i="30"/>
  <c r="PC61" i="30" s="1"/>
  <c r="PB18" i="30"/>
  <c r="PB61" i="30" s="1"/>
  <c r="PA18" i="30"/>
  <c r="PA61" i="30" s="1"/>
  <c r="OZ18" i="30"/>
  <c r="OZ61" i="30" s="1"/>
  <c r="OY18" i="30"/>
  <c r="OY61" i="30" s="1"/>
  <c r="OX18" i="30"/>
  <c r="OX61" i="30" s="1"/>
  <c r="OW18" i="30"/>
  <c r="OW61" i="30" s="1"/>
  <c r="OV18" i="30"/>
  <c r="OV61" i="30" s="1"/>
  <c r="OU18" i="30"/>
  <c r="OU61" i="30" s="1"/>
  <c r="OT18" i="30"/>
  <c r="OT61" i="30" s="1"/>
  <c r="OS18" i="30"/>
  <c r="OS61" i="30" s="1"/>
  <c r="OR18" i="30"/>
  <c r="OR61" i="30" s="1"/>
  <c r="OQ18" i="30"/>
  <c r="OQ61" i="30" s="1"/>
  <c r="OP18" i="30"/>
  <c r="OP61" i="30" s="1"/>
  <c r="OO18" i="30"/>
  <c r="OO61" i="30" s="1"/>
  <c r="ON18" i="30"/>
  <c r="ON61" i="30" s="1"/>
  <c r="OM18" i="30"/>
  <c r="OM61" i="30" s="1"/>
  <c r="OL18" i="30"/>
  <c r="OL61" i="30" s="1"/>
  <c r="OK18" i="30"/>
  <c r="OK61" i="30" s="1"/>
  <c r="OJ18" i="30"/>
  <c r="OJ61" i="30" s="1"/>
  <c r="OI18" i="30"/>
  <c r="OI61" i="30" s="1"/>
  <c r="OH18" i="30"/>
  <c r="OH61" i="30" s="1"/>
  <c r="OG18" i="30"/>
  <c r="OG61" i="30" s="1"/>
  <c r="OF18" i="30"/>
  <c r="OF61" i="30" s="1"/>
  <c r="OE18" i="30"/>
  <c r="OE61" i="30" s="1"/>
  <c r="OD18" i="30"/>
  <c r="OD61" i="30" s="1"/>
  <c r="OC18" i="30"/>
  <c r="OC61" i="30" s="1"/>
  <c r="OB18" i="30"/>
  <c r="OB61" i="30" s="1"/>
  <c r="OA18" i="30"/>
  <c r="OA61" i="30" s="1"/>
  <c r="NZ18" i="30"/>
  <c r="NZ61" i="30" s="1"/>
  <c r="NY18" i="30"/>
  <c r="NY61" i="30" s="1"/>
  <c r="NX18" i="30"/>
  <c r="NX61" i="30" s="1"/>
  <c r="NW18" i="30"/>
  <c r="NW61" i="30" s="1"/>
  <c r="NV18" i="30"/>
  <c r="NV61" i="30" s="1"/>
  <c r="NI18" i="30"/>
  <c r="NI61" i="30" s="1"/>
  <c r="NB18" i="30"/>
  <c r="NB61" i="30" s="1"/>
  <c r="NA18" i="30"/>
  <c r="NA61" i="30" s="1"/>
  <c r="MZ18" i="30"/>
  <c r="MZ61" i="30" s="1"/>
  <c r="MX18" i="30"/>
  <c r="MX61" i="30" s="1"/>
  <c r="LY18" i="30"/>
  <c r="LY61" i="30" s="1"/>
  <c r="LX18" i="30"/>
  <c r="LX61" i="30" s="1"/>
  <c r="LR18" i="30"/>
  <c r="LR61" i="30" s="1"/>
  <c r="LQ18" i="30"/>
  <c r="LQ61" i="30" s="1"/>
  <c r="LP18" i="30"/>
  <c r="LP61" i="30" s="1"/>
  <c r="LL18" i="30"/>
  <c r="LL61" i="30" s="1"/>
  <c r="LK18" i="30"/>
  <c r="LK61" i="30" s="1"/>
  <c r="PS16" i="30"/>
  <c r="PR16" i="30"/>
  <c r="PQ16" i="30"/>
  <c r="PP16" i="30"/>
  <c r="PO16" i="30"/>
  <c r="PN16" i="30"/>
  <c r="PM16" i="30"/>
  <c r="PL16" i="30"/>
  <c r="PK16" i="30"/>
  <c r="PJ16" i="30"/>
  <c r="PI16" i="30"/>
  <c r="PH16" i="30"/>
  <c r="PG16" i="30"/>
  <c r="PF16" i="30"/>
  <c r="PE16" i="30"/>
  <c r="PD16" i="30"/>
  <c r="PC16" i="30"/>
  <c r="PB16" i="30"/>
  <c r="PA16" i="30"/>
  <c r="OZ16" i="30"/>
  <c r="OY16" i="30"/>
  <c r="OX16" i="30"/>
  <c r="OW16" i="30"/>
  <c r="OV16" i="30"/>
  <c r="OU16" i="30"/>
  <c r="OT16" i="30"/>
  <c r="OS16" i="30"/>
  <c r="OR16" i="30"/>
  <c r="OQ16" i="30"/>
  <c r="OP16" i="30"/>
  <c r="OO16" i="30"/>
  <c r="ON16" i="30"/>
  <c r="OM16" i="30"/>
  <c r="OL16" i="30"/>
  <c r="OK16" i="30"/>
  <c r="OJ16" i="30"/>
  <c r="OI16" i="30"/>
  <c r="OH16" i="30"/>
  <c r="OG16" i="30"/>
  <c r="OF16" i="30"/>
  <c r="OE16" i="30"/>
  <c r="OD16" i="30"/>
  <c r="OC16" i="30"/>
  <c r="OB16" i="30"/>
  <c r="OA16" i="30"/>
  <c r="NZ16" i="30"/>
  <c r="NY16" i="30"/>
  <c r="NX16" i="30"/>
  <c r="NW16" i="30"/>
  <c r="NV16" i="30"/>
  <c r="NU16" i="30"/>
  <c r="NU15" i="30" s="1"/>
  <c r="NT16" i="30"/>
  <c r="NS16" i="30"/>
  <c r="NR16" i="30"/>
  <c r="NQ16" i="30"/>
  <c r="NQ15" i="30" s="1"/>
  <c r="NP16" i="30"/>
  <c r="NP15" i="30" s="1"/>
  <c r="NO16" i="30"/>
  <c r="NO15" i="30" s="1"/>
  <c r="NN16" i="30"/>
  <c r="NN15" i="30" s="1"/>
  <c r="NM16" i="30"/>
  <c r="NM15" i="30" s="1"/>
  <c r="NL16" i="30"/>
  <c r="NL15" i="30" s="1"/>
  <c r="NK16" i="30"/>
  <c r="NK15" i="30" s="1"/>
  <c r="NJ16" i="30"/>
  <c r="NJ15" i="30" s="1"/>
  <c r="NI16" i="30"/>
  <c r="NI15" i="30" s="1"/>
  <c r="NH16" i="30"/>
  <c r="NH15" i="30" s="1"/>
  <c r="NG16" i="30"/>
  <c r="NG15" i="30" s="1"/>
  <c r="NF16" i="30"/>
  <c r="NF15" i="30" s="1"/>
  <c r="NE16" i="30"/>
  <c r="NE15" i="30" s="1"/>
  <c r="ND16" i="30"/>
  <c r="ND15" i="30" s="1"/>
  <c r="NC16" i="30"/>
  <c r="NC15" i="30" s="1"/>
  <c r="NB16" i="30"/>
  <c r="NB15" i="30" s="1"/>
  <c r="NA16" i="30"/>
  <c r="NA15" i="30" s="1"/>
  <c r="MZ16" i="30"/>
  <c r="MZ15" i="30" s="1"/>
  <c r="MY16" i="30"/>
  <c r="MY15" i="30" s="1"/>
  <c r="MX16" i="30"/>
  <c r="MX15" i="30" s="1"/>
  <c r="MW16" i="30"/>
  <c r="MW15" i="30" s="1"/>
  <c r="MV16" i="30"/>
  <c r="MV15" i="30" s="1"/>
  <c r="MU16" i="30"/>
  <c r="MU15" i="30" s="1"/>
  <c r="MT16" i="30"/>
  <c r="MT15" i="30" s="1"/>
  <c r="MS16" i="30"/>
  <c r="MS15" i="30" s="1"/>
  <c r="MR16" i="30"/>
  <c r="MR15" i="30" s="1"/>
  <c r="MQ16" i="30"/>
  <c r="MQ15" i="30" s="1"/>
  <c r="MP16" i="30"/>
  <c r="MP15" i="30" s="1"/>
  <c r="MO16" i="30"/>
  <c r="MO15" i="30" s="1"/>
  <c r="MN16" i="30"/>
  <c r="MN15" i="30" s="1"/>
  <c r="MM16" i="30"/>
  <c r="MM15" i="30" s="1"/>
  <c r="ML16" i="30"/>
  <c r="ML15" i="30" s="1"/>
  <c r="MK16" i="30"/>
  <c r="MK15" i="30" s="1"/>
  <c r="MJ16" i="30"/>
  <c r="MJ15" i="30" s="1"/>
  <c r="MI16" i="30"/>
  <c r="MI15" i="30" s="1"/>
  <c r="MH16" i="30"/>
  <c r="MH15" i="30" s="1"/>
  <c r="MG16" i="30"/>
  <c r="MF16" i="30"/>
  <c r="ME16" i="30"/>
  <c r="MD16" i="30"/>
  <c r="MD15" i="30" s="1"/>
  <c r="MC16" i="30"/>
  <c r="MC15" i="30" s="1"/>
  <c r="MB16" i="30"/>
  <c r="MB15" i="30" s="1"/>
  <c r="MA16" i="30"/>
  <c r="MA15" i="30" s="1"/>
  <c r="LZ16" i="30"/>
  <c r="LZ15" i="30" s="1"/>
  <c r="LY16" i="30"/>
  <c r="LY15" i="30" s="1"/>
  <c r="LX16" i="30"/>
  <c r="LX15" i="30" s="1"/>
  <c r="LW16" i="30"/>
  <c r="LW15" i="30" s="1"/>
  <c r="LV16" i="30"/>
  <c r="LV15" i="30" s="1"/>
  <c r="LU16" i="30"/>
  <c r="LU15" i="30" s="1"/>
  <c r="LT16" i="30"/>
  <c r="LT15" i="30" s="1"/>
  <c r="LS16" i="30"/>
  <c r="LS15" i="30" s="1"/>
  <c r="LR16" i="30"/>
  <c r="LR15" i="30" s="1"/>
  <c r="LQ16" i="30"/>
  <c r="LQ15" i="30" s="1"/>
  <c r="LP16" i="30"/>
  <c r="LP15" i="30" s="1"/>
  <c r="LO16" i="30"/>
  <c r="LO15" i="30" s="1"/>
  <c r="LN16" i="30"/>
  <c r="LN15" i="30" s="1"/>
  <c r="LM16" i="30"/>
  <c r="LM15" i="30" s="1"/>
  <c r="LL16" i="30"/>
  <c r="LL15" i="30" s="1"/>
  <c r="LK16" i="30"/>
  <c r="LK15" i="30" s="1"/>
  <c r="LJ16" i="30"/>
  <c r="LJ15" i="30" s="1"/>
  <c r="LI16" i="30"/>
  <c r="LI15" i="30" s="1"/>
  <c r="LH16" i="30"/>
  <c r="LH15" i="30" s="1"/>
  <c r="LG16" i="30"/>
  <c r="LG15" i="30" s="1"/>
  <c r="LF16" i="30"/>
  <c r="LE16" i="30"/>
  <c r="LE15" i="30" s="1"/>
  <c r="LD16" i="30"/>
  <c r="LD15" i="30" s="1"/>
  <c r="LC16" i="30"/>
  <c r="LC15" i="30" s="1"/>
  <c r="LB16" i="30"/>
  <c r="LB15" i="30" s="1"/>
  <c r="LA16" i="30"/>
  <c r="LA15" i="30" s="1"/>
  <c r="KZ16" i="30"/>
  <c r="KZ15" i="30" s="1"/>
  <c r="KY16" i="30"/>
  <c r="KY15" i="30" s="1"/>
  <c r="KX16" i="30"/>
  <c r="KW16" i="30"/>
  <c r="KW15" i="30" s="1"/>
  <c r="KV16" i="30"/>
  <c r="KV15" i="30" s="1"/>
  <c r="KU16" i="30"/>
  <c r="KU15" i="30" s="1"/>
  <c r="KT16" i="30"/>
  <c r="KT15" i="30" s="1"/>
  <c r="KS16" i="30"/>
  <c r="KS15" i="30" s="1"/>
  <c r="KR16" i="30"/>
  <c r="KR15" i="30" s="1"/>
  <c r="KQ16" i="30"/>
  <c r="KQ15" i="30" s="1"/>
  <c r="KP16" i="30"/>
  <c r="KP15" i="30" s="1"/>
  <c r="KO16" i="30"/>
  <c r="KO15" i="30" s="1"/>
  <c r="KN16" i="30"/>
  <c r="KN15" i="30" s="1"/>
  <c r="KM16" i="30"/>
  <c r="KM15" i="30" s="1"/>
  <c r="KL16" i="30"/>
  <c r="KL15" i="30" s="1"/>
  <c r="KK16" i="30"/>
  <c r="KK15" i="30" s="1"/>
  <c r="KJ16" i="30"/>
  <c r="KJ15" i="30" s="1"/>
  <c r="KI16" i="30"/>
  <c r="KI15" i="30" s="1"/>
  <c r="KH16" i="30"/>
  <c r="KG16" i="30"/>
  <c r="KG15" i="30" s="1"/>
  <c r="KF16" i="30"/>
  <c r="KF15" i="30" s="1"/>
  <c r="PS15" i="30"/>
  <c r="PR15" i="30"/>
  <c r="PQ15" i="30"/>
  <c r="PP15" i="30"/>
  <c r="PO15" i="30"/>
  <c r="PN15" i="30"/>
  <c r="PM15" i="30"/>
  <c r="PL15" i="30"/>
  <c r="PK15" i="30"/>
  <c r="PJ15" i="30"/>
  <c r="PI15" i="30"/>
  <c r="PH15" i="30"/>
  <c r="PG15" i="30"/>
  <c r="PF15" i="30"/>
  <c r="PE15" i="30"/>
  <c r="PD15" i="30"/>
  <c r="PC15" i="30"/>
  <c r="PB15" i="30"/>
  <c r="PA15" i="30"/>
  <c r="OZ15" i="30"/>
  <c r="OY15" i="30"/>
  <c r="OX15" i="30"/>
  <c r="OW15" i="30"/>
  <c r="OV15" i="30"/>
  <c r="OU15" i="30"/>
  <c r="OT15" i="30"/>
  <c r="OS15" i="30"/>
  <c r="OR15" i="30"/>
  <c r="OQ15" i="30"/>
  <c r="OP15" i="30"/>
  <c r="OO15" i="30"/>
  <c r="ON15" i="30"/>
  <c r="OM15" i="30"/>
  <c r="OL15" i="30"/>
  <c r="OK15" i="30"/>
  <c r="OJ15" i="30"/>
  <c r="OI15" i="30"/>
  <c r="OH15" i="30"/>
  <c r="OG15" i="30"/>
  <c r="OF15" i="30"/>
  <c r="OE15" i="30"/>
  <c r="OD15" i="30"/>
  <c r="OC15" i="30"/>
  <c r="OB15" i="30"/>
  <c r="OA15" i="30"/>
  <c r="NZ15" i="30"/>
  <c r="NY15" i="30"/>
  <c r="NX15" i="30"/>
  <c r="NW15" i="30"/>
  <c r="NV15" i="30"/>
  <c r="NT15" i="30"/>
  <c r="NS15" i="30"/>
  <c r="NR15" i="30"/>
  <c r="MG15" i="30"/>
  <c r="MF15" i="30"/>
  <c r="ME15" i="30"/>
  <c r="LF15" i="30"/>
  <c r="KX15" i="30"/>
  <c r="KH15" i="30"/>
  <c r="C2" i="30"/>
  <c r="G44" i="38"/>
  <c r="H44" i="38"/>
  <c r="I44" i="38" s="1"/>
  <c r="G45" i="38"/>
  <c r="H45" i="38"/>
  <c r="I45" i="38" s="1"/>
  <c r="G46" i="38"/>
  <c r="H46" i="38"/>
  <c r="I46" i="38" s="1"/>
  <c r="AAE58" i="30" l="1"/>
  <c r="AAF58" i="30"/>
  <c r="RO65" i="30"/>
  <c r="TO56" i="30"/>
  <c r="RB58" i="30"/>
  <c r="AAR57" i="30"/>
  <c r="SL58" i="30"/>
  <c r="XL58" i="30"/>
  <c r="AHA57" i="30"/>
  <c r="VB57" i="30"/>
  <c r="AET63" i="30"/>
  <c r="ADT56" i="30"/>
  <c r="ACK64" i="30"/>
  <c r="RZ58" i="30"/>
  <c r="ABF57" i="30"/>
  <c r="ACJ65" i="30"/>
  <c r="SE58" i="30"/>
  <c r="RY63" i="30"/>
  <c r="ABY57" i="30"/>
  <c r="AEN65" i="30"/>
  <c r="AGS57" i="30"/>
  <c r="QJ57" i="30"/>
  <c r="UD64" i="30"/>
  <c r="TL58" i="30"/>
  <c r="VM64" i="30"/>
  <c r="ABX58" i="30"/>
  <c r="AIK57" i="30"/>
  <c r="TO58" i="30"/>
  <c r="QU65" i="30"/>
  <c r="VM56" i="30"/>
  <c r="XW65" i="30"/>
  <c r="ABZ58" i="30"/>
  <c r="UL58" i="30"/>
  <c r="RM65" i="30"/>
  <c r="YI56" i="30"/>
  <c r="XX65" i="30"/>
  <c r="ACM58" i="30"/>
  <c r="ZU57" i="30"/>
  <c r="RX56" i="30"/>
  <c r="AAG57" i="30"/>
  <c r="RM59" i="30"/>
  <c r="RA59" i="30"/>
  <c r="WO66" i="30"/>
  <c r="WO59" i="30"/>
  <c r="AEF59" i="30"/>
  <c r="AEF66" i="30"/>
  <c r="WN66" i="30"/>
  <c r="WN59" i="30"/>
  <c r="WN55" i="30" s="1"/>
  <c r="SC66" i="30"/>
  <c r="AAV59" i="30"/>
  <c r="AAV55" i="30" s="1"/>
  <c r="AIV59" i="30"/>
  <c r="UY66" i="30"/>
  <c r="UY62" i="30" s="1"/>
  <c r="AAZ59" i="30"/>
  <c r="AEG66" i="30"/>
  <c r="AIW59" i="30"/>
  <c r="ACK59" i="30"/>
  <c r="AFF66" i="30"/>
  <c r="AJI59" i="30"/>
  <c r="AAE59" i="30"/>
  <c r="AFS59" i="30"/>
  <c r="AFG66" i="30"/>
  <c r="AGB66" i="30"/>
  <c r="AKP59" i="30"/>
  <c r="ALE59" i="30"/>
  <c r="ALQ59" i="30"/>
  <c r="AGM59" i="30"/>
  <c r="AGO66" i="30"/>
  <c r="AGN59" i="30"/>
  <c r="AHY66" i="30"/>
  <c r="ACS59" i="30"/>
  <c r="ADJ59" i="30"/>
  <c r="ADK59" i="30"/>
  <c r="AEA59" i="30"/>
  <c r="ABT66" i="30"/>
  <c r="AEB59" i="30"/>
  <c r="ADV66" i="30"/>
  <c r="AGI59" i="30"/>
  <c r="AEN66" i="30"/>
  <c r="AEO66" i="30"/>
  <c r="XW59" i="30"/>
  <c r="YV59" i="30"/>
  <c r="YW59" i="30"/>
  <c r="ZH59" i="30"/>
  <c r="WM66" i="30"/>
  <c r="VZ59" i="30"/>
  <c r="AAF59" i="30"/>
  <c r="WB59" i="30"/>
  <c r="AAQ59" i="30"/>
  <c r="XX66" i="30"/>
  <c r="WC59" i="30"/>
  <c r="AAR59" i="30"/>
  <c r="YI66" i="30"/>
  <c r="YU59" i="30"/>
  <c r="AAS59" i="30"/>
  <c r="ZT66" i="30"/>
  <c r="UH59" i="30"/>
  <c r="VF59" i="30"/>
  <c r="QQ66" i="30"/>
  <c r="RN59" i="30"/>
  <c r="RC66" i="30"/>
  <c r="SD66" i="30"/>
  <c r="QR59" i="30"/>
  <c r="UU66" i="30"/>
  <c r="SX59" i="30"/>
  <c r="AGO65" i="30"/>
  <c r="AGO58" i="30"/>
  <c r="AHM65" i="30"/>
  <c r="AHM58" i="30"/>
  <c r="ALQ65" i="30"/>
  <c r="ALQ58" i="30"/>
  <c r="AGS58" i="30"/>
  <c r="AHL58" i="30"/>
  <c r="AGI58" i="30"/>
  <c r="ADH58" i="30"/>
  <c r="ADT58" i="30"/>
  <c r="AFP58" i="30"/>
  <c r="AEO65" i="30"/>
  <c r="AFR58" i="30"/>
  <c r="YU58" i="30"/>
  <c r="YV58" i="30"/>
  <c r="AAD58" i="30"/>
  <c r="WM65" i="30"/>
  <c r="AAQ58" i="30"/>
  <c r="YH65" i="30"/>
  <c r="ZS65" i="30"/>
  <c r="US58" i="30"/>
  <c r="UI65" i="30"/>
  <c r="TE65" i="30"/>
  <c r="UG58" i="30"/>
  <c r="TI65" i="30"/>
  <c r="TF62" i="30"/>
  <c r="QK58" i="30"/>
  <c r="SS58" i="30"/>
  <c r="QP58" i="30"/>
  <c r="PY65" i="30"/>
  <c r="PY58" i="30"/>
  <c r="XO65" i="30"/>
  <c r="XO58" i="30"/>
  <c r="SP58" i="30"/>
  <c r="SP65" i="30"/>
  <c r="TN65" i="30"/>
  <c r="TN58" i="30"/>
  <c r="TQ65" i="30"/>
  <c r="QT58" i="30"/>
  <c r="UC58" i="30"/>
  <c r="RU59" i="30"/>
  <c r="UZ66" i="30"/>
  <c r="UZ62" i="30" s="1"/>
  <c r="AIR65" i="30"/>
  <c r="AIR58" i="30"/>
  <c r="RG65" i="30"/>
  <c r="RG58" i="30"/>
  <c r="PW59" i="30"/>
  <c r="PW66" i="30"/>
  <c r="QI59" i="30"/>
  <c r="QI66" i="30"/>
  <c r="QZ58" i="30"/>
  <c r="VA66" i="30"/>
  <c r="AFX58" i="30"/>
  <c r="AFX65" i="30"/>
  <c r="QU57" i="30"/>
  <c r="QB66" i="30"/>
  <c r="QB59" i="30"/>
  <c r="UR59" i="30"/>
  <c r="UR66" i="30"/>
  <c r="SR57" i="30"/>
  <c r="SG58" i="30"/>
  <c r="QN59" i="30"/>
  <c r="AIK65" i="30"/>
  <c r="AIK58" i="30"/>
  <c r="AJZ65" i="30"/>
  <c r="AJZ58" i="30"/>
  <c r="UB58" i="30"/>
  <c r="UB65" i="30"/>
  <c r="UN65" i="30"/>
  <c r="UN58" i="30"/>
  <c r="RH66" i="30"/>
  <c r="RH59" i="30"/>
  <c r="SR66" i="30"/>
  <c r="SR59" i="30"/>
  <c r="AGZ64" i="30"/>
  <c r="AGZ62" i="30" s="1"/>
  <c r="AGZ57" i="30"/>
  <c r="AHL57" i="30"/>
  <c r="AHL64" i="30"/>
  <c r="AIV64" i="30"/>
  <c r="AIV57" i="30"/>
  <c r="AJI57" i="30"/>
  <c r="AJI64" i="30"/>
  <c r="AKG64" i="30"/>
  <c r="AKG57" i="30"/>
  <c r="PY66" i="30"/>
  <c r="PY59" i="30"/>
  <c r="QK66" i="30"/>
  <c r="QK59" i="30"/>
  <c r="SG59" i="30"/>
  <c r="SG66" i="30"/>
  <c r="TQ59" i="30"/>
  <c r="TQ66" i="30"/>
  <c r="TE59" i="30"/>
  <c r="TE55" i="30" s="1"/>
  <c r="WQ58" i="30"/>
  <c r="AJI65" i="30"/>
  <c r="AJI58" i="30"/>
  <c r="QO65" i="30"/>
  <c r="QO58" i="30"/>
  <c r="RA65" i="30"/>
  <c r="RA58" i="30"/>
  <c r="SK65" i="30"/>
  <c r="SK58" i="30"/>
  <c r="QC66" i="30"/>
  <c r="QC59" i="30"/>
  <c r="QC55" i="30" s="1"/>
  <c r="RY66" i="30"/>
  <c r="RY59" i="30"/>
  <c r="TI59" i="30"/>
  <c r="TI66" i="30"/>
  <c r="UG66" i="30"/>
  <c r="UG62" i="30" s="1"/>
  <c r="UG59" i="30"/>
  <c r="VE66" i="30"/>
  <c r="VE62" i="30" s="1"/>
  <c r="VE59" i="30"/>
  <c r="UZ57" i="30"/>
  <c r="QO59" i="30"/>
  <c r="UO59" i="30"/>
  <c r="RI66" i="30"/>
  <c r="YD59" i="30"/>
  <c r="ACM64" i="30"/>
  <c r="ACM57" i="30"/>
  <c r="ADK64" i="30"/>
  <c r="ADK57" i="30"/>
  <c r="AGE64" i="30"/>
  <c r="AGE57" i="30"/>
  <c r="ABB65" i="30"/>
  <c r="ABB58" i="30"/>
  <c r="ABN65" i="30"/>
  <c r="ABN58" i="30"/>
  <c r="ACX65" i="30"/>
  <c r="ACX58" i="30"/>
  <c r="ADV65" i="30"/>
  <c r="ADV58" i="30"/>
  <c r="AET65" i="30"/>
  <c r="AET58" i="30"/>
  <c r="AFF65" i="30"/>
  <c r="AFF58" i="30"/>
  <c r="AFF55" i="30" s="1"/>
  <c r="ADJ58" i="30"/>
  <c r="ADP65" i="30"/>
  <c r="AGU65" i="30"/>
  <c r="AGU58" i="30"/>
  <c r="AJC59" i="30"/>
  <c r="AJC66" i="30"/>
  <c r="AKY66" i="30"/>
  <c r="AKY59" i="30"/>
  <c r="AJQ65" i="30"/>
  <c r="AJQ58" i="30"/>
  <c r="ALM65" i="30"/>
  <c r="ALM58" i="30"/>
  <c r="AGK59" i="30"/>
  <c r="AGK66" i="30"/>
  <c r="AHU66" i="30"/>
  <c r="AHU59" i="30"/>
  <c r="AJE66" i="30"/>
  <c r="AJE59" i="30"/>
  <c r="AKO59" i="30"/>
  <c r="AKO66" i="30"/>
  <c r="RH58" i="30"/>
  <c r="RH65" i="30"/>
  <c r="TD59" i="30"/>
  <c r="ZG57" i="30"/>
  <c r="ZG64" i="30"/>
  <c r="UO65" i="30"/>
  <c r="UO58" i="30"/>
  <c r="SS66" i="30"/>
  <c r="SS62" i="30" s="1"/>
  <c r="SS59" i="30"/>
  <c r="UZ58" i="30"/>
  <c r="UB59" i="30"/>
  <c r="QV65" i="30"/>
  <c r="QV66" i="30"/>
  <c r="SF58" i="30"/>
  <c r="VA58" i="30"/>
  <c r="UC59" i="30"/>
  <c r="RI65" i="30"/>
  <c r="QW66" i="30"/>
  <c r="AJY65" i="30"/>
  <c r="AJY58" i="30"/>
  <c r="QL57" i="30"/>
  <c r="QL64" i="30"/>
  <c r="RW57" i="30"/>
  <c r="RW64" i="30"/>
  <c r="UF64" i="30"/>
  <c r="UF57" i="30"/>
  <c r="SR58" i="30"/>
  <c r="TD65" i="30"/>
  <c r="TD62" i="30" s="1"/>
  <c r="YW63" i="30"/>
  <c r="YW56" i="30"/>
  <c r="AAH63" i="30"/>
  <c r="AAH56" i="30"/>
  <c r="XY65" i="30"/>
  <c r="XY62" i="30" s="1"/>
  <c r="XY58" i="30"/>
  <c r="YW65" i="30"/>
  <c r="YW58" i="30"/>
  <c r="AAG65" i="30"/>
  <c r="AAG62" i="30" s="1"/>
  <c r="AAG58" i="30"/>
  <c r="AAS65" i="30"/>
  <c r="AAS58" i="30"/>
  <c r="YE59" i="30"/>
  <c r="ABC58" i="30"/>
  <c r="ABC65" i="30"/>
  <c r="AEI65" i="30"/>
  <c r="AEI58" i="30"/>
  <c r="AEU65" i="30"/>
  <c r="AEU58" i="30"/>
  <c r="AFS58" i="30"/>
  <c r="AFS65" i="30"/>
  <c r="AHH65" i="30"/>
  <c r="AHH58" i="30"/>
  <c r="ALL65" i="30"/>
  <c r="ALL62" i="30" s="1"/>
  <c r="ALL58" i="30"/>
  <c r="AGJ59" i="30"/>
  <c r="AGJ66" i="30"/>
  <c r="AGJ62" i="30" s="1"/>
  <c r="AIR66" i="30"/>
  <c r="AIR62" i="30" s="1"/>
  <c r="AIR59" i="30"/>
  <c r="AKZ66" i="30"/>
  <c r="AKZ62" i="30" s="1"/>
  <c r="AKZ59" i="30"/>
  <c r="ACP58" i="30"/>
  <c r="AGL58" i="30"/>
  <c r="AGL65" i="30"/>
  <c r="AJR65" i="30"/>
  <c r="AJR58" i="30"/>
  <c r="AGL59" i="30"/>
  <c r="AGL66" i="30"/>
  <c r="AGX66" i="30"/>
  <c r="AGX59" i="30"/>
  <c r="PW57" i="30"/>
  <c r="VX59" i="30"/>
  <c r="AEL65" i="30"/>
  <c r="AEL58" i="30"/>
  <c r="AKS64" i="30"/>
  <c r="AKS57" i="30"/>
  <c r="ALE58" i="30"/>
  <c r="AJF59" i="30"/>
  <c r="TR57" i="30"/>
  <c r="YH66" i="30"/>
  <c r="ACJ66" i="30"/>
  <c r="ACJ59" i="30"/>
  <c r="ACV59" i="30"/>
  <c r="ACV66" i="30"/>
  <c r="AIY59" i="30"/>
  <c r="AIY66" i="30"/>
  <c r="AGT58" i="30"/>
  <c r="UU58" i="30"/>
  <c r="UU65" i="30"/>
  <c r="SM65" i="30"/>
  <c r="XV65" i="30"/>
  <c r="XV62" i="30" s="1"/>
  <c r="XV58" i="30"/>
  <c r="AAP65" i="30"/>
  <c r="AAP58" i="30"/>
  <c r="AAP66" i="30"/>
  <c r="AAP59" i="30"/>
  <c r="ZF58" i="30"/>
  <c r="WL65" i="30"/>
  <c r="ACW59" i="30"/>
  <c r="ACW66" i="30"/>
  <c r="ACW62" i="30" s="1"/>
  <c r="ADW59" i="30"/>
  <c r="AKY64" i="30"/>
  <c r="VL57" i="30"/>
  <c r="VL64" i="30"/>
  <c r="ZG63" i="30"/>
  <c r="ZG56" i="30"/>
  <c r="TM58" i="30"/>
  <c r="TU63" i="30"/>
  <c r="UD66" i="30"/>
  <c r="ZT57" i="30"/>
  <c r="ZH58" i="30"/>
  <c r="AFR66" i="30"/>
  <c r="AFR59" i="30"/>
  <c r="ABB66" i="30"/>
  <c r="ABB59" i="30"/>
  <c r="AKK66" i="30"/>
  <c r="AKK59" i="30"/>
  <c r="ACI66" i="30"/>
  <c r="ACI59" i="30"/>
  <c r="ACU59" i="30"/>
  <c r="ACU66" i="30"/>
  <c r="ACU62" i="30" s="1"/>
  <c r="AEQ66" i="30"/>
  <c r="AEQ59" i="30"/>
  <c r="SO58" i="30"/>
  <c r="SO65" i="30"/>
  <c r="QS66" i="30"/>
  <c r="QS59" i="30"/>
  <c r="UP57" i="30"/>
  <c r="SY65" i="30"/>
  <c r="YJ58" i="30"/>
  <c r="YJ65" i="30"/>
  <c r="ZT58" i="30"/>
  <c r="ZT65" i="30"/>
  <c r="AAR65" i="30"/>
  <c r="AAR62" i="30" s="1"/>
  <c r="AAR58" i="30"/>
  <c r="WN65" i="30"/>
  <c r="ABA58" i="30"/>
  <c r="ABA65" i="30"/>
  <c r="ABC66" i="30"/>
  <c r="ABC59" i="30"/>
  <c r="AJB59" i="30"/>
  <c r="AJB66" i="30"/>
  <c r="AKL66" i="30"/>
  <c r="AKL59" i="30"/>
  <c r="AIH59" i="30"/>
  <c r="XM59" i="30"/>
  <c r="AAG59" i="30"/>
  <c r="AAZ58" i="30"/>
  <c r="AEP59" i="30"/>
  <c r="ACT66" i="30"/>
  <c r="ACT62" i="30" s="1"/>
  <c r="AKG59" i="30"/>
  <c r="AEE58" i="30"/>
  <c r="AJU66" i="30"/>
  <c r="ABL58" i="30"/>
  <c r="AFN59" i="30"/>
  <c r="AHA59" i="30"/>
  <c r="XY59" i="30"/>
  <c r="AGN58" i="30"/>
  <c r="AHM59" i="30"/>
  <c r="QE58" i="30"/>
  <c r="QE65" i="30"/>
  <c r="QB65" i="30"/>
  <c r="QB58" i="30"/>
  <c r="QD58" i="30"/>
  <c r="PW65" i="30"/>
  <c r="PX65" i="30"/>
  <c r="AHK58" i="30"/>
  <c r="AHK65" i="30"/>
  <c r="AKQ65" i="30"/>
  <c r="AKQ58" i="30"/>
  <c r="ALC65" i="30"/>
  <c r="ALC58" i="30"/>
  <c r="RV58" i="30"/>
  <c r="RV65" i="30"/>
  <c r="UD65" i="30"/>
  <c r="UD58" i="30"/>
  <c r="UD55" i="30" s="1"/>
  <c r="QX66" i="30"/>
  <c r="QX59" i="30"/>
  <c r="SH59" i="30"/>
  <c r="SH66" i="30"/>
  <c r="VB66" i="30"/>
  <c r="VB59" i="30"/>
  <c r="AGM58" i="30"/>
  <c r="AGM65" i="30"/>
  <c r="AHW58" i="30"/>
  <c r="AHW65" i="30"/>
  <c r="AJG66" i="30"/>
  <c r="AJG62" i="30" s="1"/>
  <c r="AJG59" i="30"/>
  <c r="SU65" i="30"/>
  <c r="SU58" i="30"/>
  <c r="QY66" i="30"/>
  <c r="QY59" i="30"/>
  <c r="PZ58" i="30"/>
  <c r="VT65" i="30"/>
  <c r="VT58" i="30"/>
  <c r="QA58" i="30"/>
  <c r="TG58" i="30"/>
  <c r="WF58" i="30"/>
  <c r="XF66" i="30"/>
  <c r="XF59" i="30"/>
  <c r="WR65" i="30"/>
  <c r="AEE57" i="30"/>
  <c r="AEE64" i="30"/>
  <c r="ABA66" i="30"/>
  <c r="ABA59" i="30"/>
  <c r="ACE66" i="30"/>
  <c r="ACE62" i="30" s="1"/>
  <c r="ACE59" i="30"/>
  <c r="YV64" i="30"/>
  <c r="YV62" i="30" s="1"/>
  <c r="YV57" i="30"/>
  <c r="VL58" i="30"/>
  <c r="VL65" i="30"/>
  <c r="WU58" i="30"/>
  <c r="RT64" i="30"/>
  <c r="RT57" i="30"/>
  <c r="UC57" i="30"/>
  <c r="UC64" i="30"/>
  <c r="VA64" i="30"/>
  <c r="VA57" i="30"/>
  <c r="QH58" i="30"/>
  <c r="QH65" i="30"/>
  <c r="QT66" i="30"/>
  <c r="QT59" i="30"/>
  <c r="TN66" i="30"/>
  <c r="TN59" i="30"/>
  <c r="SH58" i="30"/>
  <c r="TP58" i="30"/>
  <c r="PZ59" i="30"/>
  <c r="RP59" i="30"/>
  <c r="TF59" i="30"/>
  <c r="ZI57" i="30"/>
  <c r="WW58" i="30"/>
  <c r="YB65" i="30"/>
  <c r="ADU63" i="30"/>
  <c r="ADU56" i="30"/>
  <c r="ABZ64" i="30"/>
  <c r="ABZ57" i="30"/>
  <c r="AET64" i="30"/>
  <c r="AET57" i="30"/>
  <c r="AFF64" i="30"/>
  <c r="AFF57" i="30"/>
  <c r="ABM65" i="30"/>
  <c r="ABM58" i="30"/>
  <c r="ABY65" i="30"/>
  <c r="ABY58" i="30"/>
  <c r="ACK58" i="30"/>
  <c r="ACK65" i="30"/>
  <c r="ADI65" i="30"/>
  <c r="ADI58" i="30"/>
  <c r="ADU65" i="30"/>
  <c r="ADU58" i="30"/>
  <c r="AEG58" i="30"/>
  <c r="AEG65" i="30"/>
  <c r="AEG62" i="30" s="1"/>
  <c r="AFQ65" i="30"/>
  <c r="AFQ58" i="30"/>
  <c r="AAX58" i="30"/>
  <c r="AFE58" i="30"/>
  <c r="AFA59" i="30"/>
  <c r="ACA65" i="30"/>
  <c r="AHI58" i="30"/>
  <c r="AHI65" i="30"/>
  <c r="AKB65" i="30"/>
  <c r="AKB58" i="30"/>
  <c r="AKP65" i="30"/>
  <c r="AKP58" i="30"/>
  <c r="AGF65" i="30"/>
  <c r="AGF58" i="30"/>
  <c r="AGV58" i="30"/>
  <c r="AGV65" i="30"/>
  <c r="QL65" i="30"/>
  <c r="QL58" i="30"/>
  <c r="RJ58" i="30"/>
  <c r="RJ65" i="30"/>
  <c r="QL59" i="30"/>
  <c r="QL66" i="30"/>
  <c r="RV59" i="30"/>
  <c r="RV66" i="30"/>
  <c r="UP66" i="30"/>
  <c r="UP59" i="30"/>
  <c r="AGY66" i="30"/>
  <c r="AGY59" i="30"/>
  <c r="AIU66" i="30"/>
  <c r="AIU59" i="30"/>
  <c r="AIU55" i="30" s="1"/>
  <c r="AJS66" i="30"/>
  <c r="AJS62" i="30" s="1"/>
  <c r="AJS59" i="30"/>
  <c r="AKQ59" i="30"/>
  <c r="AKQ66" i="30"/>
  <c r="ALC59" i="30"/>
  <c r="ALC66" i="30"/>
  <c r="ALO66" i="30"/>
  <c r="ALO59" i="30"/>
  <c r="RK66" i="30"/>
  <c r="RK59" i="30"/>
  <c r="AIQ63" i="30"/>
  <c r="AIQ56" i="30"/>
  <c r="ALA57" i="30"/>
  <c r="ALA64" i="30"/>
  <c r="AHO65" i="30"/>
  <c r="AHO58" i="30"/>
  <c r="AHP65" i="30"/>
  <c r="AHP58" i="30"/>
  <c r="SU59" i="30"/>
  <c r="VK58" i="30"/>
  <c r="VK65" i="30"/>
  <c r="YB66" i="30"/>
  <c r="ACI64" i="30"/>
  <c r="ACI57" i="30"/>
  <c r="ADG64" i="30"/>
  <c r="ADG57" i="30"/>
  <c r="AEQ57" i="30"/>
  <c r="AEQ64" i="30"/>
  <c r="ADO66" i="30"/>
  <c r="ADO62" i="30" s="1"/>
  <c r="ADO59" i="30"/>
  <c r="AEY66" i="30"/>
  <c r="AEY62" i="30" s="1"/>
  <c r="AEY59" i="30"/>
  <c r="ABG59" i="30"/>
  <c r="YJ64" i="30"/>
  <c r="YJ57" i="30"/>
  <c r="YJ55" i="30" s="1"/>
  <c r="XH66" i="30"/>
  <c r="XH62" i="30" s="1"/>
  <c r="XH59" i="30"/>
  <c r="ABK65" i="30"/>
  <c r="ABK58" i="30"/>
  <c r="TP57" i="30"/>
  <c r="TP64" i="30"/>
  <c r="RQ65" i="30"/>
  <c r="RQ58" i="30"/>
  <c r="ST65" i="30"/>
  <c r="VM58" i="30"/>
  <c r="VM55" i="30" s="1"/>
  <c r="VM65" i="30"/>
  <c r="XI66" i="30"/>
  <c r="XI59" i="30"/>
  <c r="WV58" i="30"/>
  <c r="ABU66" i="30"/>
  <c r="ABU59" i="30"/>
  <c r="ADQ59" i="30"/>
  <c r="ADQ55" i="30" s="1"/>
  <c r="ADQ66" i="30"/>
  <c r="AEC66" i="30"/>
  <c r="AEC59" i="30"/>
  <c r="AFY59" i="30"/>
  <c r="AFY66" i="30"/>
  <c r="ABI66" i="30"/>
  <c r="ABI59" i="30"/>
  <c r="ACU58" i="30"/>
  <c r="ACF59" i="30"/>
  <c r="ACF55" i="30" s="1"/>
  <c r="ACG66" i="30"/>
  <c r="AII59" i="30"/>
  <c r="UG57" i="30"/>
  <c r="TR58" i="30"/>
  <c r="RQ59" i="30"/>
  <c r="TL66" i="30"/>
  <c r="ZR57" i="30"/>
  <c r="ADV63" i="30"/>
  <c r="ADV56" i="30"/>
  <c r="AAY58" i="30"/>
  <c r="ACY58" i="30"/>
  <c r="ACI65" i="30"/>
  <c r="AHJ58" i="30"/>
  <c r="AHJ65" i="30"/>
  <c r="AKC58" i="30"/>
  <c r="AKC65" i="30"/>
  <c r="AJD58" i="30"/>
  <c r="AJD65" i="30"/>
  <c r="VB65" i="30"/>
  <c r="VB58" i="30"/>
  <c r="RJ59" i="30"/>
  <c r="RJ66" i="30"/>
  <c r="AGW58" i="30"/>
  <c r="AGW65" i="30"/>
  <c r="AKE65" i="30"/>
  <c r="AKE62" i="30" s="1"/>
  <c r="AKE58" i="30"/>
  <c r="ALO65" i="30"/>
  <c r="ALO58" i="30"/>
  <c r="RW63" i="30"/>
  <c r="RW56" i="30"/>
  <c r="UE65" i="30"/>
  <c r="UE58" i="30"/>
  <c r="TS56" i="30"/>
  <c r="TU64" i="30"/>
  <c r="TF58" i="30"/>
  <c r="UE59" i="30"/>
  <c r="WR55" i="30"/>
  <c r="UP58" i="30"/>
  <c r="ST59" i="30"/>
  <c r="AGK58" i="30"/>
  <c r="AGK65" i="30"/>
  <c r="VJ58" i="30"/>
  <c r="VJ65" i="30"/>
  <c r="VJ62" i="30" s="1"/>
  <c r="AAY59" i="30"/>
  <c r="AAY66" i="30"/>
  <c r="AAY62" i="30" s="1"/>
  <c r="YI64" i="30"/>
  <c r="YI57" i="30"/>
  <c r="YI55" i="30" s="1"/>
  <c r="XG66" i="30"/>
  <c r="XG62" i="30" s="1"/>
  <c r="XG59" i="30"/>
  <c r="WT58" i="30"/>
  <c r="ABV58" i="30"/>
  <c r="ABV65" i="30"/>
  <c r="AEP65" i="30"/>
  <c r="AEP58" i="30"/>
  <c r="ABS66" i="30"/>
  <c r="ABS62" i="30" s="1"/>
  <c r="ABS59" i="30"/>
  <c r="AEM66" i="30"/>
  <c r="AEM62" i="30" s="1"/>
  <c r="AEM59" i="30"/>
  <c r="QR65" i="30"/>
  <c r="QR58" i="30"/>
  <c r="RP65" i="30"/>
  <c r="RP58" i="30"/>
  <c r="XW64" i="30"/>
  <c r="XW57" i="30"/>
  <c r="ABW62" i="30"/>
  <c r="AER64" i="30"/>
  <c r="AER57" i="30"/>
  <c r="ADG58" i="30"/>
  <c r="ADG65" i="30"/>
  <c r="AEQ65" i="30"/>
  <c r="AEQ58" i="30"/>
  <c r="AGA58" i="30"/>
  <c r="AGA65" i="30"/>
  <c r="AGA62" i="30" s="1"/>
  <c r="ACR59" i="30"/>
  <c r="ACR55" i="30" s="1"/>
  <c r="ACR66" i="30"/>
  <c r="ADP66" i="30"/>
  <c r="ADP59" i="30"/>
  <c r="AEZ66" i="30"/>
  <c r="AEZ62" i="30" s="1"/>
  <c r="AEZ59" i="30"/>
  <c r="AFL66" i="30"/>
  <c r="AFL59" i="30"/>
  <c r="AFL55" i="30" s="1"/>
  <c r="AFX59" i="30"/>
  <c r="AFX66" i="30"/>
  <c r="ACT58" i="30"/>
  <c r="ABH59" i="30"/>
  <c r="QT64" i="30"/>
  <c r="QT57" i="30"/>
  <c r="UB57" i="30"/>
  <c r="UB64" i="30"/>
  <c r="PU66" i="30"/>
  <c r="PU59" i="30"/>
  <c r="TM66" i="30"/>
  <c r="TM59" i="30"/>
  <c r="XX64" i="30"/>
  <c r="XX57" i="30"/>
  <c r="XX55" i="30" s="1"/>
  <c r="YK64" i="30"/>
  <c r="YK62" i="30" s="1"/>
  <c r="YK57" i="30"/>
  <c r="AAS64" i="30"/>
  <c r="AAS57" i="30"/>
  <c r="VY66" i="30"/>
  <c r="VY59" i="30"/>
  <c r="ZH57" i="30"/>
  <c r="AFM66" i="30"/>
  <c r="AFM59" i="30"/>
  <c r="AFM55" i="30" s="1"/>
  <c r="AFC58" i="30"/>
  <c r="AKA65" i="30"/>
  <c r="AKA58" i="30"/>
  <c r="AKO65" i="30"/>
  <c r="AKO58" i="30"/>
  <c r="TG57" i="30"/>
  <c r="TG64" i="30"/>
  <c r="UE64" i="30"/>
  <c r="UE57" i="30"/>
  <c r="QJ58" i="30"/>
  <c r="QJ65" i="30"/>
  <c r="RT65" i="30"/>
  <c r="RT58" i="30"/>
  <c r="PX59" i="30"/>
  <c r="PX55" i="30" s="1"/>
  <c r="PX66" i="30"/>
  <c r="SF66" i="30"/>
  <c r="SF62" i="30" s="1"/>
  <c r="SF59" i="30"/>
  <c r="TP66" i="30"/>
  <c r="TP59" i="30"/>
  <c r="UN66" i="30"/>
  <c r="UN59" i="30"/>
  <c r="QX58" i="30"/>
  <c r="RT59" i="30"/>
  <c r="TR59" i="30"/>
  <c r="PX64" i="30"/>
  <c r="ZS57" i="30"/>
  <c r="AEU56" i="30"/>
  <c r="AEU63" i="30"/>
  <c r="AFG56" i="30"/>
  <c r="AFG63" i="30"/>
  <c r="ABC64" i="30"/>
  <c r="ABC57" i="30"/>
  <c r="ABO64" i="30"/>
  <c r="ABO57" i="30"/>
  <c r="ABO65" i="30"/>
  <c r="ABO58" i="30"/>
  <c r="ADK65" i="30"/>
  <c r="ADK58" i="30"/>
  <c r="ADW65" i="30"/>
  <c r="ADW62" i="30" s="1"/>
  <c r="ADW58" i="30"/>
  <c r="AFG65" i="30"/>
  <c r="AFG58" i="30"/>
  <c r="AGE65" i="30"/>
  <c r="AGE62" i="30" s="1"/>
  <c r="AGE58" i="30"/>
  <c r="AKD65" i="30"/>
  <c r="AKD58" i="30"/>
  <c r="AFI65" i="30"/>
  <c r="AFI58" i="30"/>
  <c r="AGZ65" i="30"/>
  <c r="AGZ58" i="30"/>
  <c r="AJT66" i="30"/>
  <c r="AJT59" i="30"/>
  <c r="UR65" i="30"/>
  <c r="UR58" i="30"/>
  <c r="ABK59" i="30"/>
  <c r="ABK66" i="30"/>
  <c r="AHW56" i="30"/>
  <c r="AHW63" i="30"/>
  <c r="AGY57" i="30"/>
  <c r="AGY64" i="30"/>
  <c r="AHK57" i="30"/>
  <c r="AHK64" i="30"/>
  <c r="AJH57" i="30"/>
  <c r="AJH64" i="30"/>
  <c r="AKF64" i="30"/>
  <c r="AKF57" i="30"/>
  <c r="AJE65" i="30"/>
  <c r="AJE58" i="30"/>
  <c r="AKF59" i="30"/>
  <c r="AJH65" i="30"/>
  <c r="US62" i="30"/>
  <c r="SK66" i="30"/>
  <c r="SK59" i="30"/>
  <c r="RZ59" i="30"/>
  <c r="TH65" i="30"/>
  <c r="VD66" i="30"/>
  <c r="VQ65" i="30"/>
  <c r="VQ62" i="30" s="1"/>
  <c r="VQ58" i="30"/>
  <c r="XM65" i="30"/>
  <c r="XM62" i="30" s="1"/>
  <c r="XM58" i="30"/>
  <c r="ZI65" i="30"/>
  <c r="ZI58" i="30"/>
  <c r="ZI66" i="30"/>
  <c r="ZI62" i="30" s="1"/>
  <c r="ZI59" i="30"/>
  <c r="ABL59" i="30"/>
  <c r="ABL66" i="30"/>
  <c r="ACA59" i="30"/>
  <c r="ACA66" i="30"/>
  <c r="ACY66" i="30"/>
  <c r="ACY59" i="30"/>
  <c r="AEI66" i="30"/>
  <c r="AEI59" i="30"/>
  <c r="ABO66" i="30"/>
  <c r="ABO59" i="30"/>
  <c r="ADQ65" i="30"/>
  <c r="AKL58" i="30"/>
  <c r="AKL65" i="30"/>
  <c r="ALN65" i="30"/>
  <c r="ALN58" i="30"/>
  <c r="AHV56" i="30"/>
  <c r="AHV63" i="30"/>
  <c r="AKX65" i="30"/>
  <c r="AKX58" i="30"/>
  <c r="AIJ65" i="30"/>
  <c r="AIJ58" i="30"/>
  <c r="AIJ59" i="30"/>
  <c r="AIJ66" i="30"/>
  <c r="ALP59" i="30"/>
  <c r="ALP66" i="30"/>
  <c r="RL58" i="30"/>
  <c r="SX65" i="30"/>
  <c r="SX62" i="30" s="1"/>
  <c r="SX58" i="30"/>
  <c r="UT65" i="30"/>
  <c r="UT58" i="30"/>
  <c r="QD66" i="30"/>
  <c r="QD62" i="30" s="1"/>
  <c r="QD59" i="30"/>
  <c r="RB66" i="30"/>
  <c r="RB59" i="30"/>
  <c r="VR65" i="30"/>
  <c r="VR58" i="30"/>
  <c r="WD58" i="30"/>
  <c r="ABN66" i="30"/>
  <c r="ABN59" i="30"/>
  <c r="ADF57" i="30"/>
  <c r="AKM58" i="30"/>
  <c r="AKM65" i="30"/>
  <c r="ALA65" i="30"/>
  <c r="ALA58" i="30"/>
  <c r="ADM65" i="30"/>
  <c r="ADM58" i="30"/>
  <c r="AKR64" i="30"/>
  <c r="AKR57" i="30"/>
  <c r="AIV65" i="30"/>
  <c r="AIV58" i="30"/>
  <c r="ALD58" i="30"/>
  <c r="ALD65" i="30"/>
  <c r="ALP65" i="30"/>
  <c r="ALP58" i="30"/>
  <c r="AHL66" i="30"/>
  <c r="AHL62" i="30" s="1"/>
  <c r="AHL59" i="30"/>
  <c r="AHX59" i="30"/>
  <c r="AHX66" i="30"/>
  <c r="AJH59" i="30"/>
  <c r="AJH66" i="30"/>
  <c r="ALD66" i="30"/>
  <c r="ALD59" i="30"/>
  <c r="TT59" i="30"/>
  <c r="TT66" i="30"/>
  <c r="TT62" i="30" s="1"/>
  <c r="QQ58" i="30"/>
  <c r="QQ65" i="30"/>
  <c r="TK58" i="30"/>
  <c r="TK65" i="30"/>
  <c r="TW58" i="30"/>
  <c r="TW65" i="30"/>
  <c r="SA59" i="30"/>
  <c r="SA66" i="30"/>
  <c r="UF58" i="30"/>
  <c r="QZ59" i="30"/>
  <c r="VS65" i="30"/>
  <c r="VS58" i="30"/>
  <c r="WE58" i="30"/>
  <c r="AAW58" i="30"/>
  <c r="AAW65" i="30"/>
  <c r="ABU58" i="30"/>
  <c r="ABU65" i="30"/>
  <c r="ACS58" i="30"/>
  <c r="ACS65" i="30"/>
  <c r="AEC58" i="30"/>
  <c r="AEC65" i="30"/>
  <c r="AFY58" i="30"/>
  <c r="AFY65" i="30"/>
  <c r="AIQ65" i="30"/>
  <c r="AIQ58" i="30"/>
  <c r="ALB65" i="30"/>
  <c r="ALB58" i="30"/>
  <c r="AIZ59" i="30"/>
  <c r="AIZ66" i="30"/>
  <c r="AKR58" i="30"/>
  <c r="AAE62" i="30"/>
  <c r="AAQ62" i="30"/>
  <c r="XK58" i="30"/>
  <c r="ZG58" i="30"/>
  <c r="XJ59" i="30"/>
  <c r="ZG59" i="30"/>
  <c r="YI65" i="30"/>
  <c r="YJ66" i="30"/>
  <c r="ADG66" i="30"/>
  <c r="ADG59" i="30"/>
  <c r="AFC59" i="30"/>
  <c r="AFC66" i="30"/>
  <c r="AFC62" i="30" s="1"/>
  <c r="AFO66" i="30"/>
  <c r="AFO62" i="30" s="1"/>
  <c r="AFO59" i="30"/>
  <c r="AFD59" i="30"/>
  <c r="AGC66" i="30"/>
  <c r="AHH66" i="30"/>
  <c r="AHH62" i="30" s="1"/>
  <c r="AHH59" i="30"/>
  <c r="AIF66" i="30"/>
  <c r="AIF62" i="30" s="1"/>
  <c r="AIF59" i="30"/>
  <c r="AJD59" i="30"/>
  <c r="AJD66" i="30"/>
  <c r="ALN59" i="30"/>
  <c r="AHU65" i="30"/>
  <c r="ZH62" i="30"/>
  <c r="AAF62" i="30"/>
  <c r="XK59" i="30"/>
  <c r="ABX66" i="30"/>
  <c r="ABX62" i="30" s="1"/>
  <c r="ABX59" i="30"/>
  <c r="ADH66" i="30"/>
  <c r="ADH62" i="30" s="1"/>
  <c r="ADH59" i="30"/>
  <c r="AFP66" i="30"/>
  <c r="AFP62" i="30" s="1"/>
  <c r="AFP59" i="30"/>
  <c r="AAV65" i="30"/>
  <c r="ACR65" i="30"/>
  <c r="AHI59" i="30"/>
  <c r="AHI66" i="30"/>
  <c r="AIG66" i="30"/>
  <c r="AIG62" i="30" s="1"/>
  <c r="AIG59" i="30"/>
  <c r="AIS66" i="30"/>
  <c r="AIS62" i="30" s="1"/>
  <c r="AIS59" i="30"/>
  <c r="ALM66" i="30"/>
  <c r="ALM59" i="30"/>
  <c r="AHV65" i="30"/>
  <c r="ALA66" i="30"/>
  <c r="RU58" i="30"/>
  <c r="TO59" i="30"/>
  <c r="ZU62" i="30"/>
  <c r="WA59" i="30"/>
  <c r="XL59" i="30"/>
  <c r="ZS66" i="30"/>
  <c r="ACG57" i="30"/>
  <c r="ACG55" i="30" s="1"/>
  <c r="ACG64" i="30"/>
  <c r="ABT58" i="30"/>
  <c r="ABT55" i="30" s="1"/>
  <c r="ABT65" i="30"/>
  <c r="AEB58" i="30"/>
  <c r="AEB55" i="30" s="1"/>
  <c r="AEB65" i="30"/>
  <c r="ADI66" i="30"/>
  <c r="ADI59" i="30"/>
  <c r="AFE59" i="30"/>
  <c r="AFE66" i="30"/>
  <c r="AFE62" i="30" s="1"/>
  <c r="AFQ66" i="30"/>
  <c r="AFQ59" i="30"/>
  <c r="AEE66" i="30"/>
  <c r="AHJ59" i="30"/>
  <c r="AHJ66" i="30"/>
  <c r="AHV66" i="30"/>
  <c r="AHV59" i="30"/>
  <c r="AIT66" i="30"/>
  <c r="AIT62" i="30" s="1"/>
  <c r="AIT59" i="30"/>
  <c r="AJR66" i="30"/>
  <c r="AJR59" i="30"/>
  <c r="AKB59" i="30"/>
  <c r="ALB66" i="30"/>
  <c r="ACV65" i="30"/>
  <c r="ACV58" i="30"/>
  <c r="AFD58" i="30"/>
  <c r="AFD65" i="30"/>
  <c r="ABZ59" i="30"/>
  <c r="ABZ66" i="30"/>
  <c r="AEU57" i="30"/>
  <c r="AEH59" i="30"/>
  <c r="ACX66" i="30"/>
  <c r="AFH66" i="30"/>
  <c r="AJY64" i="30"/>
  <c r="AJY57" i="30"/>
  <c r="AJM59" i="30"/>
  <c r="AJZ64" i="30"/>
  <c r="AJZ57" i="30"/>
  <c r="AHF66" i="30"/>
  <c r="AHF59" i="30"/>
  <c r="AJN59" i="30"/>
  <c r="AFG57" i="30"/>
  <c r="AER58" i="30"/>
  <c r="ACY64" i="30"/>
  <c r="AEF65" i="30"/>
  <c r="AHG66" i="30"/>
  <c r="AHG59" i="30"/>
  <c r="AIW57" i="30"/>
  <c r="AHM64" i="30"/>
  <c r="AHA62" i="30"/>
  <c r="AIW58" i="30"/>
  <c r="AHX64" i="30"/>
  <c r="AHX62" i="30" s="1"/>
  <c r="AHA58" i="30"/>
  <c r="YX56" i="30"/>
  <c r="AFB56" i="30"/>
  <c r="AFR56" i="30"/>
  <c r="AKJ63" i="30"/>
  <c r="AFS56" i="30"/>
  <c r="AAI56" i="30"/>
  <c r="ABB56" i="30"/>
  <c r="ABM56" i="30"/>
  <c r="ABZ56" i="30"/>
  <c r="ADR63" i="30"/>
  <c r="QI56" i="30"/>
  <c r="ACA56" i="30"/>
  <c r="ADP63" i="30"/>
  <c r="TW56" i="30"/>
  <c r="UU56" i="30"/>
  <c r="RO56" i="30"/>
  <c r="VL56" i="30"/>
  <c r="ACX56" i="30"/>
  <c r="ADQ63" i="30"/>
  <c r="AGV56" i="30"/>
  <c r="AHH56" i="30"/>
  <c r="XX63" i="30"/>
  <c r="AGA56" i="30"/>
  <c r="AIK63" i="30"/>
  <c r="TT56" i="30"/>
  <c r="QC63" i="30"/>
  <c r="XK56" i="30"/>
  <c r="ZH56" i="30"/>
  <c r="YH63" i="30"/>
  <c r="ACI56" i="30"/>
  <c r="ADW56" i="30"/>
  <c r="AGE56" i="30"/>
  <c r="AIR56" i="30"/>
  <c r="SA56" i="30"/>
  <c r="QE63" i="30"/>
  <c r="XL56" i="30"/>
  <c r="ZI56" i="30"/>
  <c r="YJ63" i="30"/>
  <c r="ACM56" i="30"/>
  <c r="AEI56" i="30"/>
  <c r="AIV56" i="30"/>
  <c r="ALD63" i="30"/>
  <c r="ZJ56" i="30"/>
  <c r="ALL63" i="30"/>
  <c r="QJ56" i="30"/>
  <c r="SL56" i="30"/>
  <c r="QL63" i="30"/>
  <c r="VB63" i="30"/>
  <c r="ZK56" i="30"/>
  <c r="AAY56" i="30"/>
  <c r="AJD56" i="30"/>
  <c r="SK56" i="30"/>
  <c r="AIW56" i="30"/>
  <c r="QO56" i="30"/>
  <c r="SM56" i="30"/>
  <c r="RL63" i="30"/>
  <c r="XY56" i="30"/>
  <c r="ZV56" i="30"/>
  <c r="AAZ56" i="30"/>
  <c r="ADG56" i="30"/>
  <c r="ABC63" i="30"/>
  <c r="AFF63" i="30"/>
  <c r="AKG56" i="30"/>
  <c r="QP56" i="30"/>
  <c r="SW56" i="30"/>
  <c r="ZW56" i="30"/>
  <c r="ADH56" i="30"/>
  <c r="ABL63" i="30"/>
  <c r="AKN56" i="30"/>
  <c r="QQ56" i="30"/>
  <c r="SX56" i="30"/>
  <c r="RT63" i="30"/>
  <c r="AAE56" i="30"/>
  <c r="ADI56" i="30"/>
  <c r="AFC56" i="30"/>
  <c r="AKR56" i="30"/>
  <c r="QZ56" i="30"/>
  <c r="SY56" i="30"/>
  <c r="RU63" i="30"/>
  <c r="RU62" i="30" s="1"/>
  <c r="YK56" i="30"/>
  <c r="AAF56" i="30"/>
  <c r="ABJ56" i="30"/>
  <c r="ADJ56" i="30"/>
  <c r="AFE56" i="30"/>
  <c r="AGT56" i="30"/>
  <c r="AKS56" i="30"/>
  <c r="WN63" i="30"/>
  <c r="TP56" i="30"/>
  <c r="VA63" i="30"/>
  <c r="ACU56" i="30"/>
  <c r="AEQ56" i="30"/>
  <c r="RN56" i="30"/>
  <c r="TN56" i="30"/>
  <c r="RV63" i="30"/>
  <c r="YL56" i="30"/>
  <c r="AAG56" i="30"/>
  <c r="WM63" i="30"/>
  <c r="ABK56" i="30"/>
  <c r="ADK56" i="30"/>
  <c r="AFQ56" i="30"/>
  <c r="AGU56" i="30"/>
  <c r="AKZ56" i="30"/>
  <c r="UL56" i="30"/>
  <c r="UM56" i="30"/>
  <c r="TY63" i="30"/>
  <c r="WR63" i="30"/>
  <c r="SO56" i="30"/>
  <c r="AFV56" i="30"/>
  <c r="AGZ56" i="30"/>
  <c r="ALN63" i="30"/>
  <c r="WI56" i="30"/>
  <c r="ACF63" i="30"/>
  <c r="AFL63" i="30"/>
  <c r="ACG63" i="30"/>
  <c r="AJH56" i="30"/>
  <c r="ALP63" i="30"/>
  <c r="UZ56" i="30"/>
  <c r="QV63" i="30"/>
  <c r="UC63" i="30"/>
  <c r="UC62" i="30" s="1"/>
  <c r="WK56" i="30"/>
  <c r="ACH63" i="30"/>
  <c r="AEC63" i="30"/>
  <c r="AHL56" i="30"/>
  <c r="AJI56" i="30"/>
  <c r="ALE56" i="30"/>
  <c r="AJQ63" i="30"/>
  <c r="QY56" i="30"/>
  <c r="TD56" i="30"/>
  <c r="UB56" i="30"/>
  <c r="VD56" i="30"/>
  <c r="PV63" i="30"/>
  <c r="QW63" i="30"/>
  <c r="SR63" i="30"/>
  <c r="UD63" i="30"/>
  <c r="AAJ56" i="30"/>
  <c r="YB55" i="30"/>
  <c r="ACV56" i="30"/>
  <c r="AFD56" i="30"/>
  <c r="AEN63" i="30"/>
  <c r="AHM56" i="30"/>
  <c r="AJX56" i="30"/>
  <c r="AGW63" i="30"/>
  <c r="AJU63" i="30"/>
  <c r="QG56" i="30"/>
  <c r="UK56" i="30"/>
  <c r="ACD56" i="30"/>
  <c r="SE56" i="30"/>
  <c r="UE56" i="30"/>
  <c r="RA63" i="30"/>
  <c r="XG56" i="30"/>
  <c r="PW56" i="30"/>
  <c r="SF56" i="30"/>
  <c r="TI56" i="30"/>
  <c r="UG56" i="30"/>
  <c r="VF56" i="30"/>
  <c r="PY63" i="30"/>
  <c r="RH63" i="30"/>
  <c r="TE63" i="30"/>
  <c r="UP63" i="30"/>
  <c r="XH56" i="30"/>
  <c r="YT56" i="30"/>
  <c r="ZS56" i="30"/>
  <c r="AAS56" i="30"/>
  <c r="ADJ62" i="30"/>
  <c r="ABN56" i="30"/>
  <c r="ACY56" i="30"/>
  <c r="ADY56" i="30"/>
  <c r="AAV63" i="30"/>
  <c r="AGB63" i="30"/>
  <c r="AGN56" i="30"/>
  <c r="AHP56" i="30"/>
  <c r="AJZ56" i="30"/>
  <c r="AGY63" i="30"/>
  <c r="AKL63" i="30"/>
  <c r="UW63" i="30"/>
  <c r="RS56" i="30"/>
  <c r="VT56" i="30"/>
  <c r="YY56" i="30"/>
  <c r="ALM63" i="30"/>
  <c r="WH56" i="30"/>
  <c r="XD63" i="30"/>
  <c r="QT63" i="30"/>
  <c r="AHA56" i="30"/>
  <c r="QU63" i="30"/>
  <c r="WJ56" i="30"/>
  <c r="AEB63" i="30"/>
  <c r="VE56" i="30"/>
  <c r="UO63" i="30"/>
  <c r="AHO56" i="30"/>
  <c r="AJY56" i="30"/>
  <c r="AGX63" i="30"/>
  <c r="QA56" i="30"/>
  <c r="RC56" i="30"/>
  <c r="SI56" i="30"/>
  <c r="TJ56" i="30"/>
  <c r="UH56" i="30"/>
  <c r="VG56" i="30"/>
  <c r="PZ63" i="30"/>
  <c r="PZ62" i="30" s="1"/>
  <c r="RI63" i="30"/>
  <c r="UQ63" i="30"/>
  <c r="VJ56" i="30"/>
  <c r="XI56" i="30"/>
  <c r="YU56" i="30"/>
  <c r="ZT56" i="30"/>
  <c r="AAT56" i="30"/>
  <c r="ABO56" i="30"/>
  <c r="ADB56" i="30"/>
  <c r="ADZ56" i="30"/>
  <c r="AAW63" i="30"/>
  <c r="AER63" i="30"/>
  <c r="AGC63" i="30"/>
  <c r="AGO56" i="30"/>
  <c r="AGO55" i="30" s="1"/>
  <c r="AIJ56" i="30"/>
  <c r="AKA56" i="30"/>
  <c r="ALB63" i="30"/>
  <c r="ACC56" i="30"/>
  <c r="UN56" i="30"/>
  <c r="TZ63" i="30"/>
  <c r="AIU63" i="30"/>
  <c r="UA63" i="30"/>
  <c r="AEX56" i="30"/>
  <c r="ALO63" i="30"/>
  <c r="UY56" i="30"/>
  <c r="AFM63" i="30"/>
  <c r="TG56" i="30"/>
  <c r="PX63" i="30"/>
  <c r="ST63" i="30"/>
  <c r="ZR56" i="30"/>
  <c r="AAR56" i="30"/>
  <c r="AEO63" i="30"/>
  <c r="QF56" i="30"/>
  <c r="SJ56" i="30"/>
  <c r="TM56" i="30"/>
  <c r="UI56" i="30"/>
  <c r="UI55" i="30" s="1"/>
  <c r="QB63" i="30"/>
  <c r="RJ63" i="30"/>
  <c r="TQ63" i="30"/>
  <c r="UR63" i="30"/>
  <c r="VK56" i="30"/>
  <c r="XJ56" i="30"/>
  <c r="YV56" i="30"/>
  <c r="ZU56" i="30"/>
  <c r="AAU56" i="30"/>
  <c r="WL63" i="30"/>
  <c r="ABY56" i="30"/>
  <c r="ADF56" i="30"/>
  <c r="AEE56" i="30"/>
  <c r="AFP56" i="30"/>
  <c r="AES63" i="30"/>
  <c r="AGS56" i="30"/>
  <c r="AKF56" i="30"/>
  <c r="AHU63" i="30"/>
  <c r="ALC63" i="30"/>
  <c r="AHH57" i="30"/>
  <c r="ALD57" i="30"/>
  <c r="AII64" i="30"/>
  <c r="AKD64" i="30"/>
  <c r="ALE57" i="30"/>
  <c r="AIJ64" i="30"/>
  <c r="AKO64" i="30"/>
  <c r="AJX57" i="30"/>
  <c r="AGN64" i="30"/>
  <c r="AGN62" i="30" s="1"/>
  <c r="AIP64" i="30"/>
  <c r="AKP64" i="30"/>
  <c r="AGU57" i="30"/>
  <c r="AKN57" i="30"/>
  <c r="AKB64" i="30"/>
  <c r="AJD57" i="30"/>
  <c r="AKZ57" i="30"/>
  <c r="AIH64" i="30"/>
  <c r="AGM62" i="30"/>
  <c r="AHO57" i="30"/>
  <c r="AGO64" i="30"/>
  <c r="AIQ64" i="30"/>
  <c r="AKQ64" i="30"/>
  <c r="ALQ62" i="30"/>
  <c r="AHP57" i="30"/>
  <c r="AGW64" i="30"/>
  <c r="AIU64" i="30"/>
  <c r="AGT57" i="30"/>
  <c r="ALM64" i="30"/>
  <c r="AIR57" i="30"/>
  <c r="AJP64" i="30"/>
  <c r="ALN64" i="30"/>
  <c r="AJF62" i="30"/>
  <c r="AGV57" i="30"/>
  <c r="AJQ64" i="30"/>
  <c r="AKC64" i="30"/>
  <c r="AKA57" i="30"/>
  <c r="AGX64" i="30"/>
  <c r="AAY57" i="30"/>
  <c r="ACA57" i="30"/>
  <c r="ADI57" i="30"/>
  <c r="AFC57" i="30"/>
  <c r="AAW64" i="30"/>
  <c r="ACS64" i="30"/>
  <c r="AAV64" i="30"/>
  <c r="ACR64" i="30"/>
  <c r="ABB57" i="30"/>
  <c r="ACB57" i="30"/>
  <c r="ADJ57" i="30"/>
  <c r="AFE57" i="30"/>
  <c r="ABK64" i="30"/>
  <c r="ACX64" i="30"/>
  <c r="AFD64" i="30"/>
  <c r="ADU57" i="30"/>
  <c r="ABM64" i="30"/>
  <c r="AFM64" i="30"/>
  <c r="ABJ57" i="30"/>
  <c r="ACU57" i="30"/>
  <c r="ADV57" i="30"/>
  <c r="AFP57" i="30"/>
  <c r="ABN64" i="30"/>
  <c r="AFR64" i="30"/>
  <c r="ACV57" i="30"/>
  <c r="ADW57" i="30"/>
  <c r="AFQ57" i="30"/>
  <c r="AFS64" i="30"/>
  <c r="ABL64" i="30"/>
  <c r="ABT64" i="30"/>
  <c r="AEB64" i="30"/>
  <c r="AFX64" i="30"/>
  <c r="AAZ62" i="30"/>
  <c r="AFL64" i="30"/>
  <c r="AEI57" i="30"/>
  <c r="ABU64" i="30"/>
  <c r="AEC64" i="30"/>
  <c r="AFY64" i="30"/>
  <c r="ADB57" i="30"/>
  <c r="AGA57" i="30"/>
  <c r="ACF64" i="30"/>
  <c r="AED64" i="30"/>
  <c r="WE57" i="30"/>
  <c r="YW57" i="30"/>
  <c r="ZV57" i="30"/>
  <c r="WM64" i="30"/>
  <c r="XY57" i="30"/>
  <c r="ZK57" i="30"/>
  <c r="VS57" i="30"/>
  <c r="WF57" i="30"/>
  <c r="YX57" i="30"/>
  <c r="ZW57" i="30"/>
  <c r="WN64" i="30"/>
  <c r="ZJ57" i="30"/>
  <c r="VR57" i="30"/>
  <c r="YL57" i="30"/>
  <c r="WL64" i="30"/>
  <c r="WQ57" i="30"/>
  <c r="YY57" i="30"/>
  <c r="AAE57" i="30"/>
  <c r="WR64" i="30"/>
  <c r="AAH57" i="30"/>
  <c r="AAI57" i="30"/>
  <c r="AAJ57" i="30"/>
  <c r="AAT57" i="30"/>
  <c r="WD57" i="30"/>
  <c r="AAU57" i="30"/>
  <c r="XV57" i="30"/>
  <c r="AAF57" i="30"/>
  <c r="XD64" i="30"/>
  <c r="TD57" i="30"/>
  <c r="UN57" i="30"/>
  <c r="QQ64" i="30"/>
  <c r="UI64" i="30"/>
  <c r="TO62" i="30"/>
  <c r="QP57" i="30"/>
  <c r="TN57" i="30"/>
  <c r="UO57" i="30"/>
  <c r="QV64" i="30"/>
  <c r="UH57" i="30"/>
  <c r="RN57" i="30"/>
  <c r="SX57" i="30"/>
  <c r="TO57" i="30"/>
  <c r="QR57" i="30"/>
  <c r="US57" i="30"/>
  <c r="RX64" i="30"/>
  <c r="RP57" i="30"/>
  <c r="QE57" i="30"/>
  <c r="QO64" i="30"/>
  <c r="QO62" i="30" s="1"/>
  <c r="QS57" i="30"/>
  <c r="TQ57" i="30"/>
  <c r="UT57" i="30"/>
  <c r="TB64" i="30"/>
  <c r="OH62" i="30"/>
  <c r="XK64" i="30"/>
  <c r="XK62" i="30" s="1"/>
  <c r="XK57" i="30"/>
  <c r="WW57" i="30"/>
  <c r="YR57" i="30"/>
  <c r="VH57" i="30"/>
  <c r="XL57" i="30"/>
  <c r="YT57" i="30"/>
  <c r="VW57" i="30"/>
  <c r="XI62" i="30"/>
  <c r="YU62" i="30"/>
  <c r="YS57" i="30"/>
  <c r="YH64" i="30"/>
  <c r="VQ57" i="30"/>
  <c r="XU57" i="30"/>
  <c r="YU57" i="30"/>
  <c r="VK64" i="30"/>
  <c r="QB64" i="30"/>
  <c r="QB57" i="30"/>
  <c r="RM57" i="30"/>
  <c r="RM64" i="30"/>
  <c r="RM62" i="30" s="1"/>
  <c r="SM57" i="30"/>
  <c r="SM64" i="30"/>
  <c r="ST57" i="30"/>
  <c r="RZ57" i="30"/>
  <c r="TF57" i="30"/>
  <c r="QZ64" i="30"/>
  <c r="QZ62" i="30" s="1"/>
  <c r="SK64" i="30"/>
  <c r="SG64" i="30"/>
  <c r="RU57" i="30"/>
  <c r="SS57" i="30"/>
  <c r="QW64" i="30"/>
  <c r="RY57" i="30"/>
  <c r="QA57" i="30"/>
  <c r="SH57" i="30"/>
  <c r="TH57" i="30"/>
  <c r="PY64" i="30"/>
  <c r="RO64" i="30"/>
  <c r="SZ64" i="30"/>
  <c r="SZ62" i="30" s="1"/>
  <c r="QY64" i="30"/>
  <c r="RH57" i="30"/>
  <c r="QC64" i="30"/>
  <c r="TA64" i="30"/>
  <c r="TA62" i="30" s="1"/>
  <c r="TE64" i="30"/>
  <c r="SI64" i="30"/>
  <c r="SJ64" i="30"/>
  <c r="SE62" i="30"/>
  <c r="RK57" i="30"/>
  <c r="SL57" i="30"/>
  <c r="QD57" i="30"/>
  <c r="SP57" i="30"/>
  <c r="QK64" i="30"/>
  <c r="RV64" i="30"/>
  <c r="KS62" i="30"/>
  <c r="PL62" i="30"/>
  <c r="MF62" i="30"/>
  <c r="ZE55" i="30"/>
  <c r="AIE62" i="30"/>
  <c r="KS55" i="30"/>
  <c r="LL55" i="30"/>
  <c r="MX62" i="30"/>
  <c r="NL62" i="30"/>
  <c r="AHT62" i="30"/>
  <c r="AKN62" i="30"/>
  <c r="YS62" i="30"/>
  <c r="ADF62" i="30"/>
  <c r="AFB62" i="30"/>
  <c r="XJ62" i="30"/>
  <c r="YT62" i="30"/>
  <c r="WY62" i="30"/>
  <c r="LE62" i="30"/>
  <c r="MO62" i="30"/>
  <c r="VP62" i="30"/>
  <c r="WZ62" i="30"/>
  <c r="XL62" i="30"/>
  <c r="LQ62" i="30"/>
  <c r="LT62" i="30"/>
  <c r="MR62" i="30"/>
  <c r="ON62" i="30"/>
  <c r="WC62" i="30"/>
  <c r="WO62" i="30"/>
  <c r="NG62" i="30"/>
  <c r="RX55" i="30"/>
  <c r="AIW62" i="30"/>
  <c r="NP62" i="30"/>
  <c r="AJK62" i="30"/>
  <c r="WU62" i="30"/>
  <c r="YE62" i="30"/>
  <c r="ABH62" i="30"/>
  <c r="ADD62" i="30"/>
  <c r="AGS62" i="30"/>
  <c r="AIC62" i="30"/>
  <c r="OB62" i="30"/>
  <c r="XA62" i="30"/>
  <c r="AEH62" i="30"/>
  <c r="AGD62" i="30"/>
  <c r="KJ62" i="30"/>
  <c r="ALE62" i="30"/>
  <c r="LW62" i="30"/>
  <c r="VI55" i="30"/>
  <c r="VV62" i="30"/>
  <c r="WT62" i="30"/>
  <c r="ABG62" i="30"/>
  <c r="ACQ62" i="30"/>
  <c r="ADC62" i="30"/>
  <c r="AEA62" i="30"/>
  <c r="AFK62" i="30"/>
  <c r="AFW62" i="30"/>
  <c r="AGI62" i="30"/>
  <c r="VW62" i="30"/>
  <c r="KP62" i="30"/>
  <c r="LH62" i="30"/>
  <c r="QV55" i="30"/>
  <c r="YR62" i="30"/>
  <c r="ABI62" i="30"/>
  <c r="ADE62" i="30"/>
  <c r="AFA62" i="30"/>
  <c r="AID62" i="30"/>
  <c r="AIX64" i="30"/>
  <c r="AIX57" i="30"/>
  <c r="AKH64" i="30"/>
  <c r="AKH57" i="30"/>
  <c r="AIA62" i="30"/>
  <c r="ALW58" i="30"/>
  <c r="ALW65" i="30"/>
  <c r="AGP63" i="30"/>
  <c r="AGP56" i="30"/>
  <c r="AIL63" i="30"/>
  <c r="AIL56" i="30"/>
  <c r="AGP57" i="30"/>
  <c r="AGP64" i="30"/>
  <c r="AKT64" i="30"/>
  <c r="AKT57" i="30"/>
  <c r="AIL58" i="30"/>
  <c r="AIL65" i="30"/>
  <c r="AKH65" i="30"/>
  <c r="AKH58" i="30"/>
  <c r="AKT65" i="30"/>
  <c r="AKT58" i="30"/>
  <c r="ALR65" i="30"/>
  <c r="ALR58" i="30"/>
  <c r="AGP59" i="30"/>
  <c r="AGP66" i="30"/>
  <c r="AHB59" i="30"/>
  <c r="AHB66" i="30"/>
  <c r="AHZ59" i="30"/>
  <c r="AHZ66" i="30"/>
  <c r="AHZ62" i="30" s="1"/>
  <c r="AIX59" i="30"/>
  <c r="AIX66" i="30"/>
  <c r="ALF66" i="30"/>
  <c r="ALF59" i="30"/>
  <c r="AHC63" i="30"/>
  <c r="AHC56" i="30"/>
  <c r="AGQ64" i="30"/>
  <c r="AGQ57" i="30"/>
  <c r="AIY64" i="30"/>
  <c r="AIY57" i="30"/>
  <c r="AIY65" i="30"/>
  <c r="AIY58" i="30"/>
  <c r="AJW65" i="30"/>
  <c r="AJW58" i="30"/>
  <c r="ALG65" i="30"/>
  <c r="ALG58" i="30"/>
  <c r="ALS65" i="30"/>
  <c r="ALS58" i="30"/>
  <c r="AKU59" i="30"/>
  <c r="AKU66" i="30"/>
  <c r="AGR63" i="30"/>
  <c r="AGR56" i="30"/>
  <c r="AIN63" i="30"/>
  <c r="AIN56" i="30"/>
  <c r="AGR64" i="30"/>
  <c r="AGR57" i="30"/>
  <c r="AHD65" i="30"/>
  <c r="AHD58" i="30"/>
  <c r="AIZ65" i="30"/>
  <c r="AIZ58" i="30"/>
  <c r="AJX58" i="30"/>
  <c r="AJX65" i="30"/>
  <c r="ALH58" i="30"/>
  <c r="ALH65" i="30"/>
  <c r="AHP59" i="30"/>
  <c r="AHP66" i="30"/>
  <c r="AIN59" i="30"/>
  <c r="AIN66" i="30"/>
  <c r="AJX59" i="30"/>
  <c r="AJX66" i="30"/>
  <c r="ALT66" i="30"/>
  <c r="ALT59" i="30"/>
  <c r="ALI63" i="30"/>
  <c r="ALI56" i="30"/>
  <c r="AHE64" i="30"/>
  <c r="AHE57" i="30"/>
  <c r="AHQ64" i="30"/>
  <c r="AHQ57" i="30"/>
  <c r="AJA64" i="30"/>
  <c r="AJA57" i="30"/>
  <c r="AKW64" i="30"/>
  <c r="AKW57" i="30"/>
  <c r="AHE65" i="30"/>
  <c r="AHE58" i="30"/>
  <c r="AJA65" i="30"/>
  <c r="AJA58" i="30"/>
  <c r="AHQ66" i="30"/>
  <c r="AHQ59" i="30"/>
  <c r="ALI66" i="30"/>
  <c r="ALI59" i="30"/>
  <c r="ALF56" i="30"/>
  <c r="AIA57" i="30"/>
  <c r="ALF57" i="30"/>
  <c r="AIA58" i="30"/>
  <c r="ALU59" i="30"/>
  <c r="AIB65" i="30"/>
  <c r="AKV65" i="30"/>
  <c r="AHF63" i="30"/>
  <c r="AHF56" i="30"/>
  <c r="AHF64" i="30"/>
  <c r="AHF57" i="30"/>
  <c r="AJB64" i="30"/>
  <c r="AJB57" i="30"/>
  <c r="AHR65" i="30"/>
  <c r="AHR58" i="30"/>
  <c r="ALV58" i="30"/>
  <c r="ALV65" i="30"/>
  <c r="ALV62" i="30" s="1"/>
  <c r="AHR66" i="30"/>
  <c r="AHR59" i="30"/>
  <c r="AJZ66" i="30"/>
  <c r="AJZ59" i="30"/>
  <c r="AKX66" i="30"/>
  <c r="AKX59" i="30"/>
  <c r="AIB56" i="30"/>
  <c r="ALG56" i="30"/>
  <c r="ALG57" i="30"/>
  <c r="ALV59" i="30"/>
  <c r="AGP65" i="30"/>
  <c r="AHG64" i="30"/>
  <c r="AHG57" i="30"/>
  <c r="AJO65" i="30"/>
  <c r="AJO58" i="30"/>
  <c r="AKY65" i="30"/>
  <c r="AKY58" i="30"/>
  <c r="AGU66" i="30"/>
  <c r="AGU59" i="30"/>
  <c r="AJK56" i="30"/>
  <c r="AKM57" i="30"/>
  <c r="ALT57" i="30"/>
  <c r="AJL56" i="30"/>
  <c r="ALU56" i="30"/>
  <c r="AJL57" i="30"/>
  <c r="ALU57" i="30"/>
  <c r="AJN58" i="30"/>
  <c r="AID59" i="30"/>
  <c r="AJV63" i="30"/>
  <c r="AJJ65" i="30"/>
  <c r="AKH66" i="30"/>
  <c r="ALW66" i="30"/>
  <c r="AKT63" i="30"/>
  <c r="AKT56" i="30"/>
  <c r="AGQ63" i="30"/>
  <c r="AGQ56" i="30"/>
  <c r="AKI57" i="30"/>
  <c r="AKI64" i="30"/>
  <c r="AKU64" i="30"/>
  <c r="AKU57" i="30"/>
  <c r="AHC65" i="30"/>
  <c r="AHC58" i="30"/>
  <c r="AKI65" i="30"/>
  <c r="AKI58" i="30"/>
  <c r="AHC59" i="30"/>
  <c r="AHC66" i="30"/>
  <c r="ALS66" i="30"/>
  <c r="ALS59" i="30"/>
  <c r="AJK59" i="30"/>
  <c r="AIM63" i="30"/>
  <c r="AHD63" i="30"/>
  <c r="AHD56" i="30"/>
  <c r="AHD64" i="30"/>
  <c r="AHD57" i="30"/>
  <c r="AIZ64" i="30"/>
  <c r="AIZ57" i="30"/>
  <c r="AKJ57" i="30"/>
  <c r="AKJ64" i="30"/>
  <c r="AIN58" i="30"/>
  <c r="AIN65" i="30"/>
  <c r="ALT65" i="30"/>
  <c r="ALT58" i="30"/>
  <c r="AGR66" i="30"/>
  <c r="AGR59" i="30"/>
  <c r="AKJ59" i="30"/>
  <c r="AKJ66" i="30"/>
  <c r="ALH59" i="30"/>
  <c r="ALH66" i="30"/>
  <c r="AHZ56" i="30"/>
  <c r="AHZ57" i="30"/>
  <c r="AHZ58" i="30"/>
  <c r="AKU65" i="30"/>
  <c r="AHE63" i="30"/>
  <c r="AHE56" i="30"/>
  <c r="AKW63" i="30"/>
  <c r="AKW56" i="30"/>
  <c r="AJM64" i="30"/>
  <c r="AJM57" i="30"/>
  <c r="ALI64" i="30"/>
  <c r="ALI57" i="30"/>
  <c r="AKK65" i="30"/>
  <c r="AKK58" i="30"/>
  <c r="ALU65" i="30"/>
  <c r="ALU62" i="30" s="1"/>
  <c r="ALU58" i="30"/>
  <c r="AJO63" i="30"/>
  <c r="AJO56" i="30"/>
  <c r="ALK63" i="30"/>
  <c r="ALK56" i="30"/>
  <c r="AJC64" i="30"/>
  <c r="AJC57" i="30"/>
  <c r="AHG65" i="30"/>
  <c r="AHG58" i="30"/>
  <c r="AHS66" i="30"/>
  <c r="AHS59" i="30"/>
  <c r="AIQ66" i="30"/>
  <c r="AIQ59" i="30"/>
  <c r="AJO66" i="30"/>
  <c r="AJO59" i="30"/>
  <c r="AKM66" i="30"/>
  <c r="AKM62" i="30" s="1"/>
  <c r="AKM59" i="30"/>
  <c r="AIC56" i="30"/>
  <c r="ALH56" i="30"/>
  <c r="AIC57" i="30"/>
  <c r="ALH57" i="30"/>
  <c r="AIC58" i="30"/>
  <c r="ALJ58" i="30"/>
  <c r="AHB63" i="30"/>
  <c r="AIX63" i="30"/>
  <c r="AJC65" i="30"/>
  <c r="AHN66" i="30"/>
  <c r="AID56" i="30"/>
  <c r="AKK56" i="30"/>
  <c r="ALR56" i="30"/>
  <c r="AID57" i="30"/>
  <c r="AKK57" i="30"/>
  <c r="ALR57" i="30"/>
  <c r="AID58" i="30"/>
  <c r="ALK58" i="30"/>
  <c r="AGQ59" i="30"/>
  <c r="AHN63" i="30"/>
  <c r="AIY63" i="30"/>
  <c r="AHN64" i="30"/>
  <c r="AJO64" i="30"/>
  <c r="AHO66" i="30"/>
  <c r="AIE56" i="30"/>
  <c r="AJJ56" i="30"/>
  <c r="ALS56" i="30"/>
  <c r="AIE57" i="30"/>
  <c r="AJJ57" i="30"/>
  <c r="AKL57" i="30"/>
  <c r="ALS57" i="30"/>
  <c r="AIE58" i="30"/>
  <c r="AJK58" i="30"/>
  <c r="AGS59" i="30"/>
  <c r="AIA59" i="30"/>
  <c r="ALJ64" i="30"/>
  <c r="AKM56" i="30"/>
  <c r="AJK57" i="30"/>
  <c r="AJM58" i="30"/>
  <c r="ALK64" i="30"/>
  <c r="AKA66" i="30"/>
  <c r="AIO56" i="30"/>
  <c r="ALV56" i="30"/>
  <c r="AIO57" i="30"/>
  <c r="AJV57" i="30"/>
  <c r="ALV57" i="30"/>
  <c r="AIO58" i="30"/>
  <c r="AIE59" i="30"/>
  <c r="AKH63" i="30"/>
  <c r="AKI66" i="30"/>
  <c r="AHB64" i="30"/>
  <c r="AHB57" i="30"/>
  <c r="AIL64" i="30"/>
  <c r="AIL57" i="30"/>
  <c r="AHB65" i="30"/>
  <c r="AHB58" i="30"/>
  <c r="AIX65" i="30"/>
  <c r="AIX58" i="30"/>
  <c r="AJV65" i="30"/>
  <c r="AJV58" i="30"/>
  <c r="ALF65" i="30"/>
  <c r="ALF58" i="30"/>
  <c r="AIL59" i="30"/>
  <c r="AIL66" i="30"/>
  <c r="AJJ59" i="30"/>
  <c r="AJJ66" i="30"/>
  <c r="AJV59" i="30"/>
  <c r="AJV66" i="30"/>
  <c r="AKT66" i="30"/>
  <c r="AKT59" i="30"/>
  <c r="ALR66" i="30"/>
  <c r="ALR59" i="30"/>
  <c r="AKU56" i="30"/>
  <c r="AKU63" i="30"/>
  <c r="AHC64" i="30"/>
  <c r="AHC57" i="30"/>
  <c r="AIM64" i="30"/>
  <c r="AIM57" i="30"/>
  <c r="AGQ65" i="30"/>
  <c r="AGQ58" i="30"/>
  <c r="AIM58" i="30"/>
  <c r="AIM65" i="30"/>
  <c r="AIM59" i="30"/>
  <c r="AIM66" i="30"/>
  <c r="AJW66" i="30"/>
  <c r="AJW59" i="30"/>
  <c r="ALG66" i="30"/>
  <c r="ALG59" i="30"/>
  <c r="AIZ63" i="30"/>
  <c r="AIZ56" i="30"/>
  <c r="AKV63" i="30"/>
  <c r="AKV56" i="30"/>
  <c r="AKV64" i="30"/>
  <c r="AKV57" i="30"/>
  <c r="AGR65" i="30"/>
  <c r="AGR58" i="30"/>
  <c r="AJL58" i="30"/>
  <c r="AJL65" i="30"/>
  <c r="AKJ65" i="30"/>
  <c r="AKJ58" i="30"/>
  <c r="AHD66" i="30"/>
  <c r="AHD59" i="30"/>
  <c r="AIB59" i="30"/>
  <c r="AIB66" i="30"/>
  <c r="AJL59" i="30"/>
  <c r="AJL66" i="30"/>
  <c r="AKV59" i="30"/>
  <c r="AKV66" i="30"/>
  <c r="AHQ63" i="30"/>
  <c r="AHQ56" i="30"/>
  <c r="AJA63" i="30"/>
  <c r="AJA56" i="30"/>
  <c r="AJM63" i="30"/>
  <c r="AJM56" i="30"/>
  <c r="AHQ65" i="30"/>
  <c r="AHQ58" i="30"/>
  <c r="ALI65" i="30"/>
  <c r="ALI58" i="30"/>
  <c r="AIO66" i="30"/>
  <c r="AIO62" i="30" s="1"/>
  <c r="AIO59" i="30"/>
  <c r="AJA66" i="30"/>
  <c r="AJA59" i="30"/>
  <c r="AJY66" i="30"/>
  <c r="AJY59" i="30"/>
  <c r="AKW66" i="30"/>
  <c r="AKW59" i="30"/>
  <c r="AIA56" i="30"/>
  <c r="AHR63" i="30"/>
  <c r="AHR56" i="30"/>
  <c r="AJB63" i="30"/>
  <c r="AJB56" i="30"/>
  <c r="AJN56" i="30"/>
  <c r="AJN63" i="30"/>
  <c r="AKX63" i="30"/>
  <c r="AKX56" i="30"/>
  <c r="ALJ63" i="30"/>
  <c r="ALJ56" i="30"/>
  <c r="AHR64" i="30"/>
  <c r="AHR57" i="30"/>
  <c r="AJN64" i="30"/>
  <c r="AJN57" i="30"/>
  <c r="AKX64" i="30"/>
  <c r="AKX57" i="30"/>
  <c r="AHF65" i="30"/>
  <c r="AHF58" i="30"/>
  <c r="AJB65" i="30"/>
  <c r="AJB58" i="30"/>
  <c r="AGT66" i="30"/>
  <c r="AGT62" i="30" s="1"/>
  <c r="AGT59" i="30"/>
  <c r="AIP66" i="30"/>
  <c r="AIP59" i="30"/>
  <c r="ALJ66" i="30"/>
  <c r="ALJ59" i="30"/>
  <c r="AIB57" i="30"/>
  <c r="AHG63" i="30"/>
  <c r="AHG56" i="30"/>
  <c r="AHS63" i="30"/>
  <c r="AHS56" i="30"/>
  <c r="AJC63" i="30"/>
  <c r="AJC56" i="30"/>
  <c r="AKY63" i="30"/>
  <c r="AKY56" i="30"/>
  <c r="AHS64" i="30"/>
  <c r="AHS57" i="30"/>
  <c r="AHS65" i="30"/>
  <c r="AHS58" i="30"/>
  <c r="ALK66" i="30"/>
  <c r="ALK59" i="30"/>
  <c r="ALT56" i="30"/>
  <c r="AIC59" i="30"/>
  <c r="AIP56" i="30"/>
  <c r="AJW56" i="30"/>
  <c r="ALW56" i="30"/>
  <c r="AJW57" i="30"/>
  <c r="ALW57" i="30"/>
  <c r="AHN58" i="30"/>
  <c r="AHN55" i="30" s="1"/>
  <c r="AIP58" i="30"/>
  <c r="AKW58" i="30"/>
  <c r="AHE59" i="30"/>
  <c r="AKI63" i="30"/>
  <c r="AIN64" i="30"/>
  <c r="AGJ57" i="30"/>
  <c r="AIF57" i="30"/>
  <c r="AJP58" i="30"/>
  <c r="AKN59" i="30"/>
  <c r="AHT56" i="30"/>
  <c r="AJP56" i="30"/>
  <c r="AHT57" i="30"/>
  <c r="ALL57" i="30"/>
  <c r="AHT58" i="30"/>
  <c r="AGZ59" i="30"/>
  <c r="AHY64" i="30"/>
  <c r="AIK66" i="30"/>
  <c r="AGJ56" i="30"/>
  <c r="AGJ58" i="30"/>
  <c r="AIF58" i="30"/>
  <c r="ALL59" i="30"/>
  <c r="AJT65" i="30"/>
  <c r="AJT58" i="30"/>
  <c r="AKF65" i="30"/>
  <c r="AKF62" i="30" s="1"/>
  <c r="AKF58" i="30"/>
  <c r="AKR66" i="30"/>
  <c r="AKR62" i="30" s="1"/>
  <c r="AKR59" i="30"/>
  <c r="AHX56" i="30"/>
  <c r="AJT56" i="30"/>
  <c r="AJT57" i="30"/>
  <c r="ALP57" i="30"/>
  <c r="AHX58" i="30"/>
  <c r="AHT59" i="30"/>
  <c r="AGV66" i="30"/>
  <c r="AGV59" i="30"/>
  <c r="AJP66" i="30"/>
  <c r="AJP62" i="30" s="1"/>
  <c r="AJP59" i="30"/>
  <c r="AIF56" i="30"/>
  <c r="AKB56" i="30"/>
  <c r="AKZ58" i="30"/>
  <c r="AJU58" i="30"/>
  <c r="AJU65" i="30"/>
  <c r="AKG65" i="30"/>
  <c r="AKG58" i="30"/>
  <c r="AKS65" i="30"/>
  <c r="AKS58" i="30"/>
  <c r="AKS66" i="30"/>
  <c r="AKS59" i="30"/>
  <c r="AHY56" i="30"/>
  <c r="ALQ56" i="30"/>
  <c r="AJU57" i="30"/>
  <c r="ALQ57" i="30"/>
  <c r="AHY58" i="30"/>
  <c r="AKN58" i="30"/>
  <c r="AGK56" i="30"/>
  <c r="AHI56" i="30"/>
  <c r="AIG56" i="30"/>
  <c r="AIS56" i="30"/>
  <c r="AJE56" i="30"/>
  <c r="AKC56" i="30"/>
  <c r="AKO56" i="30"/>
  <c r="ALA56" i="30"/>
  <c r="AGK57" i="30"/>
  <c r="AHI57" i="30"/>
  <c r="AHU57" i="30"/>
  <c r="AIG57" i="30"/>
  <c r="AIS57" i="30"/>
  <c r="AJE57" i="30"/>
  <c r="AIG58" i="30"/>
  <c r="AIS58" i="30"/>
  <c r="AJF58" i="30"/>
  <c r="AJS58" i="30"/>
  <c r="AHW59" i="30"/>
  <c r="AKC59" i="30"/>
  <c r="AHK63" i="30"/>
  <c r="AIH63" i="30"/>
  <c r="ALO64" i="30"/>
  <c r="AIU65" i="30"/>
  <c r="AGL56" i="30"/>
  <c r="AHJ56" i="30"/>
  <c r="AIT56" i="30"/>
  <c r="AJF56" i="30"/>
  <c r="AJR56" i="30"/>
  <c r="AKD56" i="30"/>
  <c r="AKP56" i="30"/>
  <c r="AGL57" i="30"/>
  <c r="AHJ57" i="30"/>
  <c r="AHV57" i="30"/>
  <c r="AIT57" i="30"/>
  <c r="AJF57" i="30"/>
  <c r="AJR57" i="30"/>
  <c r="ALB57" i="30"/>
  <c r="AGX58" i="30"/>
  <c r="AIH58" i="30"/>
  <c r="AIH55" i="30" s="1"/>
  <c r="AIT58" i="30"/>
  <c r="AJG58" i="30"/>
  <c r="AKD59" i="30"/>
  <c r="AII63" i="30"/>
  <c r="AGM56" i="30"/>
  <c r="AJG56" i="30"/>
  <c r="AJS56" i="30"/>
  <c r="AKE56" i="30"/>
  <c r="AKQ56" i="30"/>
  <c r="AGM57" i="30"/>
  <c r="AHW57" i="30"/>
  <c r="AJG57" i="30"/>
  <c r="AJS57" i="30"/>
  <c r="AKE57" i="30"/>
  <c r="ALC57" i="30"/>
  <c r="AGY58" i="30"/>
  <c r="AII58" i="30"/>
  <c r="AGW59" i="30"/>
  <c r="AHK59" i="30"/>
  <c r="AJQ59" i="30"/>
  <c r="AKE59" i="30"/>
  <c r="ABP66" i="30"/>
  <c r="ABP59" i="30"/>
  <c r="ABP57" i="30"/>
  <c r="ABP64" i="30"/>
  <c r="ABP63" i="30"/>
  <c r="ABP56" i="30"/>
  <c r="AEJ63" i="30"/>
  <c r="AEJ56" i="30"/>
  <c r="ACZ65" i="30"/>
  <c r="ACZ58" i="30"/>
  <c r="ADX65" i="30"/>
  <c r="ADX58" i="30"/>
  <c r="ACB66" i="30"/>
  <c r="ACB59" i="30"/>
  <c r="ADX66" i="30"/>
  <c r="ADX59" i="30"/>
  <c r="AGF66" i="30"/>
  <c r="AGF59" i="30"/>
  <c r="ABE63" i="30"/>
  <c r="ABE56" i="30"/>
  <c r="ABQ63" i="30"/>
  <c r="ABQ56" i="30"/>
  <c r="ACO63" i="30"/>
  <c r="ACO56" i="30"/>
  <c r="ADA63" i="30"/>
  <c r="ADA56" i="30"/>
  <c r="ADM63" i="30"/>
  <c r="ADM56" i="30"/>
  <c r="AEK63" i="30"/>
  <c r="AEK56" i="30"/>
  <c r="AEW63" i="30"/>
  <c r="AEW56" i="30"/>
  <c r="AFI63" i="30"/>
  <c r="AFI56" i="30"/>
  <c r="AGG63" i="30"/>
  <c r="AGG56" i="30"/>
  <c r="ABE64" i="30"/>
  <c r="ABE57" i="30"/>
  <c r="ABQ64" i="30"/>
  <c r="ABQ57" i="30"/>
  <c r="ACC64" i="30"/>
  <c r="ACC57" i="30"/>
  <c r="ACO64" i="30"/>
  <c r="ACO57" i="30"/>
  <c r="ADA64" i="30"/>
  <c r="ADA57" i="30"/>
  <c r="ADM64" i="30"/>
  <c r="ADM57" i="30"/>
  <c r="ADY64" i="30"/>
  <c r="ADY57" i="30"/>
  <c r="AEK64" i="30"/>
  <c r="AEK57" i="30"/>
  <c r="AEW64" i="30"/>
  <c r="AEW57" i="30"/>
  <c r="AFI64" i="30"/>
  <c r="AFI57" i="30"/>
  <c r="AFU64" i="30"/>
  <c r="AFU57" i="30"/>
  <c r="AGG64" i="30"/>
  <c r="AGG57" i="30"/>
  <c r="ABE65" i="30"/>
  <c r="ABE58" i="30"/>
  <c r="ACC65" i="30"/>
  <c r="ACC58" i="30"/>
  <c r="ACO65" i="30"/>
  <c r="ACO58" i="30"/>
  <c r="ADA65" i="30"/>
  <c r="ADA58" i="30"/>
  <c r="ADY65" i="30"/>
  <c r="ADY58" i="30"/>
  <c r="AEW65" i="30"/>
  <c r="AEW58" i="30"/>
  <c r="AFT56" i="30"/>
  <c r="AFU56" i="30"/>
  <c r="ABQ58" i="30"/>
  <c r="ACZ56" i="30"/>
  <c r="ACZ63" i="30"/>
  <c r="ADL63" i="30"/>
  <c r="ADL56" i="30"/>
  <c r="AEV63" i="30"/>
  <c r="AEV56" i="30"/>
  <c r="AGF63" i="30"/>
  <c r="AGF56" i="30"/>
  <c r="ABD64" i="30"/>
  <c r="ABD57" i="30"/>
  <c r="ACZ57" i="30"/>
  <c r="ACZ64" i="30"/>
  <c r="AEJ64" i="30"/>
  <c r="AEJ57" i="30"/>
  <c r="AFH64" i="30"/>
  <c r="AFH57" i="30"/>
  <c r="AGF64" i="30"/>
  <c r="AGF57" i="30"/>
  <c r="ABD65" i="30"/>
  <c r="ABD58" i="30"/>
  <c r="ACB65" i="30"/>
  <c r="ACB58" i="30"/>
  <c r="ADL58" i="30"/>
  <c r="ADL65" i="30"/>
  <c r="AEJ65" i="30"/>
  <c r="AEJ58" i="30"/>
  <c r="AFT58" i="30"/>
  <c r="AFT65" i="30"/>
  <c r="ACN66" i="30"/>
  <c r="ACN59" i="30"/>
  <c r="ACZ59" i="30"/>
  <c r="ACZ66" i="30"/>
  <c r="ADL66" i="30"/>
  <c r="ADL59" i="30"/>
  <c r="AEJ66" i="30"/>
  <c r="AEJ59" i="30"/>
  <c r="AEV66" i="30"/>
  <c r="AEV59" i="30"/>
  <c r="AFT66" i="30"/>
  <c r="AFT59" i="30"/>
  <c r="AEK58" i="30"/>
  <c r="AEV65" i="30"/>
  <c r="ABD56" i="30"/>
  <c r="ABD63" i="30"/>
  <c r="ACN63" i="30"/>
  <c r="ACN56" i="30"/>
  <c r="ACN64" i="30"/>
  <c r="ACN57" i="30"/>
  <c r="ADX64" i="30"/>
  <c r="ADX57" i="30"/>
  <c r="AEV57" i="30"/>
  <c r="AEV64" i="30"/>
  <c r="AFT64" i="30"/>
  <c r="AFT57" i="30"/>
  <c r="ABP65" i="30"/>
  <c r="ABP58" i="30"/>
  <c r="AFH65" i="30"/>
  <c r="AFH58" i="30"/>
  <c r="ACB63" i="30"/>
  <c r="ABD66" i="30"/>
  <c r="AFH63" i="30"/>
  <c r="AFH56" i="30"/>
  <c r="ADL64" i="30"/>
  <c r="ADL57" i="30"/>
  <c r="ACN65" i="30"/>
  <c r="ACN58" i="30"/>
  <c r="ADX56" i="30"/>
  <c r="AGG65" i="30"/>
  <c r="AGG58" i="30"/>
  <c r="ACO66" i="30"/>
  <c r="ACO59" i="30"/>
  <c r="ADM66" i="30"/>
  <c r="ADM59" i="30"/>
  <c r="AEW66" i="30"/>
  <c r="AEW59" i="30"/>
  <c r="AGG66" i="30"/>
  <c r="AGG59" i="30"/>
  <c r="AFJ64" i="30"/>
  <c r="AFJ57" i="30"/>
  <c r="ABR65" i="30"/>
  <c r="ABR58" i="30"/>
  <c r="ADN65" i="30"/>
  <c r="ADN58" i="30"/>
  <c r="AFJ65" i="30"/>
  <c r="AFJ58" i="30"/>
  <c r="AGH65" i="30"/>
  <c r="AGH58" i="30"/>
  <c r="ABF66" i="30"/>
  <c r="ABF62" i="30" s="1"/>
  <c r="ABF59" i="30"/>
  <c r="ABR66" i="30"/>
  <c r="ABR59" i="30"/>
  <c r="ACD66" i="30"/>
  <c r="ACD62" i="30" s="1"/>
  <c r="ACD59" i="30"/>
  <c r="ACP66" i="30"/>
  <c r="ACP62" i="30" s="1"/>
  <c r="ACP59" i="30"/>
  <c r="ADB66" i="30"/>
  <c r="ADB62" i="30" s="1"/>
  <c r="ADB59" i="30"/>
  <c r="ADN66" i="30"/>
  <c r="ADN59" i="30"/>
  <c r="ADZ66" i="30"/>
  <c r="ADZ62" i="30" s="1"/>
  <c r="ADZ59" i="30"/>
  <c r="AEL66" i="30"/>
  <c r="AEL59" i="30"/>
  <c r="AEX66" i="30"/>
  <c r="AEX62" i="30" s="1"/>
  <c r="AEX59" i="30"/>
  <c r="AFJ66" i="30"/>
  <c r="AFJ59" i="30"/>
  <c r="AFV66" i="30"/>
  <c r="AFV62" i="30" s="1"/>
  <c r="AFV59" i="30"/>
  <c r="ACD57" i="30"/>
  <c r="AEX57" i="30"/>
  <c r="ADZ57" i="30"/>
  <c r="AFB57" i="30"/>
  <c r="ABF58" i="30"/>
  <c r="ABV59" i="30"/>
  <c r="AFN63" i="30"/>
  <c r="ADP55" i="30"/>
  <c r="AEN55" i="30"/>
  <c r="AAX56" i="30"/>
  <c r="ACP56" i="30"/>
  <c r="AFV57" i="30"/>
  <c r="ABJ58" i="30"/>
  <c r="ADB58" i="30"/>
  <c r="ADF59" i="30"/>
  <c r="AFZ59" i="30"/>
  <c r="AEO55" i="30"/>
  <c r="ABX56" i="30"/>
  <c r="ACT56" i="30"/>
  <c r="AEL56" i="30"/>
  <c r="ACD58" i="30"/>
  <c r="ADF58" i="30"/>
  <c r="AEX58" i="30"/>
  <c r="AEP63" i="30"/>
  <c r="ABE66" i="30"/>
  <c r="ABE59" i="30"/>
  <c r="ACC66" i="30"/>
  <c r="ACC59" i="30"/>
  <c r="ADA66" i="30"/>
  <c r="ADA59" i="30"/>
  <c r="AEK66" i="30"/>
  <c r="AEK59" i="30"/>
  <c r="AFU66" i="30"/>
  <c r="AFU59" i="30"/>
  <c r="AFJ63" i="30"/>
  <c r="AFJ56" i="30"/>
  <c r="ABR64" i="30"/>
  <c r="ABR57" i="30"/>
  <c r="ADN64" i="30"/>
  <c r="ADN57" i="30"/>
  <c r="AFZ63" i="30"/>
  <c r="AFZ56" i="30"/>
  <c r="AFZ64" i="30"/>
  <c r="AFZ57" i="30"/>
  <c r="ACH65" i="30"/>
  <c r="ACH58" i="30"/>
  <c r="ABJ66" i="30"/>
  <c r="ABJ62" i="30" s="1"/>
  <c r="ABJ59" i="30"/>
  <c r="AGH56" i="30"/>
  <c r="AFB58" i="30"/>
  <c r="AFB59" i="30"/>
  <c r="AAX57" i="30"/>
  <c r="ACP57" i="30"/>
  <c r="AFV58" i="30"/>
  <c r="AFN64" i="30"/>
  <c r="AFZ65" i="30"/>
  <c r="AEF63" i="30"/>
  <c r="AEF56" i="30"/>
  <c r="AEF57" i="30"/>
  <c r="AEF64" i="30"/>
  <c r="AGB64" i="30"/>
  <c r="AGB57" i="30"/>
  <c r="AGB58" i="30"/>
  <c r="AGB65" i="30"/>
  <c r="ADT66" i="30"/>
  <c r="ADT62" i="30" s="1"/>
  <c r="ADT59" i="30"/>
  <c r="AER59" i="30"/>
  <c r="AER66" i="30"/>
  <c r="ABX57" i="30"/>
  <c r="ACT57" i="30"/>
  <c r="AEL57" i="30"/>
  <c r="ACH59" i="30"/>
  <c r="ABQ66" i="30"/>
  <c r="ABQ59" i="30"/>
  <c r="ADY66" i="30"/>
  <c r="ADY59" i="30"/>
  <c r="AFI66" i="30"/>
  <c r="AFI59" i="30"/>
  <c r="ABR63" i="30"/>
  <c r="ABR56" i="30"/>
  <c r="ADN63" i="30"/>
  <c r="ADN56" i="30"/>
  <c r="AGH66" i="30"/>
  <c r="AGH59" i="30"/>
  <c r="ABV63" i="30"/>
  <c r="ABV56" i="30"/>
  <c r="AED63" i="30"/>
  <c r="AED56" i="30"/>
  <c r="ABV64" i="30"/>
  <c r="ABV57" i="30"/>
  <c r="ACH64" i="30"/>
  <c r="ACH57" i="30"/>
  <c r="ADR64" i="30"/>
  <c r="ADR57" i="30"/>
  <c r="ADR65" i="30"/>
  <c r="ADR58" i="30"/>
  <c r="ADR55" i="30" s="1"/>
  <c r="AED65" i="30"/>
  <c r="AED58" i="30"/>
  <c r="AFN65" i="30"/>
  <c r="AFN58" i="30"/>
  <c r="AAX66" i="30"/>
  <c r="AAX62" i="30" s="1"/>
  <c r="AAX59" i="30"/>
  <c r="AED66" i="30"/>
  <c r="AED59" i="30"/>
  <c r="ADZ58" i="30"/>
  <c r="AFU58" i="30"/>
  <c r="ACJ56" i="30"/>
  <c r="ACJ63" i="30"/>
  <c r="ABF56" i="30"/>
  <c r="AAZ57" i="30"/>
  <c r="ADT57" i="30"/>
  <c r="AEP57" i="30"/>
  <c r="AGH57" i="30"/>
  <c r="ACJ64" i="30"/>
  <c r="ADR66" i="30"/>
  <c r="ADS66" i="30"/>
  <c r="ADS62" i="30" s="1"/>
  <c r="ADS59" i="30"/>
  <c r="ABA56" i="30"/>
  <c r="ACW56" i="30"/>
  <c r="ABA57" i="30"/>
  <c r="ACW57" i="30"/>
  <c r="AES57" i="30"/>
  <c r="ACW58" i="30"/>
  <c r="AES58" i="30"/>
  <c r="ABW59" i="30"/>
  <c r="AGA59" i="30"/>
  <c r="ACL66" i="30"/>
  <c r="ACL62" i="30" s="1"/>
  <c r="ACL59" i="30"/>
  <c r="AET59" i="30"/>
  <c r="AET66" i="30"/>
  <c r="ACK56" i="30"/>
  <c r="AEG56" i="30"/>
  <c r="AEG57" i="30"/>
  <c r="AGC57" i="30"/>
  <c r="AGC58" i="30"/>
  <c r="AGD59" i="30"/>
  <c r="ABM59" i="30"/>
  <c r="ABM66" i="30"/>
  <c r="ABY66" i="30"/>
  <c r="ABY59" i="30"/>
  <c r="AES66" i="30"/>
  <c r="AES59" i="30"/>
  <c r="ACM66" i="30"/>
  <c r="ACM62" i="30" s="1"/>
  <c r="ACM59" i="30"/>
  <c r="AEU59" i="30"/>
  <c r="AEU66" i="30"/>
  <c r="ABW56" i="30"/>
  <c r="ACL56" i="30"/>
  <c r="ADS56" i="30"/>
  <c r="AEH56" i="30"/>
  <c r="AFO56" i="30"/>
  <c r="AGD56" i="30"/>
  <c r="ABW57" i="30"/>
  <c r="ACL57" i="30"/>
  <c r="ADS57" i="30"/>
  <c r="AEH57" i="30"/>
  <c r="AFO57" i="30"/>
  <c r="AGD57" i="30"/>
  <c r="ABW58" i="30"/>
  <c r="ACL58" i="30"/>
  <c r="ADS58" i="30"/>
  <c r="AEH58" i="30"/>
  <c r="AFO58" i="30"/>
  <c r="AGD58" i="30"/>
  <c r="ADU59" i="30"/>
  <c r="AGE59" i="30"/>
  <c r="ABG56" i="30"/>
  <c r="ABS56" i="30"/>
  <c r="ACE56" i="30"/>
  <c r="ACQ56" i="30"/>
  <c r="ADC56" i="30"/>
  <c r="ADO56" i="30"/>
  <c r="AEA56" i="30"/>
  <c r="AEM56" i="30"/>
  <c r="AEY56" i="30"/>
  <c r="AFK56" i="30"/>
  <c r="AFW56" i="30"/>
  <c r="AGI56" i="30"/>
  <c r="ABG57" i="30"/>
  <c r="ABS57" i="30"/>
  <c r="ACE57" i="30"/>
  <c r="ACQ57" i="30"/>
  <c r="ADC57" i="30"/>
  <c r="ADO57" i="30"/>
  <c r="AEA57" i="30"/>
  <c r="AEM57" i="30"/>
  <c r="AEY57" i="30"/>
  <c r="AFK57" i="30"/>
  <c r="AFW57" i="30"/>
  <c r="AGI57" i="30"/>
  <c r="ABG58" i="30"/>
  <c r="ABS58" i="30"/>
  <c r="ACE58" i="30"/>
  <c r="ACQ58" i="30"/>
  <c r="ADC58" i="30"/>
  <c r="ADO58" i="30"/>
  <c r="AEA58" i="30"/>
  <c r="AEM58" i="30"/>
  <c r="AEY58" i="30"/>
  <c r="AFK58" i="30"/>
  <c r="AFW58" i="30"/>
  <c r="AAW59" i="30"/>
  <c r="ADC59" i="30"/>
  <c r="AFW59" i="30"/>
  <c r="ABT63" i="30"/>
  <c r="ACR63" i="30"/>
  <c r="AFX63" i="30"/>
  <c r="ADP64" i="30"/>
  <c r="AEN64" i="30"/>
  <c r="ACF65" i="30"/>
  <c r="AFL65" i="30"/>
  <c r="ABH56" i="30"/>
  <c r="ADD56" i="30"/>
  <c r="AEZ56" i="30"/>
  <c r="ABH57" i="30"/>
  <c r="ADD57" i="30"/>
  <c r="AEZ57" i="30"/>
  <c r="ABH58" i="30"/>
  <c r="ADD58" i="30"/>
  <c r="AEZ58" i="30"/>
  <c r="ADD59" i="30"/>
  <c r="ABU63" i="30"/>
  <c r="ACS63" i="30"/>
  <c r="AFY63" i="30"/>
  <c r="ADQ64" i="30"/>
  <c r="AEO64" i="30"/>
  <c r="ACG65" i="30"/>
  <c r="AFM65" i="30"/>
  <c r="ABI56" i="30"/>
  <c r="ADE56" i="30"/>
  <c r="AFA56" i="30"/>
  <c r="ABI57" i="30"/>
  <c r="ADE57" i="30"/>
  <c r="AFA57" i="30"/>
  <c r="ABI58" i="30"/>
  <c r="ADE58" i="30"/>
  <c r="AFA58" i="30"/>
  <c r="ACQ59" i="30"/>
  <c r="ADE59" i="30"/>
  <c r="AFK59" i="30"/>
  <c r="XE55" i="30"/>
  <c r="ZD56" i="30"/>
  <c r="ZD55" i="30" s="1"/>
  <c r="ZD63" i="30"/>
  <c r="YC55" i="30"/>
  <c r="YH55" i="30"/>
  <c r="XD55" i="30"/>
  <c r="ZM63" i="30"/>
  <c r="ZM56" i="30"/>
  <c r="WG57" i="30"/>
  <c r="WG64" i="30"/>
  <c r="XQ64" i="30"/>
  <c r="XQ57" i="30"/>
  <c r="ZM64" i="30"/>
  <c r="ZM57" i="30"/>
  <c r="ZM65" i="30"/>
  <c r="ZM58" i="30"/>
  <c r="XQ66" i="30"/>
  <c r="XQ59" i="30"/>
  <c r="ZY59" i="30"/>
  <c r="ZY66" i="30"/>
  <c r="YD63" i="30"/>
  <c r="YD56" i="30"/>
  <c r="YD64" i="30"/>
  <c r="YD57" i="30"/>
  <c r="AAL64" i="30"/>
  <c r="AAL57" i="30"/>
  <c r="XR65" i="30"/>
  <c r="XR58" i="30"/>
  <c r="ZB66" i="30"/>
  <c r="ZB59" i="30"/>
  <c r="ZO63" i="30"/>
  <c r="ZO56" i="30"/>
  <c r="AAA63" i="30"/>
  <c r="AAA56" i="30"/>
  <c r="ZC64" i="30"/>
  <c r="ZC57" i="30"/>
  <c r="AAA64" i="30"/>
  <c r="AAA57" i="30"/>
  <c r="ZC65" i="30"/>
  <c r="ZC58" i="30"/>
  <c r="AAM65" i="30"/>
  <c r="AAM58" i="30"/>
  <c r="VV58" i="30"/>
  <c r="ZN59" i="30"/>
  <c r="ZP63" i="30"/>
  <c r="ZP56" i="30"/>
  <c r="AAN63" i="30"/>
  <c r="AAN56" i="30"/>
  <c r="VX64" i="30"/>
  <c r="VX57" i="30"/>
  <c r="ZP64" i="30"/>
  <c r="ZP57" i="30"/>
  <c r="VX65" i="30"/>
  <c r="VX58" i="30"/>
  <c r="XT65" i="30"/>
  <c r="XT58" i="30"/>
  <c r="YF65" i="30"/>
  <c r="YF58" i="30"/>
  <c r="ZP65" i="30"/>
  <c r="ZP58" i="30"/>
  <c r="AAN65" i="30"/>
  <c r="AAN58" i="30"/>
  <c r="WJ66" i="30"/>
  <c r="WJ62" i="30" s="1"/>
  <c r="WJ59" i="30"/>
  <c r="XT66" i="30"/>
  <c r="XT59" i="30"/>
  <c r="YF66" i="30"/>
  <c r="YF59" i="30"/>
  <c r="ZP66" i="30"/>
  <c r="ZP59" i="30"/>
  <c r="AAN66" i="30"/>
  <c r="AAN59" i="30"/>
  <c r="YF56" i="30"/>
  <c r="XG57" i="30"/>
  <c r="VW58" i="30"/>
  <c r="YQ59" i="30"/>
  <c r="AAO64" i="30"/>
  <c r="AAO57" i="30"/>
  <c r="VY65" i="30"/>
  <c r="VY58" i="30"/>
  <c r="XU65" i="30"/>
  <c r="XU58" i="30"/>
  <c r="ZQ65" i="30"/>
  <c r="ZQ58" i="30"/>
  <c r="XU66" i="30"/>
  <c r="XU59" i="30"/>
  <c r="AAO66" i="30"/>
  <c r="AAO59" i="30"/>
  <c r="ZZ59" i="30"/>
  <c r="VZ63" i="30"/>
  <c r="VZ56" i="30"/>
  <c r="WX63" i="30"/>
  <c r="WX56" i="30"/>
  <c r="AAD56" i="30"/>
  <c r="AAD63" i="30"/>
  <c r="VN64" i="30"/>
  <c r="VN57" i="30"/>
  <c r="WX64" i="30"/>
  <c r="WX57" i="30"/>
  <c r="AAD57" i="30"/>
  <c r="AAD64" i="30"/>
  <c r="VZ65" i="30"/>
  <c r="VZ58" i="30"/>
  <c r="WX65" i="30"/>
  <c r="WX58" i="30"/>
  <c r="ZR65" i="30"/>
  <c r="ZR58" i="30"/>
  <c r="VN66" i="30"/>
  <c r="VN59" i="30"/>
  <c r="WX66" i="30"/>
  <c r="WX59" i="30"/>
  <c r="VU56" i="30"/>
  <c r="WI57" i="30"/>
  <c r="YE57" i="30"/>
  <c r="XH58" i="30"/>
  <c r="YS59" i="30"/>
  <c r="AAA59" i="30"/>
  <c r="WM55" i="30"/>
  <c r="VJ57" i="30"/>
  <c r="WJ57" i="30"/>
  <c r="YF57" i="30"/>
  <c r="XI58" i="30"/>
  <c r="WL59" i="30"/>
  <c r="WL55" i="30" s="1"/>
  <c r="AAB59" i="30"/>
  <c r="VW56" i="30"/>
  <c r="WU56" i="30"/>
  <c r="XS56" i="30"/>
  <c r="ZF56" i="30"/>
  <c r="ZF55" i="30" s="1"/>
  <c r="WH58" i="30"/>
  <c r="XJ58" i="30"/>
  <c r="ZO58" i="30"/>
  <c r="AAC59" i="30"/>
  <c r="XE63" i="30"/>
  <c r="VX56" i="30"/>
  <c r="WV56" i="30"/>
  <c r="XT56" i="30"/>
  <c r="VH58" i="30"/>
  <c r="WI58" i="30"/>
  <c r="YR58" i="30"/>
  <c r="ZZ58" i="30"/>
  <c r="VJ59" i="30"/>
  <c r="XV59" i="30"/>
  <c r="AAD59" i="30"/>
  <c r="VH63" i="30"/>
  <c r="XE64" i="30"/>
  <c r="XD65" i="30"/>
  <c r="WR66" i="30"/>
  <c r="ZF66" i="30"/>
  <c r="XQ63" i="30"/>
  <c r="XQ56" i="30"/>
  <c r="ZA56" i="30"/>
  <c r="ZA63" i="30"/>
  <c r="YO57" i="30"/>
  <c r="YO64" i="30"/>
  <c r="AAK57" i="30"/>
  <c r="AAK64" i="30"/>
  <c r="ZA58" i="30"/>
  <c r="ZA65" i="30"/>
  <c r="VU66" i="30"/>
  <c r="VU59" i="30"/>
  <c r="WS59" i="30"/>
  <c r="WS66" i="30"/>
  <c r="YO59" i="30"/>
  <c r="YO66" i="30"/>
  <c r="ZM66" i="30"/>
  <c r="ZM59" i="30"/>
  <c r="YP63" i="30"/>
  <c r="YP56" i="30"/>
  <c r="AAL63" i="30"/>
  <c r="AAL56" i="30"/>
  <c r="YP64" i="30"/>
  <c r="YP57" i="30"/>
  <c r="ZN64" i="30"/>
  <c r="ZN57" i="30"/>
  <c r="XF58" i="30"/>
  <c r="XF65" i="30"/>
  <c r="YQ63" i="30"/>
  <c r="YQ56" i="30"/>
  <c r="AAM63" i="30"/>
  <c r="AAM56" i="30"/>
  <c r="YQ64" i="30"/>
  <c r="YQ57" i="30"/>
  <c r="AAM64" i="30"/>
  <c r="AAM57" i="30"/>
  <c r="XS65" i="30"/>
  <c r="XS58" i="30"/>
  <c r="WI66" i="30"/>
  <c r="WI62" i="30" s="1"/>
  <c r="WI59" i="30"/>
  <c r="XF57" i="30"/>
  <c r="YC66" i="30"/>
  <c r="AAB64" i="30"/>
  <c r="AAB57" i="30"/>
  <c r="WV66" i="30"/>
  <c r="WV62" i="30" s="1"/>
  <c r="WV59" i="30"/>
  <c r="ZO59" i="30"/>
  <c r="VL66" i="30"/>
  <c r="AAO63" i="30"/>
  <c r="AAO56" i="30"/>
  <c r="WK64" i="30"/>
  <c r="WK57" i="30"/>
  <c r="AAC64" i="30"/>
  <c r="AAC57" i="30"/>
  <c r="WK65" i="30"/>
  <c r="WK58" i="30"/>
  <c r="YG65" i="30"/>
  <c r="YG58" i="30"/>
  <c r="WW66" i="30"/>
  <c r="WW62" i="30" s="1"/>
  <c r="WW59" i="30"/>
  <c r="WH57" i="30"/>
  <c r="YD58" i="30"/>
  <c r="VM66" i="30"/>
  <c r="VN56" i="30"/>
  <c r="VN63" i="30"/>
  <c r="AAP64" i="30"/>
  <c r="AAP57" i="30"/>
  <c r="XI57" i="30"/>
  <c r="ZE64" i="30"/>
  <c r="ZD65" i="30"/>
  <c r="YP58" i="30"/>
  <c r="ZF64" i="30"/>
  <c r="YQ58" i="30"/>
  <c r="ZE66" i="30"/>
  <c r="VY56" i="30"/>
  <c r="WW56" i="30"/>
  <c r="XU56" i="30"/>
  <c r="WT57" i="30"/>
  <c r="XR57" i="30"/>
  <c r="WJ58" i="30"/>
  <c r="YS58" i="30"/>
  <c r="AAA58" i="30"/>
  <c r="VK59" i="30"/>
  <c r="VI63" i="30"/>
  <c r="XE65" i="30"/>
  <c r="XD66" i="30"/>
  <c r="YO56" i="30"/>
  <c r="YO63" i="30"/>
  <c r="ZY56" i="30"/>
  <c r="ZY63" i="30"/>
  <c r="VU64" i="30"/>
  <c r="VU57" i="30"/>
  <c r="ZY57" i="30"/>
  <c r="ZY64" i="30"/>
  <c r="WG58" i="30"/>
  <c r="WG65" i="30"/>
  <c r="WS58" i="30"/>
  <c r="WS65" i="30"/>
  <c r="YO58" i="30"/>
  <c r="YO65" i="30"/>
  <c r="AAK58" i="30"/>
  <c r="AAK65" i="30"/>
  <c r="ZA59" i="30"/>
  <c r="ZA66" i="30"/>
  <c r="AAK59" i="30"/>
  <c r="AAK66" i="30"/>
  <c r="YC64" i="30"/>
  <c r="VI66" i="30"/>
  <c r="ZB63" i="30"/>
  <c r="ZB56" i="30"/>
  <c r="ZZ63" i="30"/>
  <c r="ZZ56" i="30"/>
  <c r="ZZ64" i="30"/>
  <c r="ZZ57" i="30"/>
  <c r="ZB65" i="30"/>
  <c r="ZB58" i="30"/>
  <c r="AAL65" i="30"/>
  <c r="AAL58" i="30"/>
  <c r="WH66" i="30"/>
  <c r="WH62" i="30" s="1"/>
  <c r="WH59" i="30"/>
  <c r="XR66" i="30"/>
  <c r="XR59" i="30"/>
  <c r="YC65" i="30"/>
  <c r="AAC63" i="30"/>
  <c r="AAC56" i="30"/>
  <c r="VY64" i="30"/>
  <c r="VY57" i="30"/>
  <c r="ZQ64" i="30"/>
  <c r="ZQ57" i="30"/>
  <c r="WK66" i="30"/>
  <c r="WK59" i="30"/>
  <c r="YG56" i="30"/>
  <c r="YR59" i="30"/>
  <c r="ZE63" i="30"/>
  <c r="ZD64" i="30"/>
  <c r="AAP63" i="30"/>
  <c r="AAP56" i="30"/>
  <c r="VN58" i="30"/>
  <c r="VN65" i="30"/>
  <c r="WS56" i="30"/>
  <c r="YE58" i="30"/>
  <c r="VV56" i="30"/>
  <c r="WT56" i="30"/>
  <c r="XR56" i="30"/>
  <c r="XJ57" i="30"/>
  <c r="ZN58" i="30"/>
  <c r="YT59" i="30"/>
  <c r="ZE65" i="30"/>
  <c r="ZD66" i="30"/>
  <c r="YG57" i="30"/>
  <c r="WF56" i="30"/>
  <c r="XV56" i="30"/>
  <c r="YR56" i="30"/>
  <c r="VT57" i="30"/>
  <c r="WU57" i="30"/>
  <c r="XS57" i="30"/>
  <c r="YT58" i="30"/>
  <c r="AAB58" i="30"/>
  <c r="VV59" i="30"/>
  <c r="WT59" i="30"/>
  <c r="YB63" i="30"/>
  <c r="VI64" i="30"/>
  <c r="XE66" i="30"/>
  <c r="AAK56" i="30"/>
  <c r="AAK63" i="30"/>
  <c r="WS57" i="30"/>
  <c r="WS64" i="30"/>
  <c r="ZA57" i="30"/>
  <c r="ZA64" i="30"/>
  <c r="VU65" i="30"/>
  <c r="VU58" i="30"/>
  <c r="XQ65" i="30"/>
  <c r="XQ58" i="30"/>
  <c r="ZY58" i="30"/>
  <c r="ZY65" i="30"/>
  <c r="WG59" i="30"/>
  <c r="WG66" i="30"/>
  <c r="ZN63" i="30"/>
  <c r="ZN56" i="30"/>
  <c r="ZB64" i="30"/>
  <c r="ZB57" i="30"/>
  <c r="AAL66" i="30"/>
  <c r="AAL59" i="30"/>
  <c r="ZC63" i="30"/>
  <c r="ZC56" i="30"/>
  <c r="ZO64" i="30"/>
  <c r="ZO57" i="30"/>
  <c r="XS66" i="30"/>
  <c r="XS59" i="30"/>
  <c r="ZC66" i="30"/>
  <c r="ZC59" i="30"/>
  <c r="AAM66" i="30"/>
  <c r="AAM59" i="30"/>
  <c r="YE56" i="30"/>
  <c r="YP59" i="30"/>
  <c r="AAB63" i="30"/>
  <c r="AAB56" i="30"/>
  <c r="AAN64" i="30"/>
  <c r="AAN57" i="30"/>
  <c r="ZQ63" i="30"/>
  <c r="ZQ56" i="30"/>
  <c r="AAO65" i="30"/>
  <c r="AAO58" i="30"/>
  <c r="YG66" i="30"/>
  <c r="YG59" i="30"/>
  <c r="ZQ66" i="30"/>
  <c r="ZQ59" i="30"/>
  <c r="XH57" i="30"/>
  <c r="XG58" i="30"/>
  <c r="VZ64" i="30"/>
  <c r="VZ57" i="30"/>
  <c r="ZR66" i="30"/>
  <c r="ZR59" i="30"/>
  <c r="XP63" i="30"/>
  <c r="XP56" i="30"/>
  <c r="YN56" i="30"/>
  <c r="YN63" i="30"/>
  <c r="YZ63" i="30"/>
  <c r="YZ56" i="30"/>
  <c r="ZL63" i="30"/>
  <c r="ZL56" i="30"/>
  <c r="ZX56" i="30"/>
  <c r="ZX63" i="30"/>
  <c r="XP64" i="30"/>
  <c r="XP57" i="30"/>
  <c r="YN57" i="30"/>
  <c r="YN64" i="30"/>
  <c r="YZ64" i="30"/>
  <c r="YZ57" i="30"/>
  <c r="ZL64" i="30"/>
  <c r="ZL57" i="30"/>
  <c r="ZX57" i="30"/>
  <c r="ZX64" i="30"/>
  <c r="XP65" i="30"/>
  <c r="XP58" i="30"/>
  <c r="YN58" i="30"/>
  <c r="YN65" i="30"/>
  <c r="YZ58" i="30"/>
  <c r="YZ65" i="30"/>
  <c r="ZL65" i="30"/>
  <c r="ZL58" i="30"/>
  <c r="ZX58" i="30"/>
  <c r="ZX65" i="30"/>
  <c r="AAJ58" i="30"/>
  <c r="AAJ65" i="30"/>
  <c r="VT66" i="30"/>
  <c r="VT59" i="30"/>
  <c r="WF59" i="30"/>
  <c r="WF66" i="30"/>
  <c r="WF62" i="30" s="1"/>
  <c r="XP66" i="30"/>
  <c r="XP59" i="30"/>
  <c r="YN59" i="30"/>
  <c r="YN66" i="30"/>
  <c r="YZ59" i="30"/>
  <c r="YZ66" i="30"/>
  <c r="ZL66" i="30"/>
  <c r="ZL59" i="30"/>
  <c r="ZX59" i="30"/>
  <c r="ZX66" i="30"/>
  <c r="AAJ59" i="30"/>
  <c r="AAJ66" i="30"/>
  <c r="WG56" i="30"/>
  <c r="XF56" i="30"/>
  <c r="YS56" i="30"/>
  <c r="VV57" i="30"/>
  <c r="WV57" i="30"/>
  <c r="XT57" i="30"/>
  <c r="AAC58" i="30"/>
  <c r="VW59" i="30"/>
  <c r="WU59" i="30"/>
  <c r="YC63" i="30"/>
  <c r="YB64" i="30"/>
  <c r="VI65" i="30"/>
  <c r="VH66" i="30"/>
  <c r="VO56" i="30"/>
  <c r="VO55" i="30" s="1"/>
  <c r="WA56" i="30"/>
  <c r="WY56" i="30"/>
  <c r="WY57" i="30"/>
  <c r="VO65" i="30"/>
  <c r="VO66" i="30"/>
  <c r="VP56" i="30"/>
  <c r="WB56" i="30"/>
  <c r="WZ56" i="30"/>
  <c r="XM56" i="30"/>
  <c r="XZ56" i="30"/>
  <c r="YM56" i="30"/>
  <c r="WZ57" i="30"/>
  <c r="XM57" i="30"/>
  <c r="XZ57" i="30"/>
  <c r="YM57" i="30"/>
  <c r="WZ58" i="30"/>
  <c r="WA64" i="30"/>
  <c r="WA65" i="30"/>
  <c r="WY58" i="30"/>
  <c r="VO64" i="30"/>
  <c r="VQ56" i="30"/>
  <c r="WC56" i="30"/>
  <c r="WO56" i="30"/>
  <c r="XA56" i="30"/>
  <c r="XN56" i="30"/>
  <c r="YA56" i="30"/>
  <c r="XA57" i="30"/>
  <c r="XN57" i="30"/>
  <c r="YA57" i="30"/>
  <c r="XA58" i="30"/>
  <c r="WY59" i="30"/>
  <c r="WB64" i="30"/>
  <c r="WB65" i="30"/>
  <c r="XB65" i="30"/>
  <c r="XB58" i="30"/>
  <c r="XN65" i="30"/>
  <c r="XN58" i="30"/>
  <c r="XZ65" i="30"/>
  <c r="XZ58" i="30"/>
  <c r="YL65" i="30"/>
  <c r="YL58" i="30"/>
  <c r="YX65" i="30"/>
  <c r="YX58" i="30"/>
  <c r="ZJ65" i="30"/>
  <c r="ZJ58" i="30"/>
  <c r="ZV65" i="30"/>
  <c r="ZV58" i="30"/>
  <c r="AAH65" i="30"/>
  <c r="AAH58" i="30"/>
  <c r="AAT65" i="30"/>
  <c r="AAT58" i="30"/>
  <c r="VR66" i="30"/>
  <c r="VR59" i="30"/>
  <c r="WD66" i="30"/>
  <c r="WD62" i="30" s="1"/>
  <c r="WD59" i="30"/>
  <c r="WP66" i="30"/>
  <c r="WP62" i="30" s="1"/>
  <c r="WP59" i="30"/>
  <c r="XB66" i="30"/>
  <c r="XB62" i="30" s="1"/>
  <c r="XB59" i="30"/>
  <c r="XN66" i="30"/>
  <c r="XN59" i="30"/>
  <c r="XZ66" i="30"/>
  <c r="XZ59" i="30"/>
  <c r="YL66" i="30"/>
  <c r="YL59" i="30"/>
  <c r="YX66" i="30"/>
  <c r="YX59" i="30"/>
  <c r="ZJ66" i="30"/>
  <c r="ZJ62" i="30" s="1"/>
  <c r="ZJ59" i="30"/>
  <c r="ZV66" i="30"/>
  <c r="ZV59" i="30"/>
  <c r="AAH66" i="30"/>
  <c r="AAH59" i="30"/>
  <c r="AAT66" i="30"/>
  <c r="AAT59" i="30"/>
  <c r="VR56" i="30"/>
  <c r="WD56" i="30"/>
  <c r="WP56" i="30"/>
  <c r="XB56" i="30"/>
  <c r="XO56" i="30"/>
  <c r="WO57" i="30"/>
  <c r="XB57" i="30"/>
  <c r="XO57" i="30"/>
  <c r="WO58" i="30"/>
  <c r="XC58" i="30"/>
  <c r="VP59" i="30"/>
  <c r="WZ59" i="30"/>
  <c r="YA65" i="30"/>
  <c r="YA58" i="30"/>
  <c r="YM65" i="30"/>
  <c r="YM58" i="30"/>
  <c r="YY65" i="30"/>
  <c r="YY58" i="30"/>
  <c r="ZK65" i="30"/>
  <c r="ZK58" i="30"/>
  <c r="ZW65" i="30"/>
  <c r="ZW58" i="30"/>
  <c r="AAI65" i="30"/>
  <c r="AAI58" i="30"/>
  <c r="AAU65" i="30"/>
  <c r="AAU58" i="30"/>
  <c r="VS66" i="30"/>
  <c r="VS59" i="30"/>
  <c r="WE66" i="30"/>
  <c r="WE62" i="30" s="1"/>
  <c r="WE59" i="30"/>
  <c r="WQ66" i="30"/>
  <c r="WQ62" i="30" s="1"/>
  <c r="WQ59" i="30"/>
  <c r="XC66" i="30"/>
  <c r="XC62" i="30" s="1"/>
  <c r="XC59" i="30"/>
  <c r="XO66" i="30"/>
  <c r="XO59" i="30"/>
  <c r="YA66" i="30"/>
  <c r="YA59" i="30"/>
  <c r="YM66" i="30"/>
  <c r="YM59" i="30"/>
  <c r="YY66" i="30"/>
  <c r="YY59" i="30"/>
  <c r="ZK66" i="30"/>
  <c r="ZK59" i="30"/>
  <c r="ZW66" i="30"/>
  <c r="ZW62" i="30" s="1"/>
  <c r="ZW59" i="30"/>
  <c r="AAI66" i="30"/>
  <c r="AAI59" i="30"/>
  <c r="AAU66" i="30"/>
  <c r="AAU59" i="30"/>
  <c r="VS56" i="30"/>
  <c r="WE56" i="30"/>
  <c r="WQ56" i="30"/>
  <c r="XC56" i="30"/>
  <c r="AAQ56" i="30"/>
  <c r="VP57" i="30"/>
  <c r="WC57" i="30"/>
  <c r="WP57" i="30"/>
  <c r="XC57" i="30"/>
  <c r="AAQ57" i="30"/>
  <c r="VP58" i="30"/>
  <c r="WC58" i="30"/>
  <c r="WP58" i="30"/>
  <c r="YK58" i="30"/>
  <c r="ZU58" i="30"/>
  <c r="VQ59" i="30"/>
  <c r="XA59" i="30"/>
  <c r="YK59" i="30"/>
  <c r="ZU59" i="30"/>
  <c r="SB63" i="30"/>
  <c r="SB56" i="30"/>
  <c r="SB64" i="30"/>
  <c r="SB57" i="30"/>
  <c r="PT65" i="30"/>
  <c r="PT58" i="30"/>
  <c r="RD65" i="30"/>
  <c r="RD58" i="30"/>
  <c r="SN65" i="30"/>
  <c r="SN58" i="30"/>
  <c r="TX66" i="30"/>
  <c r="TX59" i="30"/>
  <c r="UV66" i="30"/>
  <c r="UV62" i="30" s="1"/>
  <c r="UV59" i="30"/>
  <c r="RD56" i="30"/>
  <c r="PU64" i="30"/>
  <c r="PU57" i="30"/>
  <c r="QG65" i="30"/>
  <c r="QG58" i="30"/>
  <c r="UW58" i="30"/>
  <c r="UW55" i="30" s="1"/>
  <c r="UW65" i="30"/>
  <c r="UK59" i="30"/>
  <c r="UK66" i="30"/>
  <c r="RE56" i="30"/>
  <c r="SZ56" i="30"/>
  <c r="TY66" i="30"/>
  <c r="SD56" i="30"/>
  <c r="SD63" i="30"/>
  <c r="UL64" i="30"/>
  <c r="UL57" i="30"/>
  <c r="TZ66" i="30"/>
  <c r="TZ59" i="30"/>
  <c r="UL66" i="30"/>
  <c r="UL59" i="30"/>
  <c r="RF56" i="30"/>
  <c r="TA56" i="30"/>
  <c r="TL64" i="30"/>
  <c r="UW64" i="30"/>
  <c r="RG56" i="30"/>
  <c r="RG63" i="30"/>
  <c r="SQ63" i="30"/>
  <c r="SQ56" i="30"/>
  <c r="RS64" i="30"/>
  <c r="RS57" i="30"/>
  <c r="SQ64" i="30"/>
  <c r="SQ57" i="30"/>
  <c r="TC64" i="30"/>
  <c r="TC57" i="30"/>
  <c r="UM64" i="30"/>
  <c r="UM57" i="30"/>
  <c r="QI65" i="30"/>
  <c r="QI58" i="30"/>
  <c r="RS65" i="30"/>
  <c r="RS58" i="30"/>
  <c r="SQ65" i="30"/>
  <c r="SQ58" i="30"/>
  <c r="TC65" i="30"/>
  <c r="TC58" i="30"/>
  <c r="UA58" i="30"/>
  <c r="UA65" i="30"/>
  <c r="UM65" i="30"/>
  <c r="UM58" i="30"/>
  <c r="QU59" i="30"/>
  <c r="QU66" i="30"/>
  <c r="RS66" i="30"/>
  <c r="RS59" i="30"/>
  <c r="SQ66" i="30"/>
  <c r="SQ59" i="30"/>
  <c r="UA66" i="30"/>
  <c r="UA59" i="30"/>
  <c r="UM66" i="30"/>
  <c r="UM59" i="30"/>
  <c r="QM56" i="30"/>
  <c r="TC56" i="30"/>
  <c r="SB58" i="30"/>
  <c r="UX64" i="30"/>
  <c r="UQ65" i="30"/>
  <c r="TL63" i="30"/>
  <c r="TL56" i="30"/>
  <c r="UJ56" i="30"/>
  <c r="UJ63" i="30"/>
  <c r="PT64" i="30"/>
  <c r="PT57" i="30"/>
  <c r="UJ65" i="30"/>
  <c r="UJ58" i="30"/>
  <c r="QF66" i="30"/>
  <c r="QF62" i="30" s="1"/>
  <c r="QF59" i="30"/>
  <c r="SN63" i="30"/>
  <c r="RQ64" i="30"/>
  <c r="RQ57" i="30"/>
  <c r="RE65" i="30"/>
  <c r="RE58" i="30"/>
  <c r="UK58" i="30"/>
  <c r="UK65" i="30"/>
  <c r="QG66" i="30"/>
  <c r="QG59" i="30"/>
  <c r="RE66" i="30"/>
  <c r="RE59" i="30"/>
  <c r="SP63" i="30"/>
  <c r="SP56" i="30"/>
  <c r="QH64" i="30"/>
  <c r="QH57" i="30"/>
  <c r="SD65" i="30"/>
  <c r="SD58" i="30"/>
  <c r="QH66" i="30"/>
  <c r="QH59" i="30"/>
  <c r="RF66" i="30"/>
  <c r="RF59" i="30"/>
  <c r="SP66" i="30"/>
  <c r="SP59" i="30"/>
  <c r="SC58" i="30"/>
  <c r="SZ58" i="30"/>
  <c r="RD64" i="30"/>
  <c r="SN66" i="30"/>
  <c r="QF57" i="30"/>
  <c r="RF57" i="30"/>
  <c r="SC57" i="30"/>
  <c r="QF58" i="30"/>
  <c r="TA58" i="30"/>
  <c r="SZ59" i="30"/>
  <c r="TB63" i="30"/>
  <c r="RE64" i="30"/>
  <c r="RD66" i="30"/>
  <c r="TR62" i="30"/>
  <c r="RQ56" i="30"/>
  <c r="VC56" i="30"/>
  <c r="QG57" i="30"/>
  <c r="RG57" i="30"/>
  <c r="SD57" i="30"/>
  <c r="UA57" i="30"/>
  <c r="UV57" i="30"/>
  <c r="UV58" i="30"/>
  <c r="RG59" i="30"/>
  <c r="TA59" i="30"/>
  <c r="TX64" i="30"/>
  <c r="SI65" i="30"/>
  <c r="UW66" i="30"/>
  <c r="PT63" i="30"/>
  <c r="PT56" i="30"/>
  <c r="RP63" i="30"/>
  <c r="RP56" i="30"/>
  <c r="TX63" i="30"/>
  <c r="TX56" i="30"/>
  <c r="SN57" i="30"/>
  <c r="SN64" i="30"/>
  <c r="UJ57" i="30"/>
  <c r="UJ64" i="30"/>
  <c r="TX58" i="30"/>
  <c r="TX65" i="30"/>
  <c r="PT66" i="30"/>
  <c r="PT59" i="30"/>
  <c r="SB66" i="30"/>
  <c r="SB59" i="30"/>
  <c r="UJ59" i="30"/>
  <c r="UJ66" i="30"/>
  <c r="QS63" i="30"/>
  <c r="QS56" i="30"/>
  <c r="SC63" i="30"/>
  <c r="SC56" i="30"/>
  <c r="SO64" i="30"/>
  <c r="SO57" i="30"/>
  <c r="TM57" i="30"/>
  <c r="TM64" i="30"/>
  <c r="UK64" i="30"/>
  <c r="UK57" i="30"/>
  <c r="PU65" i="30"/>
  <c r="PU58" i="30"/>
  <c r="QS65" i="30"/>
  <c r="QS58" i="30"/>
  <c r="TY65" i="30"/>
  <c r="TY58" i="30"/>
  <c r="TY55" i="30" s="1"/>
  <c r="SO66" i="30"/>
  <c r="SO59" i="30"/>
  <c r="QH63" i="30"/>
  <c r="QH56" i="30"/>
  <c r="UX63" i="30"/>
  <c r="UX56" i="30"/>
  <c r="PV64" i="30"/>
  <c r="PV57" i="30"/>
  <c r="RR57" i="30"/>
  <c r="RR64" i="30"/>
  <c r="TZ64" i="30"/>
  <c r="TZ57" i="30"/>
  <c r="PV65" i="30"/>
  <c r="PV58" i="30"/>
  <c r="RF65" i="30"/>
  <c r="RF58" i="30"/>
  <c r="RR65" i="30"/>
  <c r="RR58" i="30"/>
  <c r="TB65" i="30"/>
  <c r="TB58" i="30"/>
  <c r="TZ58" i="30"/>
  <c r="TZ65" i="30"/>
  <c r="UX65" i="30"/>
  <c r="UX58" i="30"/>
  <c r="PV59" i="30"/>
  <c r="PV66" i="30"/>
  <c r="RR66" i="30"/>
  <c r="RR59" i="30"/>
  <c r="TB66" i="30"/>
  <c r="TB59" i="30"/>
  <c r="UV56" i="30"/>
  <c r="RK63" i="30"/>
  <c r="RK56" i="30"/>
  <c r="SU63" i="30"/>
  <c r="SU56" i="30"/>
  <c r="QM64" i="30"/>
  <c r="QM57" i="30"/>
  <c r="SU57" i="30"/>
  <c r="SU64" i="30"/>
  <c r="TS64" i="30"/>
  <c r="TS57" i="30"/>
  <c r="UQ64" i="30"/>
  <c r="UQ57" i="30"/>
  <c r="QM65" i="30"/>
  <c r="QM58" i="30"/>
  <c r="QY58" i="30"/>
  <c r="QY65" i="30"/>
  <c r="RW58" i="30"/>
  <c r="RW65" i="30"/>
  <c r="TS65" i="30"/>
  <c r="TS58" i="30"/>
  <c r="VC65" i="30"/>
  <c r="VC58" i="30"/>
  <c r="QA66" i="30"/>
  <c r="QA62" i="30" s="1"/>
  <c r="QA59" i="30"/>
  <c r="QM59" i="30"/>
  <c r="QM66" i="30"/>
  <c r="RW59" i="30"/>
  <c r="RW66" i="30"/>
  <c r="SI59" i="30"/>
  <c r="SI55" i="30" s="1"/>
  <c r="SI66" i="30"/>
  <c r="TS66" i="30"/>
  <c r="TS59" i="30"/>
  <c r="UQ66" i="30"/>
  <c r="UQ59" i="30"/>
  <c r="PU56" i="30"/>
  <c r="RR56" i="30"/>
  <c r="SE57" i="30"/>
  <c r="UY57" i="30"/>
  <c r="RK58" i="30"/>
  <c r="UY58" i="30"/>
  <c r="SE59" i="30"/>
  <c r="TC59" i="30"/>
  <c r="VC59" i="30"/>
  <c r="QR63" i="30"/>
  <c r="QI64" i="30"/>
  <c r="TY64" i="30"/>
  <c r="VC64" i="30"/>
  <c r="TG66" i="30"/>
  <c r="UX66" i="30"/>
  <c r="QN64" i="30"/>
  <c r="QN57" i="30"/>
  <c r="RL64" i="30"/>
  <c r="RL57" i="30"/>
  <c r="SJ58" i="30"/>
  <c r="SJ65" i="30"/>
  <c r="UF66" i="30"/>
  <c r="UF59" i="30"/>
  <c r="TI64" i="30"/>
  <c r="TI57" i="30"/>
  <c r="RA57" i="30"/>
  <c r="TT57" i="30"/>
  <c r="VE57" i="30"/>
  <c r="TU58" i="30"/>
  <c r="VE58" i="30"/>
  <c r="TH63" i="30"/>
  <c r="RX65" i="30"/>
  <c r="SW66" i="30"/>
  <c r="QN63" i="30"/>
  <c r="QN56" i="30"/>
  <c r="RL59" i="30"/>
  <c r="RL66" i="30"/>
  <c r="VD57" i="30"/>
  <c r="TT58" i="30"/>
  <c r="SW57" i="30"/>
  <c r="SW64" i="30"/>
  <c r="TU66" i="30"/>
  <c r="TU59" i="30"/>
  <c r="RB63" i="30"/>
  <c r="RB56" i="30"/>
  <c r="RZ63" i="30"/>
  <c r="RZ62" i="30" s="1"/>
  <c r="RZ56" i="30"/>
  <c r="TV63" i="30"/>
  <c r="TV56" i="30"/>
  <c r="UT63" i="30"/>
  <c r="UT56" i="30"/>
  <c r="RB64" i="30"/>
  <c r="RB57" i="30"/>
  <c r="TJ64" i="30"/>
  <c r="TJ57" i="30"/>
  <c r="TV64" i="30"/>
  <c r="TV57" i="30"/>
  <c r="VF64" i="30"/>
  <c r="VF62" i="30" s="1"/>
  <c r="VF57" i="30"/>
  <c r="RN65" i="30"/>
  <c r="RN62" i="30" s="1"/>
  <c r="RN58" i="30"/>
  <c r="TJ65" i="30"/>
  <c r="TJ58" i="30"/>
  <c r="TV65" i="30"/>
  <c r="TV58" i="30"/>
  <c r="UH65" i="30"/>
  <c r="UH62" i="30" s="1"/>
  <c r="UH58" i="30"/>
  <c r="QP66" i="30"/>
  <c r="QP62" i="30" s="1"/>
  <c r="QP59" i="30"/>
  <c r="SL66" i="30"/>
  <c r="SL62" i="30" s="1"/>
  <c r="SL59" i="30"/>
  <c r="TJ66" i="30"/>
  <c r="TJ59" i="30"/>
  <c r="TV66" i="30"/>
  <c r="TV59" i="30"/>
  <c r="QD56" i="30"/>
  <c r="TK56" i="30"/>
  <c r="RC57" i="30"/>
  <c r="VF58" i="30"/>
  <c r="US59" i="30"/>
  <c r="UR64" i="30"/>
  <c r="SA65" i="30"/>
  <c r="VD65" i="30"/>
  <c r="RX66" i="30"/>
  <c r="SY66" i="30"/>
  <c r="UI66" i="30"/>
  <c r="UF63" i="30"/>
  <c r="UF56" i="30"/>
  <c r="SV58" i="30"/>
  <c r="SV65" i="30"/>
  <c r="SJ66" i="30"/>
  <c r="SJ59" i="30"/>
  <c r="SV66" i="30"/>
  <c r="RY65" i="30"/>
  <c r="RY58" i="30"/>
  <c r="SW58" i="30"/>
  <c r="SW65" i="30"/>
  <c r="SA57" i="30"/>
  <c r="SA64" i="30"/>
  <c r="SY57" i="30"/>
  <c r="SY64" i="30"/>
  <c r="TK57" i="30"/>
  <c r="TK64" i="30"/>
  <c r="TW64" i="30"/>
  <c r="TW57" i="30"/>
  <c r="UU57" i="30"/>
  <c r="UU64" i="30"/>
  <c r="VG64" i="30"/>
  <c r="VG57" i="30"/>
  <c r="RC58" i="30"/>
  <c r="RC65" i="30"/>
  <c r="VG65" i="30"/>
  <c r="VG58" i="30"/>
  <c r="QE59" i="30"/>
  <c r="QE66" i="30"/>
  <c r="RO66" i="30"/>
  <c r="RO59" i="30"/>
  <c r="SM59" i="30"/>
  <c r="SM66" i="30"/>
  <c r="TK59" i="30"/>
  <c r="TK66" i="30"/>
  <c r="TW59" i="30"/>
  <c r="TW66" i="30"/>
  <c r="VG66" i="30"/>
  <c r="VG59" i="30"/>
  <c r="RM56" i="30"/>
  <c r="SV56" i="30"/>
  <c r="US56" i="30"/>
  <c r="QN58" i="30"/>
  <c r="TH59" i="30"/>
  <c r="UT59" i="30"/>
  <c r="SV64" i="30"/>
  <c r="QC65" i="30"/>
  <c r="QJ66" i="30"/>
  <c r="QJ59" i="30"/>
  <c r="SF57" i="30"/>
  <c r="QK56" i="30"/>
  <c r="SG56" i="30"/>
  <c r="SS56" i="30"/>
  <c r="RI57" i="30"/>
  <c r="RI55" i="30" s="1"/>
  <c r="QX63" i="30"/>
  <c r="SH63" i="30"/>
  <c r="TF56" i="30"/>
  <c r="TR56" i="30"/>
  <c r="PZ57" i="30"/>
  <c r="QX57" i="30"/>
  <c r="RJ57" i="30"/>
  <c r="QW58" i="30"/>
  <c r="QW55" i="30" s="1"/>
  <c r="OM65" i="30"/>
  <c r="OM58" i="30"/>
  <c r="KX63" i="30"/>
  <c r="KX56" i="30"/>
  <c r="MM63" i="30"/>
  <c r="MM56" i="30"/>
  <c r="OI63" i="30"/>
  <c r="OI56" i="30"/>
  <c r="PS56" i="30"/>
  <c r="PS63" i="30"/>
  <c r="LO57" i="30"/>
  <c r="LO64" i="30"/>
  <c r="PG64" i="30"/>
  <c r="PG57" i="30"/>
  <c r="MA65" i="30"/>
  <c r="MA58" i="30"/>
  <c r="LO66" i="30"/>
  <c r="LO59" i="30"/>
  <c r="NK66" i="30"/>
  <c r="NK59" i="30"/>
  <c r="NW66" i="30"/>
  <c r="NW59" i="30"/>
  <c r="PS66" i="30"/>
  <c r="PS59" i="30"/>
  <c r="MA56" i="30"/>
  <c r="NW56" i="30"/>
  <c r="OJ63" i="30"/>
  <c r="OJ56" i="30"/>
  <c r="LD66" i="30"/>
  <c r="LD62" i="30" s="1"/>
  <c r="LD59" i="30"/>
  <c r="MB66" i="30"/>
  <c r="MB59" i="30"/>
  <c r="MZ66" i="30"/>
  <c r="MZ59" i="30"/>
  <c r="NX66" i="30"/>
  <c r="NX59" i="30"/>
  <c r="LO58" i="30"/>
  <c r="NZ64" i="30"/>
  <c r="NZ57" i="30"/>
  <c r="OX65" i="30"/>
  <c r="OX58" i="30"/>
  <c r="MD59" i="30"/>
  <c r="MD66" i="30"/>
  <c r="MZ56" i="30"/>
  <c r="NC63" i="30"/>
  <c r="NC56" i="30"/>
  <c r="LS58" i="30"/>
  <c r="OZ55" i="30"/>
  <c r="PK57" i="30"/>
  <c r="PB63" i="30"/>
  <c r="PB62" i="30" s="1"/>
  <c r="PB56" i="30"/>
  <c r="PB55" i="30" s="1"/>
  <c r="KL57" i="30"/>
  <c r="KL64" i="30"/>
  <c r="LJ64" i="30"/>
  <c r="LJ57" i="30"/>
  <c r="LV57" i="30"/>
  <c r="LV64" i="30"/>
  <c r="MT64" i="30"/>
  <c r="MT57" i="30"/>
  <c r="NR64" i="30"/>
  <c r="NR62" i="30" s="1"/>
  <c r="NR57" i="30"/>
  <c r="OP64" i="30"/>
  <c r="OP57" i="30"/>
  <c r="PN64" i="30"/>
  <c r="PN57" i="30"/>
  <c r="KL65" i="30"/>
  <c r="KL58" i="30"/>
  <c r="LJ65" i="30"/>
  <c r="LJ58" i="30"/>
  <c r="LV65" i="30"/>
  <c r="LV58" i="30"/>
  <c r="MH58" i="30"/>
  <c r="MH55" i="30" s="1"/>
  <c r="MH65" i="30"/>
  <c r="MH62" i="30" s="1"/>
  <c r="MT65" i="30"/>
  <c r="MT58" i="30"/>
  <c r="OD65" i="30"/>
  <c r="OD58" i="30"/>
  <c r="OP65" i="30"/>
  <c r="OP58" i="30"/>
  <c r="KL66" i="30"/>
  <c r="KL59" i="30"/>
  <c r="KX66" i="30"/>
  <c r="KX59" i="30"/>
  <c r="MT66" i="30"/>
  <c r="MT59" i="30"/>
  <c r="NF59" i="30"/>
  <c r="NF66" i="30"/>
  <c r="OD66" i="30"/>
  <c r="OD59" i="30"/>
  <c r="PN66" i="30"/>
  <c r="PN59" i="30"/>
  <c r="KO56" i="30"/>
  <c r="LO56" i="30"/>
  <c r="NK56" i="30"/>
  <c r="PH56" i="30"/>
  <c r="KR57" i="30"/>
  <c r="LR57" i="30"/>
  <c r="NK57" i="30"/>
  <c r="OI58" i="30"/>
  <c r="NL59" i="30"/>
  <c r="MP63" i="30"/>
  <c r="NG55" i="30"/>
  <c r="PC55" i="30"/>
  <c r="KU56" i="30"/>
  <c r="LP56" i="30"/>
  <c r="MQ56" i="30"/>
  <c r="NL56" i="30"/>
  <c r="LS57" i="30"/>
  <c r="NL57" i="30"/>
  <c r="LD58" i="30"/>
  <c r="NF58" i="30"/>
  <c r="OJ58" i="30"/>
  <c r="MM59" i="30"/>
  <c r="LJ66" i="30"/>
  <c r="NW65" i="30"/>
  <c r="NW58" i="30"/>
  <c r="PG65" i="30"/>
  <c r="PG58" i="30"/>
  <c r="OU66" i="30"/>
  <c r="OU59" i="30"/>
  <c r="MN63" i="30"/>
  <c r="MN56" i="30"/>
  <c r="MN64" i="30"/>
  <c r="MN57" i="30"/>
  <c r="MZ64" i="30"/>
  <c r="MZ57" i="30"/>
  <c r="OJ64" i="30"/>
  <c r="OJ57" i="30"/>
  <c r="MB65" i="30"/>
  <c r="MB58" i="30"/>
  <c r="KF66" i="30"/>
  <c r="KF59" i="30"/>
  <c r="OV66" i="30"/>
  <c r="OV59" i="30"/>
  <c r="KF56" i="30"/>
  <c r="MB56" i="30"/>
  <c r="NX56" i="30"/>
  <c r="MB57" i="30"/>
  <c r="LC56" i="30"/>
  <c r="OU56" i="30"/>
  <c r="KQ59" i="30"/>
  <c r="PG66" i="30"/>
  <c r="NB63" i="30"/>
  <c r="NB56" i="30"/>
  <c r="OX63" i="30"/>
  <c r="OX56" i="30"/>
  <c r="MD64" i="30"/>
  <c r="MD57" i="30"/>
  <c r="NN64" i="30"/>
  <c r="NN57" i="30"/>
  <c r="OL64" i="30"/>
  <c r="OL57" i="30"/>
  <c r="MD65" i="30"/>
  <c r="MD58" i="30"/>
  <c r="NN65" i="30"/>
  <c r="NN58" i="30"/>
  <c r="PJ65" i="30"/>
  <c r="PJ58" i="30"/>
  <c r="KH59" i="30"/>
  <c r="KH66" i="30"/>
  <c r="KH62" i="30" s="1"/>
  <c r="LF66" i="30"/>
  <c r="LF59" i="30"/>
  <c r="NB59" i="30"/>
  <c r="NB66" i="30"/>
  <c r="MY65" i="30"/>
  <c r="LG63" i="30"/>
  <c r="LG56" i="30"/>
  <c r="OY63" i="30"/>
  <c r="OY56" i="30"/>
  <c r="ME65" i="30"/>
  <c r="ME58" i="30"/>
  <c r="LS66" i="30"/>
  <c r="LS62" i="30" s="1"/>
  <c r="LS59" i="30"/>
  <c r="MQ59" i="30"/>
  <c r="MQ66" i="30"/>
  <c r="MQ62" i="30" s="1"/>
  <c r="OM66" i="30"/>
  <c r="OM59" i="30"/>
  <c r="NB65" i="30"/>
  <c r="PG56" i="30"/>
  <c r="PC62" i="30"/>
  <c r="LL62" i="30"/>
  <c r="LR56" i="30"/>
  <c r="MT56" i="30"/>
  <c r="NN56" i="30"/>
  <c r="PK56" i="30"/>
  <c r="MP57" i="30"/>
  <c r="KF58" i="30"/>
  <c r="LG59" i="30"/>
  <c r="MN59" i="30"/>
  <c r="NF63" i="30"/>
  <c r="NZ66" i="30"/>
  <c r="MA64" i="30"/>
  <c r="MA57" i="30"/>
  <c r="MY64" i="30"/>
  <c r="MY57" i="30"/>
  <c r="OI64" i="30"/>
  <c r="OI57" i="30"/>
  <c r="PS65" i="30"/>
  <c r="PS58" i="30"/>
  <c r="LC66" i="30"/>
  <c r="LC59" i="30"/>
  <c r="MY66" i="30"/>
  <c r="MY59" i="30"/>
  <c r="OI59" i="30"/>
  <c r="OI66" i="30"/>
  <c r="KF64" i="30"/>
  <c r="KF57" i="30"/>
  <c r="LP64" i="30"/>
  <c r="LP57" i="30"/>
  <c r="PH64" i="30"/>
  <c r="PH57" i="30"/>
  <c r="LP65" i="30"/>
  <c r="LP58" i="30"/>
  <c r="MZ65" i="30"/>
  <c r="MZ58" i="30"/>
  <c r="NX65" i="30"/>
  <c r="NX58" i="30"/>
  <c r="OV65" i="30"/>
  <c r="OV58" i="30"/>
  <c r="KQ58" i="30"/>
  <c r="LP59" i="30"/>
  <c r="MY56" i="30"/>
  <c r="KT64" i="30"/>
  <c r="KT57" i="30"/>
  <c r="LF65" i="30"/>
  <c r="LF58" i="30"/>
  <c r="OX66" i="30"/>
  <c r="OX59" i="30"/>
  <c r="OV56" i="30"/>
  <c r="LR58" i="30"/>
  <c r="KR59" i="30"/>
  <c r="KI57" i="30"/>
  <c r="KI64" i="30"/>
  <c r="NO64" i="30"/>
  <c r="NO57" i="30"/>
  <c r="OM64" i="30"/>
  <c r="OM57" i="30"/>
  <c r="OA65" i="30"/>
  <c r="OA58" i="30"/>
  <c r="OY65" i="30"/>
  <c r="OY58" i="30"/>
  <c r="ME66" i="30"/>
  <c r="ME59" i="30"/>
  <c r="NC59" i="30"/>
  <c r="NC66" i="30"/>
  <c r="OY66" i="30"/>
  <c r="OY59" i="30"/>
  <c r="KT59" i="30"/>
  <c r="OY64" i="30"/>
  <c r="LJ63" i="30"/>
  <c r="LJ56" i="30"/>
  <c r="PN63" i="30"/>
  <c r="PN56" i="30"/>
  <c r="NU63" i="30"/>
  <c r="NU56" i="30"/>
  <c r="PL55" i="30"/>
  <c r="KX57" i="30"/>
  <c r="MQ57" i="30"/>
  <c r="OU57" i="30"/>
  <c r="NL58" i="30"/>
  <c r="OL58" i="30"/>
  <c r="KT63" i="30"/>
  <c r="OU65" i="30"/>
  <c r="OA66" i="30"/>
  <c r="KQ63" i="30"/>
  <c r="KQ62" i="30" s="1"/>
  <c r="KQ56" i="30"/>
  <c r="MM64" i="30"/>
  <c r="MM57" i="30"/>
  <c r="NW57" i="30"/>
  <c r="NW64" i="30"/>
  <c r="PS57" i="30"/>
  <c r="PS64" i="30"/>
  <c r="LC65" i="30"/>
  <c r="LC58" i="30"/>
  <c r="NK65" i="30"/>
  <c r="NK58" i="30"/>
  <c r="MA66" i="30"/>
  <c r="MA59" i="30"/>
  <c r="LC57" i="30"/>
  <c r="KR63" i="30"/>
  <c r="KR56" i="30"/>
  <c r="KR65" i="30"/>
  <c r="KR58" i="30"/>
  <c r="PH66" i="30"/>
  <c r="PH59" i="30"/>
  <c r="LD57" i="30"/>
  <c r="NX57" i="30"/>
  <c r="PJ56" i="30"/>
  <c r="PJ63" i="30"/>
  <c r="NZ58" i="30"/>
  <c r="NZ65" i="30"/>
  <c r="MP59" i="30"/>
  <c r="MP66" i="30"/>
  <c r="NN66" i="30"/>
  <c r="NN59" i="30"/>
  <c r="OL59" i="30"/>
  <c r="OL66" i="30"/>
  <c r="LD56" i="30"/>
  <c r="PJ66" i="30"/>
  <c r="KU64" i="30"/>
  <c r="KU62" i="30" s="1"/>
  <c r="KU57" i="30"/>
  <c r="ME64" i="30"/>
  <c r="ME57" i="30"/>
  <c r="OA64" i="30"/>
  <c r="OA57" i="30"/>
  <c r="KI65" i="30"/>
  <c r="KI58" i="30"/>
  <c r="LG65" i="30"/>
  <c r="LG58" i="30"/>
  <c r="NO65" i="30"/>
  <c r="NO58" i="30"/>
  <c r="NO66" i="30"/>
  <c r="NO59" i="30"/>
  <c r="PK59" i="30"/>
  <c r="PK66" i="30"/>
  <c r="PK62" i="30" s="1"/>
  <c r="PJ57" i="30"/>
  <c r="PH58" i="30"/>
  <c r="OX64" i="30"/>
  <c r="NC65" i="30"/>
  <c r="MS55" i="30"/>
  <c r="KQ57" i="30"/>
  <c r="KU59" i="30"/>
  <c r="LY63" i="30"/>
  <c r="LY56" i="30"/>
  <c r="LS56" i="30"/>
  <c r="NO56" i="30"/>
  <c r="NV55" i="30"/>
  <c r="KZ56" i="30"/>
  <c r="LV56" i="30"/>
  <c r="NR56" i="30"/>
  <c r="OV57" i="30"/>
  <c r="KH58" i="30"/>
  <c r="MM58" i="30"/>
  <c r="KI59" i="30"/>
  <c r="OJ59" i="30"/>
  <c r="LR66" i="30"/>
  <c r="LR62" i="30" s="1"/>
  <c r="LK62" i="30"/>
  <c r="NS62" i="30"/>
  <c r="KM64" i="30"/>
  <c r="KM57" i="30"/>
  <c r="KY64" i="30"/>
  <c r="KY62" i="30" s="1"/>
  <c r="KY57" i="30"/>
  <c r="KY55" i="30" s="1"/>
  <c r="MU64" i="30"/>
  <c r="MU57" i="30"/>
  <c r="KM65" i="30"/>
  <c r="KM58" i="30"/>
  <c r="MI58" i="30"/>
  <c r="MI55" i="30" s="1"/>
  <c r="MI65" i="30"/>
  <c r="OE65" i="30"/>
  <c r="OE62" i="30" s="1"/>
  <c r="OE58" i="30"/>
  <c r="KM66" i="30"/>
  <c r="KM59" i="30"/>
  <c r="MU66" i="30"/>
  <c r="MU59" i="30"/>
  <c r="OQ66" i="30"/>
  <c r="OQ62" i="30" s="1"/>
  <c r="OQ59" i="30"/>
  <c r="PO66" i="30"/>
  <c r="PO62" i="30" s="1"/>
  <c r="PO59" i="30"/>
  <c r="PO55" i="30" s="1"/>
  <c r="KP56" i="30"/>
  <c r="LW56" i="30"/>
  <c r="ML56" i="30"/>
  <c r="ML55" i="30" s="1"/>
  <c r="NS56" i="30"/>
  <c r="NS55" i="30" s="1"/>
  <c r="OH56" i="30"/>
  <c r="PP56" i="30"/>
  <c r="PF57" i="30"/>
  <c r="OQ58" i="30"/>
  <c r="PR58" i="30"/>
  <c r="LW59" i="30"/>
  <c r="PE59" i="30"/>
  <c r="PQ65" i="30"/>
  <c r="ML66" i="30"/>
  <c r="ML62" i="30" s="1"/>
  <c r="KZ64" i="30"/>
  <c r="KZ57" i="30"/>
  <c r="NH64" i="30"/>
  <c r="NH57" i="30"/>
  <c r="PD64" i="30"/>
  <c r="PD57" i="30"/>
  <c r="KN65" i="30"/>
  <c r="KN58" i="30"/>
  <c r="MJ65" i="30"/>
  <c r="MJ58" i="30"/>
  <c r="NH65" i="30"/>
  <c r="NH58" i="30"/>
  <c r="NT58" i="30"/>
  <c r="NT65" i="30"/>
  <c r="OR65" i="30"/>
  <c r="OR58" i="30"/>
  <c r="PD65" i="30"/>
  <c r="PD58" i="30"/>
  <c r="KN59" i="30"/>
  <c r="KN66" i="30"/>
  <c r="LX66" i="30"/>
  <c r="LX62" i="30" s="1"/>
  <c r="LX59" i="30"/>
  <c r="MJ66" i="30"/>
  <c r="MJ59" i="30"/>
  <c r="MV66" i="30"/>
  <c r="MV62" i="30" s="1"/>
  <c r="MV59" i="30"/>
  <c r="MV55" i="30" s="1"/>
  <c r="NT66" i="30"/>
  <c r="NT59" i="30"/>
  <c r="OF66" i="30"/>
  <c r="OF59" i="30"/>
  <c r="OF55" i="30" s="1"/>
  <c r="OR59" i="30"/>
  <c r="OR66" i="30"/>
  <c r="PP66" i="30"/>
  <c r="PP62" i="30" s="1"/>
  <c r="PP59" i="30"/>
  <c r="LX56" i="30"/>
  <c r="NT56" i="30"/>
  <c r="PR56" i="30"/>
  <c r="LK57" i="30"/>
  <c r="LK55" i="30" s="1"/>
  <c r="LZ59" i="30"/>
  <c r="MX59" i="30"/>
  <c r="OE59" i="30"/>
  <c r="NV64" i="30"/>
  <c r="PE63" i="30"/>
  <c r="PE56" i="30"/>
  <c r="PQ63" i="30"/>
  <c r="PQ56" i="30"/>
  <c r="LA57" i="30"/>
  <c r="LA64" i="30"/>
  <c r="LM64" i="30"/>
  <c r="LM57" i="30"/>
  <c r="LY64" i="30"/>
  <c r="LY57" i="30"/>
  <c r="MW57" i="30"/>
  <c r="MW64" i="30"/>
  <c r="NI64" i="30"/>
  <c r="NI57" i="30"/>
  <c r="NU64" i="30"/>
  <c r="NU57" i="30"/>
  <c r="OG57" i="30"/>
  <c r="OG64" i="30"/>
  <c r="OS64" i="30"/>
  <c r="OS57" i="30"/>
  <c r="PE64" i="30"/>
  <c r="PE57" i="30"/>
  <c r="PQ64" i="30"/>
  <c r="PQ57" i="30"/>
  <c r="KO65" i="30"/>
  <c r="KO58" i="30"/>
  <c r="LA58" i="30"/>
  <c r="LA65" i="30"/>
  <c r="LM65" i="30"/>
  <c r="LM58" i="30"/>
  <c r="MK58" i="30"/>
  <c r="MK65" i="30"/>
  <c r="NI58" i="30"/>
  <c r="NI65" i="30"/>
  <c r="NU58" i="30"/>
  <c r="NU65" i="30"/>
  <c r="OG58" i="30"/>
  <c r="OG65" i="30"/>
  <c r="OS58" i="30"/>
  <c r="OS65" i="30"/>
  <c r="PE65" i="30"/>
  <c r="PE58" i="30"/>
  <c r="KO66" i="30"/>
  <c r="KO59" i="30"/>
  <c r="LM59" i="30"/>
  <c r="LM66" i="30"/>
  <c r="LY66" i="30"/>
  <c r="LY59" i="30"/>
  <c r="MK66" i="30"/>
  <c r="MK59" i="30"/>
  <c r="MW66" i="30"/>
  <c r="MW59" i="30"/>
  <c r="OG59" i="30"/>
  <c r="OG66" i="30"/>
  <c r="OS66" i="30"/>
  <c r="OS59" i="30"/>
  <c r="PQ66" i="30"/>
  <c r="PQ59" i="30"/>
  <c r="MX57" i="30"/>
  <c r="OH59" i="30"/>
  <c r="PR59" i="30"/>
  <c r="NV63" i="30"/>
  <c r="OF65" i="30"/>
  <c r="LZ64" i="30"/>
  <c r="LZ62" i="30" s="1"/>
  <c r="LZ57" i="30"/>
  <c r="NJ64" i="30"/>
  <c r="NJ57" i="30"/>
  <c r="PR64" i="30"/>
  <c r="PR62" i="30" s="1"/>
  <c r="PR57" i="30"/>
  <c r="NJ65" i="30"/>
  <c r="NJ58" i="30"/>
  <c r="OT58" i="30"/>
  <c r="OT65" i="30"/>
  <c r="PF65" i="30"/>
  <c r="PF62" i="30" s="1"/>
  <c r="PF58" i="30"/>
  <c r="LB66" i="30"/>
  <c r="LB62" i="30" s="1"/>
  <c r="LB59" i="30"/>
  <c r="LB55" i="30" s="1"/>
  <c r="LN66" i="30"/>
  <c r="LN62" i="30" s="1"/>
  <c r="LN59" i="30"/>
  <c r="LN55" i="30" s="1"/>
  <c r="OT66" i="30"/>
  <c r="OT59" i="30"/>
  <c r="LZ56" i="30"/>
  <c r="KP58" i="30"/>
  <c r="MI64" i="30"/>
  <c r="KZ66" i="30"/>
  <c r="OZ62" i="30"/>
  <c r="KG62" i="30"/>
  <c r="MC62" i="30"/>
  <c r="NA66" i="30"/>
  <c r="NA62" i="30" s="1"/>
  <c r="NA59" i="30"/>
  <c r="NM66" i="30"/>
  <c r="NM62" i="30" s="1"/>
  <c r="NM59" i="30"/>
  <c r="NY66" i="30"/>
  <c r="NY62" i="30" s="1"/>
  <c r="NY59" i="30"/>
  <c r="OK66" i="30"/>
  <c r="OK62" i="30" s="1"/>
  <c r="OK59" i="30"/>
  <c r="OW66" i="30"/>
  <c r="OW62" i="30" s="1"/>
  <c r="OW59" i="30"/>
  <c r="PI66" i="30"/>
  <c r="PI62" i="30" s="1"/>
  <c r="PI59" i="30"/>
  <c r="PI55" i="30" s="1"/>
  <c r="KG56" i="30"/>
  <c r="KG55" i="30" s="1"/>
  <c r="LE56" i="30"/>
  <c r="LE55" i="30" s="1"/>
  <c r="LQ56" i="30"/>
  <c r="MC56" i="30"/>
  <c r="MC55" i="30" s="1"/>
  <c r="MO56" i="30"/>
  <c r="MO55" i="30" s="1"/>
  <c r="NA56" i="30"/>
  <c r="NM56" i="30"/>
  <c r="NY56" i="30"/>
  <c r="OW56" i="30"/>
  <c r="LI57" i="30"/>
  <c r="OK57" i="30"/>
  <c r="LQ58" i="30"/>
  <c r="MG65" i="30"/>
  <c r="MG62" i="30" s="1"/>
  <c r="PM66" i="30"/>
  <c r="KV62" i="30"/>
  <c r="ND62" i="30"/>
  <c r="KJ56" i="30"/>
  <c r="KJ55" i="30" s="1"/>
  <c r="KV56" i="30"/>
  <c r="KV55" i="30" s="1"/>
  <c r="LH56" i="30"/>
  <c r="LH55" i="30" s="1"/>
  <c r="LT56" i="30"/>
  <c r="MF56" i="30"/>
  <c r="MF55" i="30" s="1"/>
  <c r="MR56" i="30"/>
  <c r="MR55" i="30" s="1"/>
  <c r="ND56" i="30"/>
  <c r="ND55" i="30" s="1"/>
  <c r="NP56" i="30"/>
  <c r="NP55" i="30" s="1"/>
  <c r="OB56" i="30"/>
  <c r="OB55" i="30" s="1"/>
  <c r="ON56" i="30"/>
  <c r="PM56" i="30"/>
  <c r="ON57" i="30"/>
  <c r="LT58" i="30"/>
  <c r="OC64" i="30"/>
  <c r="OC57" i="30"/>
  <c r="OO64" i="30"/>
  <c r="OO57" i="30"/>
  <c r="PA64" i="30"/>
  <c r="PA57" i="30"/>
  <c r="KW65" i="30"/>
  <c r="KW58" i="30"/>
  <c r="LU65" i="30"/>
  <c r="LU58" i="30"/>
  <c r="NE65" i="30"/>
  <c r="NE62" i="30" s="1"/>
  <c r="NE58" i="30"/>
  <c r="NQ65" i="30"/>
  <c r="NQ58" i="30"/>
  <c r="OO65" i="30"/>
  <c r="OO58" i="30"/>
  <c r="PA65" i="30"/>
  <c r="PA58" i="30"/>
  <c r="PM65" i="30"/>
  <c r="PM58" i="30"/>
  <c r="KK66" i="30"/>
  <c r="KK62" i="30" s="1"/>
  <c r="KK59" i="30"/>
  <c r="KW66" i="30"/>
  <c r="KW59" i="30"/>
  <c r="LI66" i="30"/>
  <c r="LI62" i="30" s="1"/>
  <c r="LI59" i="30"/>
  <c r="LU66" i="30"/>
  <c r="LU59" i="30"/>
  <c r="NQ59" i="30"/>
  <c r="NQ66" i="30"/>
  <c r="OC66" i="30"/>
  <c r="OC59" i="30"/>
  <c r="KK56" i="30"/>
  <c r="KW56" i="30"/>
  <c r="LU56" i="30"/>
  <c r="MG56" i="30"/>
  <c r="MG55" i="30" s="1"/>
  <c r="NE56" i="30"/>
  <c r="NQ56" i="30"/>
  <c r="OC56" i="30"/>
  <c r="OO56" i="30"/>
  <c r="OO55" i="30" s="1"/>
  <c r="PA56" i="30"/>
  <c r="NA57" i="30"/>
  <c r="MS65" i="30"/>
  <c r="MS62" i="30" s="1"/>
  <c r="E16" i="42"/>
  <c r="E17" i="42"/>
  <c r="E18" i="42"/>
  <c r="E19" i="42"/>
  <c r="E20" i="42"/>
  <c r="E21" i="42"/>
  <c r="E22" i="42"/>
  <c r="E23" i="42"/>
  <c r="E24" i="42"/>
  <c r="E25" i="42"/>
  <c r="E26" i="42"/>
  <c r="E27" i="42"/>
  <c r="E28" i="42"/>
  <c r="E29" i="42"/>
  <c r="E30" i="42"/>
  <c r="E31" i="42"/>
  <c r="E32" i="42"/>
  <c r="E33" i="42"/>
  <c r="E34" i="42"/>
  <c r="E35" i="42"/>
  <c r="E36" i="42"/>
  <c r="E37" i="42"/>
  <c r="E38" i="42"/>
  <c r="E39" i="42"/>
  <c r="E40" i="42"/>
  <c r="E41" i="42"/>
  <c r="E42" i="42"/>
  <c r="E43" i="42"/>
  <c r="E15" i="42"/>
  <c r="C8" i="34"/>
  <c r="B16" i="42"/>
  <c r="G16" i="42" s="1"/>
  <c r="B17" i="42"/>
  <c r="G17" i="42" s="1"/>
  <c r="B18" i="42"/>
  <c r="G18" i="42" s="1"/>
  <c r="B19" i="42"/>
  <c r="G19" i="42" s="1"/>
  <c r="B20" i="42"/>
  <c r="B21" i="42"/>
  <c r="G21" i="42" s="1"/>
  <c r="B22" i="42"/>
  <c r="G22" i="42" s="1"/>
  <c r="B23" i="42"/>
  <c r="G23" i="42" s="1"/>
  <c r="B24" i="42"/>
  <c r="G24" i="42" s="1"/>
  <c r="B25" i="42"/>
  <c r="G25" i="42" s="1"/>
  <c r="B26" i="42"/>
  <c r="G26" i="42" s="1"/>
  <c r="B27" i="42"/>
  <c r="G27" i="42" s="1"/>
  <c r="B28" i="42"/>
  <c r="G28" i="42" s="1"/>
  <c r="B29" i="42"/>
  <c r="B30" i="42"/>
  <c r="B31" i="42"/>
  <c r="B32" i="42"/>
  <c r="B33" i="42"/>
  <c r="G33" i="42" s="1"/>
  <c r="B34" i="42"/>
  <c r="G34" i="42" s="1"/>
  <c r="B35" i="42"/>
  <c r="B36" i="42"/>
  <c r="B37" i="42"/>
  <c r="G37" i="42" s="1"/>
  <c r="B38" i="42"/>
  <c r="G38" i="42" s="1"/>
  <c r="B39" i="42"/>
  <c r="G39" i="42" s="1"/>
  <c r="B40" i="42"/>
  <c r="G40" i="42" s="1"/>
  <c r="B41" i="42"/>
  <c r="G41" i="42" s="1"/>
  <c r="B42" i="42"/>
  <c r="G42" i="42" s="1"/>
  <c r="B43" i="42"/>
  <c r="B15" i="42"/>
  <c r="G15" i="42" s="1"/>
  <c r="D16" i="42"/>
  <c r="D17" i="42"/>
  <c r="D18" i="42"/>
  <c r="D19" i="42"/>
  <c r="D20" i="42"/>
  <c r="D21" i="42"/>
  <c r="D22" i="42"/>
  <c r="D23" i="42"/>
  <c r="D24" i="42"/>
  <c r="D25" i="42"/>
  <c r="D26" i="42"/>
  <c r="D27" i="42"/>
  <c r="D28" i="42"/>
  <c r="D29" i="42"/>
  <c r="D30" i="42"/>
  <c r="D31" i="42"/>
  <c r="D32" i="42"/>
  <c r="H32" i="42" s="1"/>
  <c r="I32" i="42" s="1"/>
  <c r="D33" i="42"/>
  <c r="D34" i="42"/>
  <c r="D35" i="42"/>
  <c r="D36" i="42"/>
  <c r="D37" i="42"/>
  <c r="H37" i="42" s="1"/>
  <c r="I37" i="42" s="1"/>
  <c r="D38" i="42"/>
  <c r="D39" i="42"/>
  <c r="D40" i="42"/>
  <c r="H40" i="42" s="1"/>
  <c r="I40" i="42" s="1"/>
  <c r="D41" i="42"/>
  <c r="D42" i="42"/>
  <c r="D43" i="42"/>
  <c r="D15" i="42"/>
  <c r="C16" i="42"/>
  <c r="C17" i="42"/>
  <c r="H17" i="42" s="1"/>
  <c r="I17" i="42" s="1"/>
  <c r="C18" i="42"/>
  <c r="C19" i="42"/>
  <c r="C20" i="42"/>
  <c r="C21" i="42"/>
  <c r="C22" i="42"/>
  <c r="C23" i="42"/>
  <c r="C24" i="42"/>
  <c r="C25" i="42"/>
  <c r="C26" i="42"/>
  <c r="C27" i="42"/>
  <c r="C28" i="42"/>
  <c r="C29" i="42"/>
  <c r="H29" i="42" s="1"/>
  <c r="I29" i="42" s="1"/>
  <c r="C30" i="42"/>
  <c r="H30" i="42" s="1"/>
  <c r="I30" i="42" s="1"/>
  <c r="C31" i="42"/>
  <c r="H31" i="42" s="1"/>
  <c r="I31" i="42" s="1"/>
  <c r="C32" i="42"/>
  <c r="C33" i="42"/>
  <c r="C34" i="42"/>
  <c r="H34" i="42" s="1"/>
  <c r="I34" i="42" s="1"/>
  <c r="C35" i="42"/>
  <c r="C36" i="42"/>
  <c r="C37" i="42"/>
  <c r="C38" i="42"/>
  <c r="C39" i="42"/>
  <c r="C40" i="42"/>
  <c r="C41" i="42"/>
  <c r="H41" i="42" s="1"/>
  <c r="I41" i="42" s="1"/>
  <c r="C42" i="42"/>
  <c r="H42" i="42" s="1"/>
  <c r="I42" i="42" s="1"/>
  <c r="C43" i="42"/>
  <c r="H43" i="42" s="1"/>
  <c r="I43" i="42" s="1"/>
  <c r="C15" i="42"/>
  <c r="H38" i="42"/>
  <c r="I38" i="42" s="1"/>
  <c r="H33" i="42"/>
  <c r="I33" i="42" s="1"/>
  <c r="G20" i="42"/>
  <c r="G29" i="42"/>
  <c r="G30" i="42"/>
  <c r="G31" i="42"/>
  <c r="G32" i="42"/>
  <c r="G35" i="42"/>
  <c r="G36" i="42"/>
  <c r="G43" i="42"/>
  <c r="I16" i="43"/>
  <c r="I19" i="43"/>
  <c r="I20" i="43"/>
  <c r="I21" i="43"/>
  <c r="I25" i="43"/>
  <c r="I26" i="43"/>
  <c r="I27" i="43"/>
  <c r="I28" i="43"/>
  <c r="I31" i="43"/>
  <c r="I32" i="43"/>
  <c r="I33" i="43"/>
  <c r="I37" i="43"/>
  <c r="I38" i="43"/>
  <c r="I39" i="43"/>
  <c r="I40" i="43"/>
  <c r="I43" i="43"/>
  <c r="H16" i="43"/>
  <c r="H17" i="43"/>
  <c r="I17" i="43" s="1"/>
  <c r="H18" i="43"/>
  <c r="I18" i="43" s="1"/>
  <c r="H19" i="43"/>
  <c r="H20" i="43"/>
  <c r="H21" i="43"/>
  <c r="H22" i="43"/>
  <c r="I22" i="43" s="1"/>
  <c r="H23" i="43"/>
  <c r="I23" i="43" s="1"/>
  <c r="H24" i="43"/>
  <c r="I24" i="43" s="1"/>
  <c r="H25" i="43"/>
  <c r="H26" i="43"/>
  <c r="H27" i="43"/>
  <c r="H28" i="43"/>
  <c r="H29" i="43"/>
  <c r="I29" i="43" s="1"/>
  <c r="H30" i="43"/>
  <c r="I30" i="43" s="1"/>
  <c r="H31" i="43"/>
  <c r="H32" i="43"/>
  <c r="H33" i="43"/>
  <c r="H34" i="43"/>
  <c r="I34" i="43" s="1"/>
  <c r="H35" i="43"/>
  <c r="I35" i="43" s="1"/>
  <c r="H36" i="43"/>
  <c r="I36" i="43" s="1"/>
  <c r="H37" i="43"/>
  <c r="H38" i="43"/>
  <c r="H39" i="43"/>
  <c r="H40" i="43"/>
  <c r="H41" i="43"/>
  <c r="I41" i="43" s="1"/>
  <c r="H42" i="43"/>
  <c r="I42" i="43" s="1"/>
  <c r="H43" i="43"/>
  <c r="G16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H15" i="43"/>
  <c r="I15" i="43" s="1"/>
  <c r="G15" i="43"/>
  <c r="C8" i="43"/>
  <c r="D49" i="30"/>
  <c r="H19" i="39"/>
  <c r="I19" i="39" s="1"/>
  <c r="AGV62" i="30" l="1"/>
  <c r="AJR62" i="30"/>
  <c r="AJQ55" i="30"/>
  <c r="AEN62" i="30"/>
  <c r="XW62" i="30"/>
  <c r="ZT55" i="30"/>
  <c r="AAS62" i="30"/>
  <c r="XW55" i="30"/>
  <c r="QT55" i="30"/>
  <c r="VD62" i="30"/>
  <c r="TL55" i="30"/>
  <c r="VB62" i="30"/>
  <c r="TH55" i="30"/>
  <c r="UZ55" i="30"/>
  <c r="ACK62" i="30"/>
  <c r="QU55" i="30"/>
  <c r="ZS55" i="30"/>
  <c r="VB55" i="30"/>
  <c r="VL55" i="30"/>
  <c r="ABZ62" i="30"/>
  <c r="QQ55" i="30"/>
  <c r="ALB55" i="30"/>
  <c r="YG62" i="30"/>
  <c r="LV62" i="30"/>
  <c r="TG62" i="30"/>
  <c r="AAJ62" i="30"/>
  <c r="YJ62" i="30"/>
  <c r="TP62" i="30"/>
  <c r="ALO55" i="30"/>
  <c r="AEQ62" i="30"/>
  <c r="AEC55" i="30"/>
  <c r="AIH62" i="30"/>
  <c r="AHY62" i="30"/>
  <c r="ACV62" i="30"/>
  <c r="ALC55" i="30"/>
  <c r="AKP62" i="30"/>
  <c r="AJE62" i="30"/>
  <c r="UB62" i="30"/>
  <c r="VC62" i="30"/>
  <c r="TQ55" i="30"/>
  <c r="YU55" i="30"/>
  <c r="AGL62" i="30"/>
  <c r="AJZ62" i="30"/>
  <c r="ZG62" i="30"/>
  <c r="AIK55" i="30"/>
  <c r="AFG62" i="30"/>
  <c r="AGO62" i="30"/>
  <c r="PY55" i="30"/>
  <c r="AHM62" i="30"/>
  <c r="ALH62" i="30"/>
  <c r="AAS55" i="30"/>
  <c r="ACS55" i="30"/>
  <c r="YX55" i="30"/>
  <c r="AFR62" i="30"/>
  <c r="UC55" i="30"/>
  <c r="QL55" i="30"/>
  <c r="ACY55" i="30"/>
  <c r="ABB62" i="30"/>
  <c r="AGX62" i="30"/>
  <c r="AFS55" i="30"/>
  <c r="QK62" i="30"/>
  <c r="QX62" i="30"/>
  <c r="UP62" i="30"/>
  <c r="UO55" i="30"/>
  <c r="SG62" i="30"/>
  <c r="ADG62" i="30"/>
  <c r="ACJ55" i="30"/>
  <c r="ABA62" i="30"/>
  <c r="SC62" i="30"/>
  <c r="UI62" i="30"/>
  <c r="QO55" i="30"/>
  <c r="AIV55" i="30"/>
  <c r="WB55" i="30"/>
  <c r="RC62" i="30"/>
  <c r="ADV62" i="30"/>
  <c r="ST55" i="30"/>
  <c r="ABO62" i="30"/>
  <c r="AHU55" i="30"/>
  <c r="AGX55" i="30"/>
  <c r="ZT62" i="30"/>
  <c r="ALD55" i="30"/>
  <c r="AJD62" i="30"/>
  <c r="AKK62" i="30"/>
  <c r="AGK62" i="30"/>
  <c r="ALM55" i="30"/>
  <c r="ACA62" i="30"/>
  <c r="AEE62" i="30"/>
  <c r="AEI62" i="30"/>
  <c r="VT62" i="30"/>
  <c r="TN62" i="30"/>
  <c r="RY62" i="30"/>
  <c r="SH62" i="30"/>
  <c r="RF62" i="30"/>
  <c r="SR62" i="30"/>
  <c r="RU55" i="30"/>
  <c r="QK55" i="30"/>
  <c r="TQ62" i="30"/>
  <c r="RJ62" i="30"/>
  <c r="TD55" i="30"/>
  <c r="TB55" i="30"/>
  <c r="AJI62" i="30"/>
  <c r="AIJ55" i="30"/>
  <c r="AHV62" i="30"/>
  <c r="ALA62" i="30"/>
  <c r="AHL55" i="30"/>
  <c r="AJY62" i="30"/>
  <c r="AHP62" i="30"/>
  <c r="AKD62" i="30"/>
  <c r="AIR55" i="30"/>
  <c r="AGU62" i="30"/>
  <c r="ABN55" i="30"/>
  <c r="AFG55" i="30"/>
  <c r="ACC62" i="30"/>
  <c r="ACK55" i="30"/>
  <c r="AGH62" i="30"/>
  <c r="ADK55" i="30"/>
  <c r="ADU55" i="30"/>
  <c r="AFR55" i="30"/>
  <c r="AFY55" i="30"/>
  <c r="ABY55" i="30"/>
  <c r="ABB55" i="30"/>
  <c r="ABC62" i="30"/>
  <c r="AGB55" i="30"/>
  <c r="AAW55" i="30"/>
  <c r="ABC55" i="30"/>
  <c r="VM62" i="30"/>
  <c r="AAG55" i="30"/>
  <c r="ZI55" i="30"/>
  <c r="VH55" i="30"/>
  <c r="YW55" i="30"/>
  <c r="YW62" i="30"/>
  <c r="AAB55" i="30"/>
  <c r="ZS62" i="30"/>
  <c r="QS55" i="30"/>
  <c r="SH55" i="30"/>
  <c r="SK55" i="30"/>
  <c r="SR55" i="30"/>
  <c r="UU62" i="30"/>
  <c r="VA55" i="30"/>
  <c r="UR55" i="30"/>
  <c r="QQ62" i="30"/>
  <c r="RA62" i="30"/>
  <c r="SV62" i="30"/>
  <c r="PY62" i="30"/>
  <c r="RT62" i="30"/>
  <c r="ALC62" i="30"/>
  <c r="AAR55" i="30"/>
  <c r="VE55" i="30"/>
  <c r="AEP55" i="30"/>
  <c r="UT62" i="30"/>
  <c r="QY55" i="30"/>
  <c r="TC62" i="30"/>
  <c r="XF62" i="30"/>
  <c r="AKP55" i="30"/>
  <c r="AKO55" i="30"/>
  <c r="TO55" i="30"/>
  <c r="AEI55" i="30"/>
  <c r="ABN62" i="30"/>
  <c r="ACX62" i="30"/>
  <c r="QT62" i="30"/>
  <c r="AGN55" i="30"/>
  <c r="TE62" i="30"/>
  <c r="UD62" i="30"/>
  <c r="AEC62" i="30"/>
  <c r="ABK55" i="30"/>
  <c r="ADI55" i="30"/>
  <c r="AJD55" i="30"/>
  <c r="XK55" i="30"/>
  <c r="ACY62" i="30"/>
  <c r="ZG55" i="30"/>
  <c r="QZ55" i="30"/>
  <c r="AFX55" i="30"/>
  <c r="YI62" i="30"/>
  <c r="ACI62" i="30"/>
  <c r="ADU62" i="30"/>
  <c r="TG55" i="30"/>
  <c r="RV55" i="30"/>
  <c r="LU62" i="30"/>
  <c r="VR62" i="30"/>
  <c r="VY62" i="30"/>
  <c r="ABM55" i="30"/>
  <c r="AFI62" i="30"/>
  <c r="VA62" i="30"/>
  <c r="ACX55" i="30"/>
  <c r="AHI62" i="30"/>
  <c r="AAB62" i="30"/>
  <c r="AAP55" i="30"/>
  <c r="XU62" i="30"/>
  <c r="AJI55" i="30"/>
  <c r="AFQ62" i="30"/>
  <c r="AJH62" i="30"/>
  <c r="ADI62" i="30"/>
  <c r="RW62" i="30"/>
  <c r="XO62" i="30"/>
  <c r="AAP62" i="30"/>
  <c r="AFN55" i="30"/>
  <c r="AIP62" i="30"/>
  <c r="AKI55" i="30"/>
  <c r="AFD62" i="30"/>
  <c r="AFC55" i="30"/>
  <c r="ZH55" i="30"/>
  <c r="ALN55" i="30"/>
  <c r="AGW55" i="30"/>
  <c r="AHW62" i="30"/>
  <c r="TZ55" i="30"/>
  <c r="RN55" i="30"/>
  <c r="RA55" i="30"/>
  <c r="AAH62" i="30"/>
  <c r="AKB55" i="30"/>
  <c r="AKR55" i="30"/>
  <c r="ALS62" i="30"/>
  <c r="ABK62" i="30"/>
  <c r="RH62" i="30"/>
  <c r="WM62" i="30"/>
  <c r="AAE55" i="30"/>
  <c r="AFF62" i="30"/>
  <c r="AAY55" i="30"/>
  <c r="AIV62" i="30"/>
  <c r="ABL55" i="30"/>
  <c r="ADK62" i="30"/>
  <c r="ADV55" i="30"/>
  <c r="RK62" i="30"/>
  <c r="ABD62" i="30"/>
  <c r="TI62" i="30"/>
  <c r="SN55" i="30"/>
  <c r="RH55" i="30"/>
  <c r="ALM62" i="30"/>
  <c r="VO62" i="30"/>
  <c r="UB55" i="30"/>
  <c r="RB55" i="30"/>
  <c r="RQ62" i="30"/>
  <c r="AFY62" i="30"/>
  <c r="AEP62" i="30"/>
  <c r="AKG62" i="30"/>
  <c r="UO62" i="30"/>
  <c r="AHM55" i="30"/>
  <c r="XY55" i="30"/>
  <c r="AHH55" i="30"/>
  <c r="UN62" i="30"/>
  <c r="UE62" i="30"/>
  <c r="SG55" i="30"/>
  <c r="ABY62" i="30"/>
  <c r="ACO62" i="30"/>
  <c r="AJB62" i="30"/>
  <c r="AIM55" i="30"/>
  <c r="ALR62" i="30"/>
  <c r="AFS62" i="30"/>
  <c r="AKC62" i="30"/>
  <c r="WL62" i="30"/>
  <c r="RI62" i="30"/>
  <c r="PW55" i="30"/>
  <c r="TP55" i="30"/>
  <c r="RT55" i="30"/>
  <c r="VK62" i="30"/>
  <c r="AFM62" i="30"/>
  <c r="AET62" i="30"/>
  <c r="AES62" i="30"/>
  <c r="AAF55" i="30"/>
  <c r="QE55" i="30"/>
  <c r="RG62" i="30"/>
  <c r="ABU62" i="30"/>
  <c r="ABM62" i="30"/>
  <c r="AEL62" i="30"/>
  <c r="AFI55" i="30"/>
  <c r="ALK55" i="30"/>
  <c r="AKH55" i="30"/>
  <c r="AJQ62" i="30"/>
  <c r="AKQ62" i="30"/>
  <c r="UP55" i="30"/>
  <c r="AHJ62" i="30"/>
  <c r="ABU55" i="30"/>
  <c r="PW62" i="30"/>
  <c r="PU62" i="30"/>
  <c r="PZ55" i="30"/>
  <c r="QB55" i="30"/>
  <c r="NQ62" i="30"/>
  <c r="OV62" i="30"/>
  <c r="RO55" i="30"/>
  <c r="RZ55" i="30"/>
  <c r="WA62" i="30"/>
  <c r="AHK55" i="30"/>
  <c r="AIY55" i="30"/>
  <c r="UG55" i="30"/>
  <c r="QV62" i="30"/>
  <c r="ADJ55" i="30"/>
  <c r="ADG55" i="30"/>
  <c r="AIK62" i="30"/>
  <c r="QP55" i="30"/>
  <c r="XS62" i="30"/>
  <c r="ADP62" i="30"/>
  <c r="AGZ55" i="30"/>
  <c r="AGC62" i="30"/>
  <c r="AHO55" i="30"/>
  <c r="QL62" i="30"/>
  <c r="QI55" i="30"/>
  <c r="NF62" i="30"/>
  <c r="PU55" i="30"/>
  <c r="QS62" i="30"/>
  <c r="AAC55" i="30"/>
  <c r="AGM55" i="30"/>
  <c r="AJJ62" i="30"/>
  <c r="RJ55" i="30"/>
  <c r="AEU62" i="30"/>
  <c r="AII62" i="30"/>
  <c r="AJU55" i="30"/>
  <c r="QJ62" i="30"/>
  <c r="RC55" i="30"/>
  <c r="QI62" i="30"/>
  <c r="AEU55" i="30"/>
  <c r="AKB62" i="30"/>
  <c r="AIJ62" i="30"/>
  <c r="AHU62" i="30"/>
  <c r="UN55" i="30"/>
  <c r="AKL62" i="30"/>
  <c r="AFD55" i="30"/>
  <c r="AEQ55" i="30"/>
  <c r="AGV55" i="30"/>
  <c r="KO62" i="30"/>
  <c r="NN62" i="30"/>
  <c r="MB62" i="30"/>
  <c r="NK62" i="30"/>
  <c r="TW62" i="30"/>
  <c r="TU62" i="30"/>
  <c r="QR62" i="30"/>
  <c r="XD62" i="30"/>
  <c r="ACM55" i="30"/>
  <c r="AGC55" i="30"/>
  <c r="AHY55" i="30"/>
  <c r="ALL55" i="30"/>
  <c r="AKA62" i="30"/>
  <c r="AKJ62" i="30"/>
  <c r="AJX62" i="30"/>
  <c r="ST62" i="30"/>
  <c r="AGY62" i="30"/>
  <c r="ACV55" i="30"/>
  <c r="ADH55" i="30"/>
  <c r="ADW55" i="30"/>
  <c r="WB62" i="30"/>
  <c r="YC62" i="30"/>
  <c r="AEE55" i="30"/>
  <c r="ALB62" i="30"/>
  <c r="MA62" i="30"/>
  <c r="RW55" i="30"/>
  <c r="AKQ55" i="30"/>
  <c r="WN62" i="30"/>
  <c r="VS62" i="30"/>
  <c r="AFE55" i="30"/>
  <c r="RK55" i="30"/>
  <c r="QR55" i="30"/>
  <c r="AHV55" i="30"/>
  <c r="RV62" i="30"/>
  <c r="RM55" i="30"/>
  <c r="AFX62" i="30"/>
  <c r="AER55" i="30"/>
  <c r="AIQ55" i="30"/>
  <c r="SK62" i="30"/>
  <c r="YV55" i="30"/>
  <c r="WA55" i="30"/>
  <c r="SA55" i="30"/>
  <c r="UK62" i="30"/>
  <c r="RS62" i="30"/>
  <c r="XR62" i="30"/>
  <c r="ADM62" i="30"/>
  <c r="AJE55" i="30"/>
  <c r="PX62" i="30"/>
  <c r="ACC55" i="30"/>
  <c r="ABO55" i="30"/>
  <c r="UE55" i="30"/>
  <c r="ACF62" i="30"/>
  <c r="ALD62" i="30"/>
  <c r="ACI55" i="30"/>
  <c r="ACS62" i="30"/>
  <c r="AFP55" i="30"/>
  <c r="UY55" i="30"/>
  <c r="NF55" i="30"/>
  <c r="UU55" i="30"/>
  <c r="TT55" i="30"/>
  <c r="WE55" i="30"/>
  <c r="AET55" i="30"/>
  <c r="AKG55" i="30"/>
  <c r="AHO62" i="30"/>
  <c r="ADF55" i="30"/>
  <c r="ADR62" i="30"/>
  <c r="ALN62" i="30"/>
  <c r="SX55" i="30"/>
  <c r="ACA55" i="30"/>
  <c r="AJT62" i="30"/>
  <c r="VL62" i="30"/>
  <c r="AII55" i="30"/>
  <c r="AHK62" i="30"/>
  <c r="ALP62" i="30"/>
  <c r="XX62" i="30"/>
  <c r="ACR62" i="30"/>
  <c r="AGY55" i="30"/>
  <c r="ALA55" i="30"/>
  <c r="AKO62" i="30"/>
  <c r="AJH55" i="30"/>
  <c r="ABZ55" i="30"/>
  <c r="QX55" i="30"/>
  <c r="AHW55" i="30"/>
  <c r="ALP55" i="30"/>
  <c r="AKL55" i="30"/>
  <c r="AIQ62" i="30"/>
  <c r="AGQ62" i="30"/>
  <c r="MI62" i="30"/>
  <c r="PF55" i="30"/>
  <c r="TR55" i="30"/>
  <c r="TH62" i="30"/>
  <c r="TF55" i="30"/>
  <c r="SW55" i="30"/>
  <c r="TM62" i="30"/>
  <c r="RP62" i="30"/>
  <c r="AGE55" i="30"/>
  <c r="AES55" i="30"/>
  <c r="ABF55" i="30"/>
  <c r="ACB55" i="30"/>
  <c r="AJB55" i="30"/>
  <c r="ALF62" i="30"/>
  <c r="AHA55" i="30"/>
  <c r="AIW55" i="30"/>
  <c r="AER62" i="30"/>
  <c r="AIU62" i="30"/>
  <c r="AAZ55" i="30"/>
  <c r="QE62" i="30"/>
  <c r="TI55" i="30"/>
  <c r="SE55" i="30"/>
  <c r="ADQ62" i="30"/>
  <c r="AJX55" i="30"/>
  <c r="TN55" i="30"/>
  <c r="VD55" i="30"/>
  <c r="SF55" i="30"/>
  <c r="AJY55" i="30"/>
  <c r="QJ55" i="30"/>
  <c r="AGB62" i="30"/>
  <c r="AFL62" i="30"/>
  <c r="XH55" i="30"/>
  <c r="ZW55" i="30"/>
  <c r="ACU55" i="30"/>
  <c r="AGU55" i="30"/>
  <c r="XL55" i="30"/>
  <c r="ABL62" i="30"/>
  <c r="ALE55" i="30"/>
  <c r="UR62" i="30"/>
  <c r="XJ55" i="30"/>
  <c r="ACG62" i="30"/>
  <c r="AHP55" i="30"/>
  <c r="YH62" i="30"/>
  <c r="AFQ55" i="30"/>
  <c r="AKZ55" i="30"/>
  <c r="QU62" i="30"/>
  <c r="AGS55" i="30"/>
  <c r="AJZ55" i="30"/>
  <c r="AGT55" i="30"/>
  <c r="SY55" i="30"/>
  <c r="VF55" i="30"/>
  <c r="ACH62" i="30"/>
  <c r="ADZ55" i="30"/>
  <c r="AAV62" i="30"/>
  <c r="TM55" i="30"/>
  <c r="QA55" i="30"/>
  <c r="AKA55" i="30"/>
  <c r="XI55" i="30"/>
  <c r="QW62" i="30"/>
  <c r="AGW62" i="30"/>
  <c r="ZR55" i="30"/>
  <c r="AEO62" i="30"/>
  <c r="AKF55" i="30"/>
  <c r="QB62" i="30"/>
  <c r="VK55" i="30"/>
  <c r="ALO62" i="30"/>
  <c r="AJU62" i="30"/>
  <c r="AEB62" i="30"/>
  <c r="AAW62" i="30"/>
  <c r="XG55" i="30"/>
  <c r="UA62" i="30"/>
  <c r="UW62" i="30"/>
  <c r="AAU55" i="30"/>
  <c r="WR62" i="30"/>
  <c r="AIS55" i="30"/>
  <c r="AGJ55" i="30"/>
  <c r="AHQ62" i="30"/>
  <c r="AJR55" i="30"/>
  <c r="AIG55" i="30"/>
  <c r="AHI55" i="30"/>
  <c r="AIY62" i="30"/>
  <c r="ALK62" i="30"/>
  <c r="ABD55" i="30"/>
  <c r="AGF55" i="30"/>
  <c r="ACD55" i="30"/>
  <c r="ACH55" i="30"/>
  <c r="AFN62" i="30"/>
  <c r="AFA55" i="30"/>
  <c r="ADS55" i="30"/>
  <c r="ABJ55" i="30"/>
  <c r="AFT62" i="30"/>
  <c r="AFB55" i="30"/>
  <c r="ADE55" i="30"/>
  <c r="AGA55" i="30"/>
  <c r="AEV62" i="30"/>
  <c r="ABT62" i="30"/>
  <c r="AAC62" i="30"/>
  <c r="AAA62" i="30"/>
  <c r="ZM55" i="30"/>
  <c r="ZO62" i="30"/>
  <c r="VX55" i="30"/>
  <c r="VX62" i="30"/>
  <c r="SM62" i="30"/>
  <c r="QH55" i="30"/>
  <c r="RP55" i="30"/>
  <c r="SS55" i="30"/>
  <c r="TJ62" i="30"/>
  <c r="PV62" i="30"/>
  <c r="UH55" i="30"/>
  <c r="RX62" i="30"/>
  <c r="TS55" i="30"/>
  <c r="QC62" i="30"/>
  <c r="SM55" i="30"/>
  <c r="RY55" i="30"/>
  <c r="QY62" i="30"/>
  <c r="RR62" i="30"/>
  <c r="UM62" i="30"/>
  <c r="PV55" i="30"/>
  <c r="PT62" i="30"/>
  <c r="LQ55" i="30"/>
  <c r="LA62" i="30"/>
  <c r="LA55" i="30"/>
  <c r="KI62" i="30"/>
  <c r="PD62" i="30"/>
  <c r="LU55" i="30"/>
  <c r="KW62" i="30"/>
  <c r="NT62" i="30"/>
  <c r="NH62" i="30"/>
  <c r="OT62" i="30"/>
  <c r="KN62" i="30"/>
  <c r="LI55" i="30"/>
  <c r="KZ55" i="30"/>
  <c r="NA55" i="30"/>
  <c r="LZ55" i="30"/>
  <c r="KT55" i="30"/>
  <c r="YT55" i="30"/>
  <c r="XF55" i="30"/>
  <c r="YE55" i="30"/>
  <c r="WC55" i="30"/>
  <c r="XM55" i="30"/>
  <c r="WG62" i="30"/>
  <c r="YD62" i="30"/>
  <c r="RO62" i="30"/>
  <c r="SL55" i="30"/>
  <c r="RL55" i="30"/>
  <c r="QM62" i="30"/>
  <c r="RE62" i="30"/>
  <c r="SC55" i="30"/>
  <c r="TK62" i="30"/>
  <c r="RQ55" i="30"/>
  <c r="QD55" i="30"/>
  <c r="NV62" i="30"/>
  <c r="OD62" i="30"/>
  <c r="LS55" i="30"/>
  <c r="NJ62" i="30"/>
  <c r="KZ62" i="30"/>
  <c r="MD62" i="30"/>
  <c r="OP55" i="30"/>
  <c r="NZ55" i="30"/>
  <c r="KX62" i="30"/>
  <c r="KR62" i="30"/>
  <c r="OP62" i="30"/>
  <c r="LJ55" i="30"/>
  <c r="MJ62" i="30"/>
  <c r="KH55" i="30"/>
  <c r="LD55" i="30"/>
  <c r="NX62" i="30"/>
  <c r="NI55" i="30"/>
  <c r="OR62" i="30"/>
  <c r="KN55" i="30"/>
  <c r="OL62" i="30"/>
  <c r="LT55" i="30"/>
  <c r="NI62" i="30"/>
  <c r="OR55" i="30"/>
  <c r="OM55" i="30"/>
  <c r="OT55" i="30"/>
  <c r="MK62" i="30"/>
  <c r="NE55" i="30"/>
  <c r="NM55" i="30"/>
  <c r="PJ55" i="30"/>
  <c r="OV55" i="30"/>
  <c r="MX55" i="30"/>
  <c r="PG55" i="30"/>
  <c r="MT62" i="30"/>
  <c r="NL55" i="30"/>
  <c r="LO62" i="30"/>
  <c r="OA62" i="30"/>
  <c r="LF55" i="30"/>
  <c r="KL62" i="30"/>
  <c r="LF62" i="30"/>
  <c r="OI55" i="30"/>
  <c r="PA62" i="30"/>
  <c r="OF62" i="30"/>
  <c r="MW62" i="30"/>
  <c r="PQ62" i="30"/>
  <c r="LP62" i="30"/>
  <c r="XR55" i="30"/>
  <c r="TX62" i="30"/>
  <c r="RE55" i="30"/>
  <c r="YR55" i="30"/>
  <c r="MU62" i="30"/>
  <c r="RL62" i="30"/>
  <c r="UK55" i="30"/>
  <c r="YF62" i="30"/>
  <c r="AIE55" i="30"/>
  <c r="AAJ55" i="30"/>
  <c r="TV62" i="30"/>
  <c r="ZC55" i="30"/>
  <c r="AFU62" i="30"/>
  <c r="PN55" i="30"/>
  <c r="MD55" i="30"/>
  <c r="MZ62" i="30"/>
  <c r="ZC62" i="30"/>
  <c r="VU62" i="30"/>
  <c r="WI55" i="30"/>
  <c r="ALG62" i="30"/>
  <c r="NZ62" i="30"/>
  <c r="ADY55" i="30"/>
  <c r="ZR62" i="30"/>
  <c r="AHR62" i="30"/>
  <c r="MY55" i="30"/>
  <c r="AJV62" i="30"/>
  <c r="AGP62" i="30"/>
  <c r="RD62" i="30"/>
  <c r="ABR55" i="30"/>
  <c r="AEK55" i="30"/>
  <c r="AJL62" i="30"/>
  <c r="AKU62" i="30"/>
  <c r="AHB55" i="30"/>
  <c r="KU55" i="30"/>
  <c r="ABQ55" i="30"/>
  <c r="WK55" i="30"/>
  <c r="AKU55" i="30"/>
  <c r="ADY62" i="30"/>
  <c r="SY62" i="30"/>
  <c r="ALT55" i="30"/>
  <c r="ALV55" i="30"/>
  <c r="OK55" i="30"/>
  <c r="LJ62" i="30"/>
  <c r="TJ55" i="30"/>
  <c r="UQ62" i="30"/>
  <c r="PQ55" i="30"/>
  <c r="KX55" i="30"/>
  <c r="SP55" i="30"/>
  <c r="ADT55" i="30"/>
  <c r="AFJ62" i="30"/>
  <c r="ADA62" i="30"/>
  <c r="KW55" i="30"/>
  <c r="PG62" i="30"/>
  <c r="YY55" i="30"/>
  <c r="XN62" i="30"/>
  <c r="YN62" i="30"/>
  <c r="AGG55" i="30"/>
  <c r="NO55" i="30"/>
  <c r="PN62" i="30"/>
  <c r="PH62" i="30"/>
  <c r="MP55" i="30"/>
  <c r="MQ55" i="30"/>
  <c r="NK55" i="30"/>
  <c r="RR55" i="30"/>
  <c r="UQ55" i="30"/>
  <c r="ZU55" i="30"/>
  <c r="WQ55" i="30"/>
  <c r="YY62" i="30"/>
  <c r="ZV55" i="30"/>
  <c r="ADB55" i="30"/>
  <c r="AHR55" i="30"/>
  <c r="ALT62" i="30"/>
  <c r="AIM62" i="30"/>
  <c r="TY62" i="30"/>
  <c r="SO62" i="30"/>
  <c r="QF55" i="30"/>
  <c r="RS55" i="30"/>
  <c r="YM62" i="30"/>
  <c r="ZJ55" i="30"/>
  <c r="ZO55" i="30"/>
  <c r="ADX62" i="30"/>
  <c r="AIX55" i="30"/>
  <c r="AGQ55" i="30"/>
  <c r="OQ55" i="30"/>
  <c r="LY55" i="30"/>
  <c r="ME62" i="30"/>
  <c r="LC62" i="30"/>
  <c r="OL55" i="30"/>
  <c r="NX55" i="30"/>
  <c r="VG62" i="30"/>
  <c r="SW62" i="30"/>
  <c r="SJ62" i="30"/>
  <c r="TS62" i="30"/>
  <c r="TZ62" i="30"/>
  <c r="VQ55" i="30"/>
  <c r="XT62" i="30"/>
  <c r="ADL55" i="30"/>
  <c r="AAT55" i="30"/>
  <c r="ZK55" i="30"/>
  <c r="AAT62" i="30"/>
  <c r="MY62" i="30"/>
  <c r="OS55" i="30"/>
  <c r="PR55" i="30"/>
  <c r="PP55" i="30"/>
  <c r="AAI55" i="30"/>
  <c r="YX62" i="30"/>
  <c r="XE62" i="30"/>
  <c r="WD55" i="30"/>
  <c r="VT55" i="30"/>
  <c r="ADN55" i="30"/>
  <c r="AEX55" i="30"/>
  <c r="ACZ55" i="30"/>
  <c r="AJV55" i="30"/>
  <c r="AHC55" i="30"/>
  <c r="VJ55" i="30"/>
  <c r="XZ62" i="30"/>
  <c r="ADA55" i="30"/>
  <c r="AAH55" i="30"/>
  <c r="AJW62" i="30"/>
  <c r="OU62" i="30"/>
  <c r="YK55" i="30"/>
  <c r="ZV62" i="30"/>
  <c r="ZP62" i="30"/>
  <c r="PM62" i="30"/>
  <c r="KF62" i="30"/>
  <c r="SJ55" i="30"/>
  <c r="AAU62" i="30"/>
  <c r="YA62" i="30"/>
  <c r="ZF62" i="30"/>
  <c r="ADC55" i="30"/>
  <c r="ACL55" i="30"/>
  <c r="ADL62" i="30"/>
  <c r="AKM55" i="30"/>
  <c r="AKJ55" i="30"/>
  <c r="MK55" i="30"/>
  <c r="OS62" i="30"/>
  <c r="LM62" i="30"/>
  <c r="OI62" i="30"/>
  <c r="TU55" i="30"/>
  <c r="QG55" i="30"/>
  <c r="UL55" i="30"/>
  <c r="QG62" i="30"/>
  <c r="VH62" i="30"/>
  <c r="ACZ62" i="30"/>
  <c r="OW55" i="30"/>
  <c r="OG62" i="30"/>
  <c r="OH55" i="30"/>
  <c r="KM62" i="30"/>
  <c r="NW62" i="30"/>
  <c r="UV55" i="30"/>
  <c r="SI62" i="30"/>
  <c r="UL62" i="30"/>
  <c r="AAI62" i="30"/>
  <c r="YL55" i="30"/>
  <c r="NY55" i="30"/>
  <c r="LX55" i="30"/>
  <c r="OE55" i="30"/>
  <c r="NO62" i="30"/>
  <c r="PJ62" i="30"/>
  <c r="OM62" i="30"/>
  <c r="NB55" i="30"/>
  <c r="US55" i="30"/>
  <c r="TV55" i="30"/>
  <c r="AAK62" i="30"/>
  <c r="WT55" i="30"/>
  <c r="WS62" i="30"/>
  <c r="WH55" i="30"/>
  <c r="WK62" i="30"/>
  <c r="WJ55" i="30"/>
  <c r="ADN62" i="30"/>
  <c r="ADM55" i="30"/>
  <c r="AHC62" i="30"/>
  <c r="AIL55" i="30"/>
  <c r="H23" i="42"/>
  <c r="I23" i="42" s="1"/>
  <c r="H28" i="42"/>
  <c r="I28" i="42" s="1"/>
  <c r="H18" i="42"/>
  <c r="I18" i="42" s="1"/>
  <c r="AJJ55" i="30"/>
  <c r="AKY55" i="30"/>
  <c r="AKD55" i="30"/>
  <c r="AID55" i="30"/>
  <c r="AHF55" i="30"/>
  <c r="AIP55" i="30"/>
  <c r="AHZ55" i="30"/>
  <c r="AIN55" i="30"/>
  <c r="AJF55" i="30"/>
  <c r="AJC55" i="30"/>
  <c r="AKV55" i="30"/>
  <c r="AIT55" i="30"/>
  <c r="AKS55" i="30"/>
  <c r="AJT55" i="30"/>
  <c r="AJC62" i="30"/>
  <c r="ALJ55" i="30"/>
  <c r="AKV62" i="30"/>
  <c r="AHN62" i="30"/>
  <c r="AKT55" i="30"/>
  <c r="AJL55" i="30"/>
  <c r="AIB62" i="30"/>
  <c r="AGR55" i="30"/>
  <c r="ALR55" i="30"/>
  <c r="ALQ55" i="30"/>
  <c r="ALW55" i="30"/>
  <c r="AKK55" i="30"/>
  <c r="AKC55" i="30"/>
  <c r="AJW55" i="30"/>
  <c r="AIO55" i="30"/>
  <c r="ALH55" i="30"/>
  <c r="AHF62" i="30"/>
  <c r="ALI55" i="30"/>
  <c r="AIA55" i="30"/>
  <c r="AIC55" i="30"/>
  <c r="ALU55" i="30"/>
  <c r="ALI62" i="30"/>
  <c r="AIN62" i="30"/>
  <c r="AKS62" i="30"/>
  <c r="AHX55" i="30"/>
  <c r="AKI62" i="30"/>
  <c r="ALJ62" i="30"/>
  <c r="AJM55" i="30"/>
  <c r="AKH62" i="30"/>
  <c r="AKW55" i="30"/>
  <c r="AKT62" i="30"/>
  <c r="AGR62" i="30"/>
  <c r="AGL55" i="30"/>
  <c r="AGK55" i="30"/>
  <c r="AIF55" i="30"/>
  <c r="AHS55" i="30"/>
  <c r="AKX55" i="30"/>
  <c r="AJM62" i="30"/>
  <c r="AIZ55" i="30"/>
  <c r="AKW62" i="30"/>
  <c r="AHJ55" i="30"/>
  <c r="AKE55" i="30"/>
  <c r="AJP55" i="30"/>
  <c r="AHS62" i="30"/>
  <c r="AKX62" i="30"/>
  <c r="AJA55" i="30"/>
  <c r="AIZ62" i="30"/>
  <c r="AIX62" i="30"/>
  <c r="AJO55" i="30"/>
  <c r="AJK55" i="30"/>
  <c r="ALW62" i="30"/>
  <c r="AIL62" i="30"/>
  <c r="AJS55" i="30"/>
  <c r="AHT55" i="30"/>
  <c r="AHG55" i="30"/>
  <c r="AJN62" i="30"/>
  <c r="AHB62" i="30"/>
  <c r="AJO62" i="30"/>
  <c r="AHE55" i="30"/>
  <c r="AHD55" i="30"/>
  <c r="ALG55" i="30"/>
  <c r="AKY62" i="30"/>
  <c r="AGP55" i="30"/>
  <c r="AKN55" i="30"/>
  <c r="AJA62" i="30"/>
  <c r="AJG55" i="30"/>
  <c r="AHG62" i="30"/>
  <c r="AJN55" i="30"/>
  <c r="AHQ55" i="30"/>
  <c r="ALS55" i="30"/>
  <c r="AHE62" i="30"/>
  <c r="AHD62" i="30"/>
  <c r="AIB55" i="30"/>
  <c r="ALF55" i="30"/>
  <c r="ABI55" i="30"/>
  <c r="ACQ55" i="30"/>
  <c r="ABW55" i="30"/>
  <c r="AFZ62" i="30"/>
  <c r="ACP55" i="30"/>
  <c r="AGG62" i="30"/>
  <c r="ACE55" i="30"/>
  <c r="AED55" i="30"/>
  <c r="ABR62" i="30"/>
  <c r="AAX55" i="30"/>
  <c r="ACO55" i="30"/>
  <c r="ABA55" i="30"/>
  <c r="AED62" i="30"/>
  <c r="AEZ55" i="30"/>
  <c r="ABG55" i="30"/>
  <c r="ABV55" i="30"/>
  <c r="AEF55" i="30"/>
  <c r="AFH62" i="30"/>
  <c r="ADD55" i="30"/>
  <c r="AGI55" i="30"/>
  <c r="ACJ62" i="30"/>
  <c r="ABV62" i="30"/>
  <c r="AEF62" i="30"/>
  <c r="AGH55" i="30"/>
  <c r="AEW55" i="30"/>
  <c r="ABQ62" i="30"/>
  <c r="AEA55" i="30"/>
  <c r="ADO55" i="30"/>
  <c r="ACN55" i="30"/>
  <c r="AFT55" i="30"/>
  <c r="ACW55" i="30"/>
  <c r="AFV55" i="30"/>
  <c r="AFK55" i="30"/>
  <c r="AEL55" i="30"/>
  <c r="ADX55" i="30"/>
  <c r="ABE62" i="30"/>
  <c r="AEJ62" i="30"/>
  <c r="AEJ55" i="30"/>
  <c r="AEY55" i="30"/>
  <c r="AGD55" i="30"/>
  <c r="AEG55" i="30"/>
  <c r="ACT55" i="30"/>
  <c r="ACB62" i="30"/>
  <c r="AGF62" i="30"/>
  <c r="AEK62" i="30"/>
  <c r="ABP55" i="30"/>
  <c r="AEH55" i="30"/>
  <c r="AFZ55" i="30"/>
  <c r="ACN62" i="30"/>
  <c r="ABS55" i="30"/>
  <c r="AFH55" i="30"/>
  <c r="ABH55" i="30"/>
  <c r="AFW55" i="30"/>
  <c r="AFU55" i="30"/>
  <c r="AEW62" i="30"/>
  <c r="ABE55" i="30"/>
  <c r="AEM55" i="30"/>
  <c r="AFO55" i="30"/>
  <c r="AFJ55" i="30"/>
  <c r="ABX55" i="30"/>
  <c r="AEV55" i="30"/>
  <c r="ABP62" i="30"/>
  <c r="XZ55" i="30"/>
  <c r="YN55" i="30"/>
  <c r="VU55" i="30"/>
  <c r="AAK55" i="30"/>
  <c r="ZA55" i="30"/>
  <c r="ZY55" i="30"/>
  <c r="ZZ62" i="30"/>
  <c r="ZX62" i="30"/>
  <c r="YB62" i="30"/>
  <c r="VV55" i="30"/>
  <c r="YO55" i="30"/>
  <c r="AAL55" i="30"/>
  <c r="XB55" i="30"/>
  <c r="YA55" i="30"/>
  <c r="WY55" i="30"/>
  <c r="ZL55" i="30"/>
  <c r="ZQ55" i="30"/>
  <c r="VN62" i="30"/>
  <c r="AAM62" i="30"/>
  <c r="YP55" i="30"/>
  <c r="WU55" i="30"/>
  <c r="WX55" i="30"/>
  <c r="YF55" i="30"/>
  <c r="WZ55" i="30"/>
  <c r="ZB62" i="30"/>
  <c r="AAL62" i="30"/>
  <c r="WP55" i="30"/>
  <c r="XN55" i="30"/>
  <c r="ZL62" i="30"/>
  <c r="ZQ62" i="30"/>
  <c r="WS55" i="30"/>
  <c r="XU55" i="30"/>
  <c r="VN55" i="30"/>
  <c r="YQ55" i="30"/>
  <c r="YP62" i="30"/>
  <c r="VW55" i="30"/>
  <c r="WX62" i="30"/>
  <c r="AAN55" i="30"/>
  <c r="XP55" i="30"/>
  <c r="ZM62" i="30"/>
  <c r="AAQ55" i="30"/>
  <c r="ZK62" i="30"/>
  <c r="XA55" i="30"/>
  <c r="YZ55" i="30"/>
  <c r="ZN55" i="30"/>
  <c r="WW55" i="30"/>
  <c r="YQ62" i="30"/>
  <c r="XT55" i="30"/>
  <c r="VZ55" i="30"/>
  <c r="AAN62" i="30"/>
  <c r="AAO55" i="30"/>
  <c r="ZA62" i="30"/>
  <c r="VS55" i="30"/>
  <c r="WG55" i="30"/>
  <c r="AAO62" i="30"/>
  <c r="ZD62" i="30"/>
  <c r="XP62" i="30"/>
  <c r="ZE62" i="30"/>
  <c r="ZY62" i="30"/>
  <c r="XQ55" i="30"/>
  <c r="VP55" i="30"/>
  <c r="ZZ55" i="30"/>
  <c r="XQ62" i="30"/>
  <c r="XV55" i="30"/>
  <c r="YG55" i="30"/>
  <c r="YO62" i="30"/>
  <c r="WF55" i="30"/>
  <c r="ZB55" i="30"/>
  <c r="AAD62" i="30"/>
  <c r="XO55" i="30"/>
  <c r="ZX55" i="30"/>
  <c r="AAM55" i="30"/>
  <c r="XS55" i="30"/>
  <c r="AAD55" i="30"/>
  <c r="XC55" i="30"/>
  <c r="VR55" i="30"/>
  <c r="YL62" i="30"/>
  <c r="WO55" i="30"/>
  <c r="YM55" i="30"/>
  <c r="YS55" i="30"/>
  <c r="YZ62" i="30"/>
  <c r="ZN62" i="30"/>
  <c r="VI62" i="30"/>
  <c r="VY55" i="30"/>
  <c r="WV55" i="30"/>
  <c r="VZ62" i="30"/>
  <c r="ZP55" i="30"/>
  <c r="AAA55" i="30"/>
  <c r="YD55" i="30"/>
  <c r="SD62" i="30"/>
  <c r="VG55" i="30"/>
  <c r="UF55" i="30"/>
  <c r="SO55" i="30"/>
  <c r="PT55" i="30"/>
  <c r="SD55" i="30"/>
  <c r="TA55" i="30"/>
  <c r="TK55" i="30"/>
  <c r="TB62" i="30"/>
  <c r="SP62" i="30"/>
  <c r="RF55" i="30"/>
  <c r="SZ55" i="30"/>
  <c r="RG55" i="30"/>
  <c r="SA62" i="30"/>
  <c r="QH62" i="30"/>
  <c r="VC55" i="30"/>
  <c r="TW55" i="30"/>
  <c r="UJ62" i="30"/>
  <c r="SQ55" i="30"/>
  <c r="RD55" i="30"/>
  <c r="QN55" i="30"/>
  <c r="TC55" i="30"/>
  <c r="SQ62" i="30"/>
  <c r="SV55" i="30"/>
  <c r="UT55" i="30"/>
  <c r="QN62" i="30"/>
  <c r="SU55" i="30"/>
  <c r="UX62" i="30"/>
  <c r="UA55" i="30"/>
  <c r="UM55" i="30"/>
  <c r="SB55" i="30"/>
  <c r="UF62" i="30"/>
  <c r="RB62" i="30"/>
  <c r="UX55" i="30"/>
  <c r="UJ55" i="30"/>
  <c r="SU62" i="30"/>
  <c r="TX55" i="30"/>
  <c r="SN62" i="30"/>
  <c r="TL62" i="30"/>
  <c r="QM55" i="30"/>
  <c r="SB62" i="30"/>
  <c r="OY55" i="30"/>
  <c r="OG55" i="30"/>
  <c r="OY62" i="30"/>
  <c r="OX62" i="30"/>
  <c r="LO55" i="30"/>
  <c r="OA55" i="30"/>
  <c r="KO55" i="30"/>
  <c r="PA55" i="30"/>
  <c r="ON55" i="30"/>
  <c r="PE62" i="30"/>
  <c r="LY62" i="30"/>
  <c r="PD55" i="30"/>
  <c r="ME55" i="30"/>
  <c r="KQ55" i="30"/>
  <c r="NU55" i="30"/>
  <c r="NN55" i="30"/>
  <c r="MN62" i="30"/>
  <c r="NC55" i="30"/>
  <c r="OJ55" i="30"/>
  <c r="MM55" i="30"/>
  <c r="OC55" i="30"/>
  <c r="OO62" i="30"/>
  <c r="NJ55" i="30"/>
  <c r="MW55" i="30"/>
  <c r="NR55" i="30"/>
  <c r="NU62" i="30"/>
  <c r="MT55" i="30"/>
  <c r="MP62" i="30"/>
  <c r="OD55" i="30"/>
  <c r="NC62" i="30"/>
  <c r="OJ62" i="30"/>
  <c r="MM62" i="30"/>
  <c r="NT55" i="30"/>
  <c r="PH55" i="30"/>
  <c r="NB62" i="30"/>
  <c r="LW55" i="30"/>
  <c r="PK55" i="30"/>
  <c r="MN55" i="30"/>
  <c r="KP55" i="30"/>
  <c r="NQ55" i="30"/>
  <c r="NH55" i="30"/>
  <c r="LV55" i="30"/>
  <c r="LR55" i="30"/>
  <c r="KL55" i="30"/>
  <c r="PS62" i="30"/>
  <c r="LG55" i="30"/>
  <c r="PE55" i="30"/>
  <c r="OC62" i="30"/>
  <c r="MU55" i="30"/>
  <c r="OU55" i="30"/>
  <c r="MZ55" i="30"/>
  <c r="NW55" i="30"/>
  <c r="KK55" i="30"/>
  <c r="KM55" i="30"/>
  <c r="KR55" i="30"/>
  <c r="OX55" i="30"/>
  <c r="LP55" i="30"/>
  <c r="MJ55" i="30"/>
  <c r="MB55" i="30"/>
  <c r="PS55" i="30"/>
  <c r="KF55" i="30"/>
  <c r="PM55" i="30"/>
  <c r="LG62" i="30"/>
  <c r="KI55" i="30"/>
  <c r="LM55" i="30"/>
  <c r="KT62" i="30"/>
  <c r="LC55" i="30"/>
  <c r="MA55" i="30"/>
  <c r="H21" i="42"/>
  <c r="I21" i="42" s="1"/>
  <c r="H35" i="42"/>
  <c r="I35" i="42" s="1"/>
  <c r="H39" i="42"/>
  <c r="I39" i="42" s="1"/>
  <c r="H36" i="42"/>
  <c r="I36" i="42" s="1"/>
  <c r="H16" i="42"/>
  <c r="I16" i="42" s="1"/>
  <c r="H15" i="42"/>
  <c r="I15" i="42" s="1"/>
  <c r="H27" i="42"/>
  <c r="I27" i="42" s="1"/>
  <c r="H26" i="42"/>
  <c r="I26" i="42" s="1"/>
  <c r="H25" i="42"/>
  <c r="I25" i="42" s="1"/>
  <c r="H22" i="42"/>
  <c r="I22" i="42" s="1"/>
  <c r="H20" i="42"/>
  <c r="I20" i="42" s="1"/>
  <c r="H24" i="42"/>
  <c r="I24" i="42" s="1"/>
  <c r="H19" i="42"/>
  <c r="I19" i="42" s="1"/>
  <c r="H16" i="38"/>
  <c r="I16" i="38" s="1"/>
  <c r="H17" i="38"/>
  <c r="I17" i="38" s="1"/>
  <c r="H18" i="38"/>
  <c r="I18" i="38" s="1"/>
  <c r="H19" i="38"/>
  <c r="I19" i="38" s="1"/>
  <c r="H20" i="38"/>
  <c r="I20" i="38" s="1"/>
  <c r="H21" i="38"/>
  <c r="I21" i="38" s="1"/>
  <c r="H22" i="38"/>
  <c r="I22" i="38" s="1"/>
  <c r="H23" i="38"/>
  <c r="I23" i="38" s="1"/>
  <c r="H24" i="38"/>
  <c r="I24" i="38" s="1"/>
  <c r="H25" i="38"/>
  <c r="I25" i="38" s="1"/>
  <c r="H26" i="38"/>
  <c r="I26" i="38" s="1"/>
  <c r="H27" i="38"/>
  <c r="I27" i="38" s="1"/>
  <c r="H28" i="38"/>
  <c r="I28" i="38" s="1"/>
  <c r="H29" i="38"/>
  <c r="I29" i="38" s="1"/>
  <c r="H30" i="38"/>
  <c r="I30" i="38" s="1"/>
  <c r="H31" i="38"/>
  <c r="I31" i="38" s="1"/>
  <c r="H32" i="38"/>
  <c r="I32" i="38" s="1"/>
  <c r="H33" i="38"/>
  <c r="I33" i="38" s="1"/>
  <c r="H34" i="38"/>
  <c r="I34" i="38" s="1"/>
  <c r="H35" i="38"/>
  <c r="I35" i="38" s="1"/>
  <c r="H36" i="38"/>
  <c r="I36" i="38" s="1"/>
  <c r="H37" i="38"/>
  <c r="I37" i="38" s="1"/>
  <c r="H38" i="38"/>
  <c r="I38" i="38" s="1"/>
  <c r="H39" i="38"/>
  <c r="I39" i="38" s="1"/>
  <c r="H40" i="38"/>
  <c r="I40" i="38" s="1"/>
  <c r="H41" i="38"/>
  <c r="I41" i="38" s="1"/>
  <c r="H42" i="38"/>
  <c r="I42" i="38" s="1"/>
  <c r="H43" i="38"/>
  <c r="I43" i="38" s="1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I29" i="37"/>
  <c r="I30" i="37"/>
  <c r="I39" i="37"/>
  <c r="I40" i="37"/>
  <c r="I41" i="37"/>
  <c r="I42" i="37"/>
  <c r="H16" i="37"/>
  <c r="I16" i="37" s="1"/>
  <c r="H17" i="37"/>
  <c r="I17" i="37" s="1"/>
  <c r="H18" i="37"/>
  <c r="I18" i="37" s="1"/>
  <c r="H19" i="37"/>
  <c r="I19" i="37" s="1"/>
  <c r="H20" i="37"/>
  <c r="I20" i="37" s="1"/>
  <c r="H21" i="37"/>
  <c r="I21" i="37" s="1"/>
  <c r="H22" i="37"/>
  <c r="I22" i="37" s="1"/>
  <c r="H23" i="37"/>
  <c r="I23" i="37" s="1"/>
  <c r="H24" i="37"/>
  <c r="I24" i="37" s="1"/>
  <c r="H25" i="37"/>
  <c r="I25" i="37" s="1"/>
  <c r="H26" i="37"/>
  <c r="I26" i="37" s="1"/>
  <c r="H27" i="37"/>
  <c r="I27" i="37" s="1"/>
  <c r="H28" i="37"/>
  <c r="I28" i="37" s="1"/>
  <c r="H29" i="37"/>
  <c r="H30" i="37"/>
  <c r="H31" i="37"/>
  <c r="I31" i="37" s="1"/>
  <c r="H32" i="37"/>
  <c r="I32" i="37" s="1"/>
  <c r="H33" i="37"/>
  <c r="I33" i="37" s="1"/>
  <c r="H34" i="37"/>
  <c r="I34" i="37" s="1"/>
  <c r="H35" i="37"/>
  <c r="I35" i="37" s="1"/>
  <c r="H36" i="37"/>
  <c r="I36" i="37" s="1"/>
  <c r="H37" i="37"/>
  <c r="I37" i="37" s="1"/>
  <c r="H38" i="37"/>
  <c r="I38" i="37" s="1"/>
  <c r="H39" i="37"/>
  <c r="H40" i="37"/>
  <c r="H41" i="37"/>
  <c r="H42" i="37"/>
  <c r="H43" i="37"/>
  <c r="I43" i="37" s="1"/>
  <c r="H15" i="37"/>
  <c r="I15" i="37" s="1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H16" i="41" l="1"/>
  <c r="I16" i="41" s="1"/>
  <c r="H17" i="41"/>
  <c r="I17" i="41" s="1"/>
  <c r="H18" i="41"/>
  <c r="I18" i="41" s="1"/>
  <c r="H19" i="41"/>
  <c r="I19" i="41" s="1"/>
  <c r="H20" i="41"/>
  <c r="I20" i="41" s="1"/>
  <c r="H21" i="41"/>
  <c r="I21" i="41" s="1"/>
  <c r="H22" i="41"/>
  <c r="I22" i="41" s="1"/>
  <c r="H23" i="41"/>
  <c r="I23" i="41" s="1"/>
  <c r="H24" i="41"/>
  <c r="I24" i="41" s="1"/>
  <c r="H25" i="41"/>
  <c r="I25" i="41" s="1"/>
  <c r="H26" i="41"/>
  <c r="I26" i="41" s="1"/>
  <c r="H27" i="41"/>
  <c r="I27" i="41" s="1"/>
  <c r="H28" i="41"/>
  <c r="I28" i="41" s="1"/>
  <c r="H29" i="41"/>
  <c r="I29" i="41" s="1"/>
  <c r="H30" i="41"/>
  <c r="I30" i="41" s="1"/>
  <c r="H31" i="41"/>
  <c r="I31" i="41" s="1"/>
  <c r="H32" i="41"/>
  <c r="I32" i="41" s="1"/>
  <c r="H33" i="41"/>
  <c r="I33" i="41" s="1"/>
  <c r="H34" i="41"/>
  <c r="I34" i="41" s="1"/>
  <c r="H35" i="41"/>
  <c r="I35" i="41" s="1"/>
  <c r="H36" i="41"/>
  <c r="I36" i="41" s="1"/>
  <c r="H37" i="41"/>
  <c r="I37" i="41" s="1"/>
  <c r="H38" i="41"/>
  <c r="I38" i="41" s="1"/>
  <c r="H39" i="41"/>
  <c r="I39" i="41" s="1"/>
  <c r="H40" i="41"/>
  <c r="I40" i="41" s="1"/>
  <c r="H41" i="41"/>
  <c r="I41" i="41" s="1"/>
  <c r="H42" i="41"/>
  <c r="I42" i="41" s="1"/>
  <c r="H43" i="41"/>
  <c r="I43" i="41" s="1"/>
  <c r="H15" i="41"/>
  <c r="I15" i="41" s="1"/>
  <c r="G16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15" i="41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32" i="40"/>
  <c r="G33" i="40"/>
  <c r="G34" i="40"/>
  <c r="G35" i="40"/>
  <c r="G36" i="40"/>
  <c r="G37" i="40"/>
  <c r="G38" i="40"/>
  <c r="G39" i="40"/>
  <c r="G40" i="40"/>
  <c r="G41" i="40"/>
  <c r="G42" i="40"/>
  <c r="G43" i="40"/>
  <c r="G15" i="40"/>
  <c r="H16" i="40"/>
  <c r="I16" i="40" s="1"/>
  <c r="H17" i="40"/>
  <c r="H18" i="40"/>
  <c r="H19" i="40"/>
  <c r="I19" i="40" s="1"/>
  <c r="H20" i="40"/>
  <c r="I20" i="40" s="1"/>
  <c r="H21" i="40"/>
  <c r="I21" i="40" s="1"/>
  <c r="H22" i="40"/>
  <c r="I22" i="40" s="1"/>
  <c r="H23" i="40"/>
  <c r="I23" i="40" s="1"/>
  <c r="H24" i="40"/>
  <c r="H25" i="40"/>
  <c r="H26" i="40"/>
  <c r="H27" i="40"/>
  <c r="I27" i="40" s="1"/>
  <c r="H28" i="40"/>
  <c r="I28" i="40" s="1"/>
  <c r="H29" i="40"/>
  <c r="I29" i="40" s="1"/>
  <c r="H30" i="40"/>
  <c r="H31" i="40"/>
  <c r="I31" i="40" s="1"/>
  <c r="H32" i="40"/>
  <c r="H33" i="40"/>
  <c r="I33" i="40" s="1"/>
  <c r="H34" i="40"/>
  <c r="I34" i="40" s="1"/>
  <c r="H35" i="40"/>
  <c r="H36" i="40"/>
  <c r="I36" i="40" s="1"/>
  <c r="H37" i="40"/>
  <c r="H38" i="40"/>
  <c r="H39" i="40"/>
  <c r="I39" i="40" s="1"/>
  <c r="H40" i="40"/>
  <c r="H41" i="40"/>
  <c r="I41" i="40" s="1"/>
  <c r="H42" i="40"/>
  <c r="H43" i="40"/>
  <c r="H15" i="40"/>
  <c r="I15" i="40" s="1"/>
  <c r="I17" i="40"/>
  <c r="I18" i="40"/>
  <c r="I24" i="40"/>
  <c r="I25" i="40"/>
  <c r="I26" i="40"/>
  <c r="I30" i="40"/>
  <c r="I32" i="40"/>
  <c r="I35" i="40"/>
  <c r="I37" i="40"/>
  <c r="I38" i="40"/>
  <c r="I40" i="40"/>
  <c r="I42" i="40"/>
  <c r="I43" i="40"/>
  <c r="H16" i="39"/>
  <c r="I16" i="39" s="1"/>
  <c r="H17" i="39"/>
  <c r="I17" i="39" s="1"/>
  <c r="H18" i="39"/>
  <c r="I18" i="39" s="1"/>
  <c r="H20" i="39"/>
  <c r="I20" i="39" s="1"/>
  <c r="H21" i="39"/>
  <c r="I21" i="39" s="1"/>
  <c r="H22" i="39"/>
  <c r="I22" i="39" s="1"/>
  <c r="H23" i="39"/>
  <c r="I23" i="39" s="1"/>
  <c r="H24" i="39"/>
  <c r="I24" i="39" s="1"/>
  <c r="H25" i="39"/>
  <c r="I25" i="39" s="1"/>
  <c r="H26" i="39"/>
  <c r="I26" i="39" s="1"/>
  <c r="H27" i="39"/>
  <c r="I27" i="39" s="1"/>
  <c r="H28" i="39"/>
  <c r="I28" i="39" s="1"/>
  <c r="H29" i="39"/>
  <c r="I29" i="39" s="1"/>
  <c r="H30" i="39"/>
  <c r="I30" i="39" s="1"/>
  <c r="H31" i="39"/>
  <c r="I31" i="39" s="1"/>
  <c r="H32" i="39"/>
  <c r="I32" i="39" s="1"/>
  <c r="H33" i="39"/>
  <c r="I33" i="39" s="1"/>
  <c r="H34" i="39"/>
  <c r="I34" i="39" s="1"/>
  <c r="H35" i="39"/>
  <c r="I35" i="39" s="1"/>
  <c r="H36" i="39"/>
  <c r="I36" i="39" s="1"/>
  <c r="H37" i="39"/>
  <c r="I37" i="39" s="1"/>
  <c r="H38" i="39"/>
  <c r="I38" i="39" s="1"/>
  <c r="H39" i="39"/>
  <c r="I39" i="39" s="1"/>
  <c r="H40" i="39"/>
  <c r="I40" i="39" s="1"/>
  <c r="H41" i="39"/>
  <c r="I41" i="39" s="1"/>
  <c r="H42" i="39"/>
  <c r="I42" i="39" s="1"/>
  <c r="H43" i="39"/>
  <c r="I43" i="39" s="1"/>
  <c r="H15" i="39"/>
  <c r="I15" i="39" s="1"/>
  <c r="G16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15" i="39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15" i="34"/>
  <c r="H16" i="34"/>
  <c r="I16" i="34" s="1"/>
  <c r="H17" i="34"/>
  <c r="I17" i="34" s="1"/>
  <c r="H18" i="34"/>
  <c r="I18" i="34" s="1"/>
  <c r="H19" i="34"/>
  <c r="I19" i="34" s="1"/>
  <c r="H20" i="34"/>
  <c r="I20" i="34" s="1"/>
  <c r="H21" i="34"/>
  <c r="H22" i="34"/>
  <c r="I22" i="34" s="1"/>
  <c r="H23" i="34"/>
  <c r="I23" i="34" s="1"/>
  <c r="H24" i="34"/>
  <c r="I24" i="34" s="1"/>
  <c r="H25" i="34"/>
  <c r="I25" i="34" s="1"/>
  <c r="H26" i="34"/>
  <c r="I26" i="34" s="1"/>
  <c r="H27" i="34"/>
  <c r="I27" i="34" s="1"/>
  <c r="H28" i="34"/>
  <c r="H29" i="34"/>
  <c r="H30" i="34"/>
  <c r="H31" i="34"/>
  <c r="I31" i="34" s="1"/>
  <c r="H32" i="34"/>
  <c r="I32" i="34" s="1"/>
  <c r="H33" i="34"/>
  <c r="I33" i="34" s="1"/>
  <c r="H34" i="34"/>
  <c r="I34" i="34" s="1"/>
  <c r="H35" i="34"/>
  <c r="I35" i="34" s="1"/>
  <c r="H36" i="34"/>
  <c r="I36" i="34" s="1"/>
  <c r="H37" i="34"/>
  <c r="I37" i="34" s="1"/>
  <c r="H38" i="34"/>
  <c r="I38" i="34" s="1"/>
  <c r="H39" i="34"/>
  <c r="I39" i="34" s="1"/>
  <c r="H40" i="34"/>
  <c r="H41" i="34"/>
  <c r="I41" i="34" s="1"/>
  <c r="H42" i="34"/>
  <c r="H43" i="34"/>
  <c r="H15" i="34"/>
  <c r="I15" i="34" s="1"/>
  <c r="I21" i="34"/>
  <c r="I28" i="34"/>
  <c r="I29" i="34"/>
  <c r="I30" i="34"/>
  <c r="I40" i="34"/>
  <c r="I42" i="34"/>
  <c r="I43" i="34"/>
  <c r="H15" i="38"/>
  <c r="I15" i="38" s="1"/>
  <c r="G15" i="38"/>
  <c r="G15" i="37"/>
  <c r="C8" i="41"/>
  <c r="C8" i="40"/>
  <c r="C8" i="39"/>
  <c r="H15" i="36"/>
  <c r="I15" i="36" s="1"/>
  <c r="G15" i="36"/>
  <c r="C8" i="38"/>
  <c r="C8" i="37" l="1"/>
  <c r="C8" i="42" s="1"/>
  <c r="C8" i="36"/>
  <c r="D19" i="30"/>
  <c r="D18" i="30" s="1"/>
  <c r="D61" i="30" s="1"/>
  <c r="CG19" i="30" l="1"/>
  <c r="CG18" i="30" s="1"/>
  <c r="CG61" i="30" s="1"/>
  <c r="CH19" i="30"/>
  <c r="CH18" i="30" s="1"/>
  <c r="CH61" i="30" s="1"/>
  <c r="CI19" i="30"/>
  <c r="CI18" i="30" s="1"/>
  <c r="CI61" i="30" s="1"/>
  <c r="CJ19" i="30"/>
  <c r="CJ18" i="30" s="1"/>
  <c r="CJ61" i="30" s="1"/>
  <c r="CK19" i="30"/>
  <c r="CK18" i="30" s="1"/>
  <c r="CK61" i="30" s="1"/>
  <c r="CL19" i="30"/>
  <c r="CL18" i="30" s="1"/>
  <c r="CL61" i="30" s="1"/>
  <c r="CM19" i="30"/>
  <c r="CM18" i="30" s="1"/>
  <c r="CM61" i="30" s="1"/>
  <c r="CN19" i="30"/>
  <c r="CN18" i="30" s="1"/>
  <c r="CN61" i="30" s="1"/>
  <c r="CO19" i="30"/>
  <c r="CO18" i="30" s="1"/>
  <c r="CO61" i="30" s="1"/>
  <c r="CP19" i="30"/>
  <c r="CP18" i="30" s="1"/>
  <c r="CP61" i="30" s="1"/>
  <c r="CQ19" i="30"/>
  <c r="CQ18" i="30" s="1"/>
  <c r="CQ61" i="30" s="1"/>
  <c r="CR19" i="30"/>
  <c r="CR18" i="30" s="1"/>
  <c r="CR61" i="30" s="1"/>
  <c r="CS19" i="30"/>
  <c r="CS18" i="30" s="1"/>
  <c r="CS61" i="30" s="1"/>
  <c r="CT19" i="30"/>
  <c r="CT18" i="30" s="1"/>
  <c r="CT61" i="30" s="1"/>
  <c r="CU19" i="30"/>
  <c r="CU18" i="30" s="1"/>
  <c r="CU61" i="30" s="1"/>
  <c r="CV19" i="30"/>
  <c r="CV18" i="30" s="1"/>
  <c r="CV61" i="30" s="1"/>
  <c r="CW19" i="30"/>
  <c r="CW18" i="30" s="1"/>
  <c r="CW61" i="30" s="1"/>
  <c r="CX19" i="30"/>
  <c r="CX18" i="30" s="1"/>
  <c r="CX61" i="30" s="1"/>
  <c r="CY19" i="30"/>
  <c r="CY18" i="30" s="1"/>
  <c r="CY61" i="30" s="1"/>
  <c r="CZ19" i="30"/>
  <c r="CZ18" i="30" s="1"/>
  <c r="CZ61" i="30" s="1"/>
  <c r="DA19" i="30"/>
  <c r="DA18" i="30" s="1"/>
  <c r="DA61" i="30" s="1"/>
  <c r="DB19" i="30"/>
  <c r="DB18" i="30" s="1"/>
  <c r="DB61" i="30" s="1"/>
  <c r="DC19" i="30"/>
  <c r="DC18" i="30" s="1"/>
  <c r="DC61" i="30" s="1"/>
  <c r="DD19" i="30"/>
  <c r="DD18" i="30" s="1"/>
  <c r="DD61" i="30" s="1"/>
  <c r="DE19" i="30"/>
  <c r="DE18" i="30" s="1"/>
  <c r="DE61" i="30" s="1"/>
  <c r="DF19" i="30"/>
  <c r="DF18" i="30" s="1"/>
  <c r="DF61" i="30" s="1"/>
  <c r="DG19" i="30"/>
  <c r="DG18" i="30" s="1"/>
  <c r="DG61" i="30" s="1"/>
  <c r="DH19" i="30"/>
  <c r="DH18" i="30" s="1"/>
  <c r="DH61" i="30" s="1"/>
  <c r="DI19" i="30"/>
  <c r="DI18" i="30" s="1"/>
  <c r="DI61" i="30" s="1"/>
  <c r="DJ19" i="30"/>
  <c r="DJ18" i="30" s="1"/>
  <c r="DJ61" i="30" s="1"/>
  <c r="DK19" i="30"/>
  <c r="DK18" i="30" s="1"/>
  <c r="DK61" i="30" s="1"/>
  <c r="DL19" i="30"/>
  <c r="DL18" i="30" s="1"/>
  <c r="DL61" i="30" s="1"/>
  <c r="DM19" i="30"/>
  <c r="DM18" i="30" s="1"/>
  <c r="DM61" i="30" s="1"/>
  <c r="DN19" i="30"/>
  <c r="DN18" i="30" s="1"/>
  <c r="DN61" i="30" s="1"/>
  <c r="DO19" i="30"/>
  <c r="DO18" i="30" s="1"/>
  <c r="DO61" i="30" s="1"/>
  <c r="DP19" i="30"/>
  <c r="DP18" i="30" s="1"/>
  <c r="DP61" i="30" s="1"/>
  <c r="DQ19" i="30"/>
  <c r="DQ18" i="30" s="1"/>
  <c r="DQ61" i="30" s="1"/>
  <c r="DR19" i="30"/>
  <c r="DR18" i="30" s="1"/>
  <c r="DR61" i="30" s="1"/>
  <c r="DS19" i="30"/>
  <c r="DS18" i="30" s="1"/>
  <c r="DS61" i="30" s="1"/>
  <c r="DT19" i="30"/>
  <c r="DT18" i="30" s="1"/>
  <c r="DT61" i="30" s="1"/>
  <c r="DU19" i="30"/>
  <c r="DU18" i="30" s="1"/>
  <c r="DU61" i="30" s="1"/>
  <c r="DV19" i="30"/>
  <c r="DV18" i="30" s="1"/>
  <c r="DV61" i="30" s="1"/>
  <c r="DW19" i="30"/>
  <c r="DW18" i="30" s="1"/>
  <c r="DW61" i="30" s="1"/>
  <c r="DX19" i="30"/>
  <c r="DX18" i="30" s="1"/>
  <c r="DX61" i="30" s="1"/>
  <c r="DY19" i="30"/>
  <c r="DY18" i="30" s="1"/>
  <c r="DY61" i="30" s="1"/>
  <c r="DZ19" i="30"/>
  <c r="DZ18" i="30" s="1"/>
  <c r="DZ61" i="30" s="1"/>
  <c r="EA19" i="30"/>
  <c r="EA18" i="30" s="1"/>
  <c r="EA61" i="30" s="1"/>
  <c r="EB19" i="30"/>
  <c r="EB18" i="30" s="1"/>
  <c r="EB61" i="30" s="1"/>
  <c r="EC19" i="30"/>
  <c r="EC18" i="30" s="1"/>
  <c r="EC61" i="30" s="1"/>
  <c r="ED19" i="30"/>
  <c r="ED18" i="30" s="1"/>
  <c r="ED61" i="30" s="1"/>
  <c r="EE19" i="30"/>
  <c r="EE18" i="30" s="1"/>
  <c r="EE61" i="30" s="1"/>
  <c r="EF19" i="30"/>
  <c r="EF18" i="30" s="1"/>
  <c r="EF61" i="30" s="1"/>
  <c r="EG19" i="30"/>
  <c r="EG18" i="30" s="1"/>
  <c r="EG61" i="30" s="1"/>
  <c r="EH19" i="30"/>
  <c r="EH18" i="30" s="1"/>
  <c r="EH61" i="30" s="1"/>
  <c r="EI19" i="30"/>
  <c r="EI18" i="30" s="1"/>
  <c r="EI61" i="30" s="1"/>
  <c r="EJ19" i="30"/>
  <c r="EJ18" i="30" s="1"/>
  <c r="EJ61" i="30" s="1"/>
  <c r="EK19" i="30"/>
  <c r="EK18" i="30" s="1"/>
  <c r="EK61" i="30" s="1"/>
  <c r="EL19" i="30"/>
  <c r="EL18" i="30" s="1"/>
  <c r="EL61" i="30" s="1"/>
  <c r="EM19" i="30"/>
  <c r="EM18" i="30" s="1"/>
  <c r="EM61" i="30" s="1"/>
  <c r="EN19" i="30"/>
  <c r="EN18" i="30" s="1"/>
  <c r="EN61" i="30" s="1"/>
  <c r="EO19" i="30"/>
  <c r="EO18" i="30" s="1"/>
  <c r="EO61" i="30" s="1"/>
  <c r="EP19" i="30"/>
  <c r="EP18" i="30" s="1"/>
  <c r="EP61" i="30" s="1"/>
  <c r="EQ19" i="30"/>
  <c r="EQ18" i="30" s="1"/>
  <c r="EQ61" i="30" s="1"/>
  <c r="ER19" i="30"/>
  <c r="ER18" i="30" s="1"/>
  <c r="ER61" i="30" s="1"/>
  <c r="ES19" i="30"/>
  <c r="ES18" i="30" s="1"/>
  <c r="ES61" i="30" s="1"/>
  <c r="ET19" i="30"/>
  <c r="ET18" i="30" s="1"/>
  <c r="ET61" i="30" s="1"/>
  <c r="EU19" i="30"/>
  <c r="EU18" i="30" s="1"/>
  <c r="EU61" i="30" s="1"/>
  <c r="EV19" i="30"/>
  <c r="EV18" i="30" s="1"/>
  <c r="EV61" i="30" s="1"/>
  <c r="EW19" i="30"/>
  <c r="EW18" i="30" s="1"/>
  <c r="EW61" i="30" s="1"/>
  <c r="EX19" i="30"/>
  <c r="EX18" i="30" s="1"/>
  <c r="EX61" i="30" s="1"/>
  <c r="EY19" i="30"/>
  <c r="EY18" i="30" s="1"/>
  <c r="EY61" i="30" s="1"/>
  <c r="EZ19" i="30"/>
  <c r="EZ18" i="30" s="1"/>
  <c r="EZ61" i="30" s="1"/>
  <c r="FA19" i="30"/>
  <c r="FA18" i="30" s="1"/>
  <c r="FA61" i="30" s="1"/>
  <c r="FB19" i="30"/>
  <c r="FB18" i="30" s="1"/>
  <c r="FB61" i="30" s="1"/>
  <c r="FC19" i="30"/>
  <c r="FC18" i="30" s="1"/>
  <c r="FC61" i="30" s="1"/>
  <c r="FD19" i="30"/>
  <c r="FD18" i="30" s="1"/>
  <c r="FD61" i="30" s="1"/>
  <c r="FE19" i="30"/>
  <c r="FE18" i="30" s="1"/>
  <c r="FE61" i="30" s="1"/>
  <c r="FF19" i="30"/>
  <c r="FF18" i="30" s="1"/>
  <c r="FF61" i="30" s="1"/>
  <c r="FG19" i="30"/>
  <c r="FG18" i="30" s="1"/>
  <c r="FG61" i="30" s="1"/>
  <c r="FH19" i="30"/>
  <c r="FH18" i="30" s="1"/>
  <c r="FH61" i="30" s="1"/>
  <c r="FI19" i="30"/>
  <c r="FI18" i="30" s="1"/>
  <c r="FI61" i="30" s="1"/>
  <c r="FJ19" i="30"/>
  <c r="FJ18" i="30" s="1"/>
  <c r="FJ61" i="30" s="1"/>
  <c r="FK19" i="30"/>
  <c r="FK18" i="30" s="1"/>
  <c r="FK61" i="30" s="1"/>
  <c r="FL19" i="30"/>
  <c r="FL18" i="30" s="1"/>
  <c r="FL61" i="30" s="1"/>
  <c r="FM19" i="30"/>
  <c r="FM18" i="30" s="1"/>
  <c r="FM61" i="30" s="1"/>
  <c r="FN19" i="30"/>
  <c r="FN18" i="30" s="1"/>
  <c r="FN61" i="30" s="1"/>
  <c r="FO19" i="30"/>
  <c r="FO18" i="30" s="1"/>
  <c r="FO61" i="30" s="1"/>
  <c r="FP19" i="30"/>
  <c r="FP18" i="30" s="1"/>
  <c r="FP61" i="30" s="1"/>
  <c r="FQ19" i="30"/>
  <c r="FQ18" i="30" s="1"/>
  <c r="FQ61" i="30" s="1"/>
  <c r="FR19" i="30"/>
  <c r="FR18" i="30" s="1"/>
  <c r="FR61" i="30" s="1"/>
  <c r="FS19" i="30"/>
  <c r="FS18" i="30" s="1"/>
  <c r="FS61" i="30" s="1"/>
  <c r="FT19" i="30"/>
  <c r="FT18" i="30" s="1"/>
  <c r="FT61" i="30" s="1"/>
  <c r="FU19" i="30"/>
  <c r="FU18" i="30" s="1"/>
  <c r="FU61" i="30" s="1"/>
  <c r="FV19" i="30"/>
  <c r="FV18" i="30" s="1"/>
  <c r="FV61" i="30" s="1"/>
  <c r="FW19" i="30"/>
  <c r="FW18" i="30" s="1"/>
  <c r="FW61" i="30" s="1"/>
  <c r="FX19" i="30"/>
  <c r="FX18" i="30" s="1"/>
  <c r="FX61" i="30" s="1"/>
  <c r="FY19" i="30"/>
  <c r="FY18" i="30" s="1"/>
  <c r="FY61" i="30" s="1"/>
  <c r="FZ19" i="30"/>
  <c r="FZ18" i="30" s="1"/>
  <c r="FZ61" i="30" s="1"/>
  <c r="GA19" i="30"/>
  <c r="GA18" i="30" s="1"/>
  <c r="GA61" i="30" s="1"/>
  <c r="GB19" i="30"/>
  <c r="GB18" i="30" s="1"/>
  <c r="GB61" i="30" s="1"/>
  <c r="GC19" i="30"/>
  <c r="GC18" i="30" s="1"/>
  <c r="GC61" i="30" s="1"/>
  <c r="GD19" i="30"/>
  <c r="GD18" i="30" s="1"/>
  <c r="GD61" i="30" s="1"/>
  <c r="GE19" i="30"/>
  <c r="GE18" i="30" s="1"/>
  <c r="GE61" i="30" s="1"/>
  <c r="GF19" i="30"/>
  <c r="GF18" i="30" s="1"/>
  <c r="GF61" i="30" s="1"/>
  <c r="GG19" i="30"/>
  <c r="GG18" i="30" s="1"/>
  <c r="GG61" i="30" s="1"/>
  <c r="GH19" i="30"/>
  <c r="GH18" i="30" s="1"/>
  <c r="GH61" i="30" s="1"/>
  <c r="GI19" i="30"/>
  <c r="GI18" i="30" s="1"/>
  <c r="GI61" i="30" s="1"/>
  <c r="GJ19" i="30"/>
  <c r="GJ18" i="30" s="1"/>
  <c r="GJ61" i="30" s="1"/>
  <c r="GK19" i="30"/>
  <c r="GK18" i="30" s="1"/>
  <c r="GK61" i="30" s="1"/>
  <c r="GL19" i="30"/>
  <c r="GL18" i="30" s="1"/>
  <c r="GL61" i="30" s="1"/>
  <c r="GM19" i="30"/>
  <c r="GM18" i="30" s="1"/>
  <c r="GM61" i="30" s="1"/>
  <c r="GN19" i="30"/>
  <c r="GN18" i="30" s="1"/>
  <c r="GN61" i="30" s="1"/>
  <c r="GO19" i="30"/>
  <c r="GO18" i="30" s="1"/>
  <c r="GO61" i="30" s="1"/>
  <c r="GP19" i="30"/>
  <c r="GP18" i="30" s="1"/>
  <c r="GP61" i="30" s="1"/>
  <c r="GQ19" i="30"/>
  <c r="GQ18" i="30" s="1"/>
  <c r="GQ61" i="30" s="1"/>
  <c r="GR19" i="30"/>
  <c r="GR18" i="30" s="1"/>
  <c r="GR61" i="30" s="1"/>
  <c r="GS19" i="30"/>
  <c r="GS18" i="30" s="1"/>
  <c r="GS61" i="30" s="1"/>
  <c r="GT19" i="30"/>
  <c r="GT18" i="30" s="1"/>
  <c r="GT61" i="30" s="1"/>
  <c r="GU19" i="30"/>
  <c r="GU18" i="30" s="1"/>
  <c r="GU61" i="30" s="1"/>
  <c r="GV19" i="30"/>
  <c r="GV18" i="30" s="1"/>
  <c r="GV61" i="30" s="1"/>
  <c r="GW19" i="30"/>
  <c r="GW18" i="30" s="1"/>
  <c r="GW61" i="30" s="1"/>
  <c r="GX19" i="30"/>
  <c r="GX18" i="30" s="1"/>
  <c r="GX61" i="30" s="1"/>
  <c r="GY19" i="30"/>
  <c r="GY18" i="30" s="1"/>
  <c r="GY61" i="30" s="1"/>
  <c r="GZ19" i="30"/>
  <c r="GZ18" i="30" s="1"/>
  <c r="GZ61" i="30" s="1"/>
  <c r="HA19" i="30"/>
  <c r="HA18" i="30" s="1"/>
  <c r="HA61" i="30" s="1"/>
  <c r="HB19" i="30"/>
  <c r="HB18" i="30" s="1"/>
  <c r="HB61" i="30" s="1"/>
  <c r="HC19" i="30"/>
  <c r="HC18" i="30" s="1"/>
  <c r="HC61" i="30" s="1"/>
  <c r="HD19" i="30"/>
  <c r="HD18" i="30" s="1"/>
  <c r="HD61" i="30" s="1"/>
  <c r="HE19" i="30"/>
  <c r="HE18" i="30" s="1"/>
  <c r="HE61" i="30" s="1"/>
  <c r="HF19" i="30"/>
  <c r="HF18" i="30" s="1"/>
  <c r="HF61" i="30" s="1"/>
  <c r="HG19" i="30"/>
  <c r="HG18" i="30" s="1"/>
  <c r="HG61" i="30" s="1"/>
  <c r="HH19" i="30"/>
  <c r="HH18" i="30" s="1"/>
  <c r="HH61" i="30" s="1"/>
  <c r="HI19" i="30"/>
  <c r="HI18" i="30" s="1"/>
  <c r="HI61" i="30" s="1"/>
  <c r="HJ19" i="30"/>
  <c r="HJ18" i="30" s="1"/>
  <c r="HJ61" i="30" s="1"/>
  <c r="HK19" i="30"/>
  <c r="HK18" i="30" s="1"/>
  <c r="HK61" i="30" s="1"/>
  <c r="HL19" i="30"/>
  <c r="HL18" i="30" s="1"/>
  <c r="HL61" i="30" s="1"/>
  <c r="HM19" i="30"/>
  <c r="HM18" i="30" s="1"/>
  <c r="HM61" i="30" s="1"/>
  <c r="HN19" i="30"/>
  <c r="HN18" i="30" s="1"/>
  <c r="HN61" i="30" s="1"/>
  <c r="HO19" i="30"/>
  <c r="HO18" i="30" s="1"/>
  <c r="HO61" i="30" s="1"/>
  <c r="HP19" i="30"/>
  <c r="HP18" i="30" s="1"/>
  <c r="HP61" i="30" s="1"/>
  <c r="HQ19" i="30"/>
  <c r="HQ18" i="30" s="1"/>
  <c r="HQ61" i="30" s="1"/>
  <c r="HR19" i="30"/>
  <c r="HR18" i="30" s="1"/>
  <c r="HR61" i="30" s="1"/>
  <c r="HS19" i="30"/>
  <c r="HS18" i="30" s="1"/>
  <c r="HS61" i="30" s="1"/>
  <c r="HT19" i="30"/>
  <c r="HT18" i="30" s="1"/>
  <c r="HT61" i="30" s="1"/>
  <c r="HU19" i="30"/>
  <c r="HU18" i="30" s="1"/>
  <c r="HU61" i="30" s="1"/>
  <c r="HV19" i="30"/>
  <c r="HV18" i="30" s="1"/>
  <c r="HV61" i="30" s="1"/>
  <c r="HW19" i="30"/>
  <c r="HW18" i="30" s="1"/>
  <c r="HW61" i="30" s="1"/>
  <c r="HX19" i="30"/>
  <c r="HX18" i="30" s="1"/>
  <c r="HX61" i="30" s="1"/>
  <c r="HY19" i="30"/>
  <c r="HY18" i="30" s="1"/>
  <c r="HY61" i="30" s="1"/>
  <c r="HZ19" i="30"/>
  <c r="HZ18" i="30" s="1"/>
  <c r="HZ61" i="30" s="1"/>
  <c r="IA19" i="30"/>
  <c r="IA18" i="30" s="1"/>
  <c r="IA61" i="30" s="1"/>
  <c r="IB19" i="30"/>
  <c r="IB18" i="30" s="1"/>
  <c r="IB61" i="30" s="1"/>
  <c r="IC19" i="30"/>
  <c r="IC18" i="30" s="1"/>
  <c r="IC61" i="30" s="1"/>
  <c r="ID19" i="30"/>
  <c r="ID18" i="30" s="1"/>
  <c r="ID61" i="30" s="1"/>
  <c r="IE19" i="30"/>
  <c r="IE18" i="30" s="1"/>
  <c r="IE61" i="30" s="1"/>
  <c r="IF19" i="30"/>
  <c r="IF18" i="30" s="1"/>
  <c r="IF61" i="30" s="1"/>
  <c r="IG19" i="30"/>
  <c r="IG18" i="30" s="1"/>
  <c r="IG61" i="30" s="1"/>
  <c r="IH19" i="30"/>
  <c r="IH18" i="30" s="1"/>
  <c r="IH61" i="30" s="1"/>
  <c r="II19" i="30"/>
  <c r="II18" i="30" s="1"/>
  <c r="II61" i="30" s="1"/>
  <c r="IJ19" i="30"/>
  <c r="IJ18" i="30" s="1"/>
  <c r="IJ61" i="30" s="1"/>
  <c r="IK19" i="30"/>
  <c r="IK18" i="30" s="1"/>
  <c r="IK61" i="30" s="1"/>
  <c r="IL19" i="30"/>
  <c r="IL18" i="30" s="1"/>
  <c r="IL61" i="30" s="1"/>
  <c r="IM19" i="30"/>
  <c r="IM18" i="30" s="1"/>
  <c r="IM61" i="30" s="1"/>
  <c r="IN19" i="30"/>
  <c r="IN18" i="30" s="1"/>
  <c r="IN61" i="30" s="1"/>
  <c r="IO19" i="30"/>
  <c r="IO18" i="30" s="1"/>
  <c r="IO61" i="30" s="1"/>
  <c r="IP19" i="30"/>
  <c r="IP18" i="30" s="1"/>
  <c r="IP61" i="30" s="1"/>
  <c r="IQ19" i="30"/>
  <c r="IQ18" i="30" s="1"/>
  <c r="IQ61" i="30" s="1"/>
  <c r="IR19" i="30"/>
  <c r="IR18" i="30" s="1"/>
  <c r="IR61" i="30" s="1"/>
  <c r="IS19" i="30"/>
  <c r="IS18" i="30" s="1"/>
  <c r="IS61" i="30" s="1"/>
  <c r="IT19" i="30"/>
  <c r="IT18" i="30" s="1"/>
  <c r="IT61" i="30" s="1"/>
  <c r="IU19" i="30"/>
  <c r="IU18" i="30" s="1"/>
  <c r="IU61" i="30" s="1"/>
  <c r="IV19" i="30"/>
  <c r="IV18" i="30" s="1"/>
  <c r="IV61" i="30" s="1"/>
  <c r="IW19" i="30"/>
  <c r="IW18" i="30" s="1"/>
  <c r="IW61" i="30" s="1"/>
  <c r="IX19" i="30"/>
  <c r="IX18" i="30" s="1"/>
  <c r="IX61" i="30" s="1"/>
  <c r="IY19" i="30"/>
  <c r="IY18" i="30" s="1"/>
  <c r="IY61" i="30" s="1"/>
  <c r="IZ19" i="30"/>
  <c r="IZ18" i="30" s="1"/>
  <c r="IZ61" i="30" s="1"/>
  <c r="JA19" i="30"/>
  <c r="JA18" i="30" s="1"/>
  <c r="JA61" i="30" s="1"/>
  <c r="JB19" i="30"/>
  <c r="JB18" i="30" s="1"/>
  <c r="JB61" i="30" s="1"/>
  <c r="JC19" i="30"/>
  <c r="JC18" i="30" s="1"/>
  <c r="JC61" i="30" s="1"/>
  <c r="JD19" i="30"/>
  <c r="JD18" i="30" s="1"/>
  <c r="JD61" i="30" s="1"/>
  <c r="JE19" i="30"/>
  <c r="JE18" i="30" s="1"/>
  <c r="JE61" i="30" s="1"/>
  <c r="JF19" i="30"/>
  <c r="JF18" i="30" s="1"/>
  <c r="JF61" i="30" s="1"/>
  <c r="JG19" i="30"/>
  <c r="JG18" i="30" s="1"/>
  <c r="JG61" i="30" s="1"/>
  <c r="JH19" i="30"/>
  <c r="JH18" i="30" s="1"/>
  <c r="JH61" i="30" s="1"/>
  <c r="JI19" i="30"/>
  <c r="JI18" i="30" s="1"/>
  <c r="JI61" i="30" s="1"/>
  <c r="JJ19" i="30"/>
  <c r="JJ18" i="30" s="1"/>
  <c r="JJ61" i="30" s="1"/>
  <c r="JK19" i="30"/>
  <c r="JK18" i="30" s="1"/>
  <c r="JK61" i="30" s="1"/>
  <c r="JL19" i="30"/>
  <c r="JL18" i="30" s="1"/>
  <c r="JL61" i="30" s="1"/>
  <c r="JM19" i="30"/>
  <c r="JM18" i="30" s="1"/>
  <c r="JM61" i="30" s="1"/>
  <c r="JN19" i="30"/>
  <c r="JN18" i="30" s="1"/>
  <c r="JN61" i="30" s="1"/>
  <c r="JO19" i="30"/>
  <c r="JO18" i="30" s="1"/>
  <c r="JO61" i="30" s="1"/>
  <c r="JP19" i="30"/>
  <c r="JP18" i="30" s="1"/>
  <c r="JP61" i="30" s="1"/>
  <c r="JQ19" i="30"/>
  <c r="JQ18" i="30" s="1"/>
  <c r="JQ61" i="30" s="1"/>
  <c r="JR19" i="30"/>
  <c r="JR18" i="30" s="1"/>
  <c r="JR61" i="30" s="1"/>
  <c r="JS19" i="30"/>
  <c r="JS18" i="30" s="1"/>
  <c r="JS61" i="30" s="1"/>
  <c r="JT19" i="30"/>
  <c r="JT18" i="30" s="1"/>
  <c r="JT61" i="30" s="1"/>
  <c r="JU19" i="30"/>
  <c r="JU18" i="30" s="1"/>
  <c r="JU61" i="30" s="1"/>
  <c r="JV19" i="30"/>
  <c r="JV18" i="30" s="1"/>
  <c r="JV61" i="30" s="1"/>
  <c r="JW19" i="30"/>
  <c r="JW18" i="30" s="1"/>
  <c r="JW61" i="30" s="1"/>
  <c r="JX19" i="30"/>
  <c r="JX18" i="30" s="1"/>
  <c r="JX61" i="30" s="1"/>
  <c r="JY19" i="30"/>
  <c r="JY18" i="30" s="1"/>
  <c r="JY61" i="30" s="1"/>
  <c r="JZ19" i="30"/>
  <c r="JZ18" i="30" s="1"/>
  <c r="JZ61" i="30" s="1"/>
  <c r="KA19" i="30"/>
  <c r="KA18" i="30" s="1"/>
  <c r="KA61" i="30" s="1"/>
  <c r="KB19" i="30"/>
  <c r="KB18" i="30" s="1"/>
  <c r="KB61" i="30" s="1"/>
  <c r="KC19" i="30"/>
  <c r="KC18" i="30" s="1"/>
  <c r="KC61" i="30" s="1"/>
  <c r="KD19" i="30"/>
  <c r="KD18" i="30" s="1"/>
  <c r="KD61" i="30" s="1"/>
  <c r="KE19" i="30"/>
  <c r="KE18" i="30" s="1"/>
  <c r="KE61" i="30" s="1"/>
  <c r="E19" i="30"/>
  <c r="E18" i="30" s="1"/>
  <c r="E61" i="30" s="1"/>
  <c r="F19" i="30"/>
  <c r="F18" i="30" s="1"/>
  <c r="F61" i="30" s="1"/>
  <c r="G19" i="30"/>
  <c r="G18" i="30" s="1"/>
  <c r="G61" i="30" s="1"/>
  <c r="H19" i="30"/>
  <c r="H18" i="30" s="1"/>
  <c r="H61" i="30" s="1"/>
  <c r="I19" i="30"/>
  <c r="I18" i="30" s="1"/>
  <c r="I61" i="30" s="1"/>
  <c r="J19" i="30"/>
  <c r="J18" i="30" s="1"/>
  <c r="J61" i="30" s="1"/>
  <c r="K19" i="30"/>
  <c r="K18" i="30" s="1"/>
  <c r="K61" i="30" s="1"/>
  <c r="L19" i="30"/>
  <c r="L18" i="30" s="1"/>
  <c r="L61" i="30" s="1"/>
  <c r="M19" i="30"/>
  <c r="M18" i="30" s="1"/>
  <c r="M61" i="30" s="1"/>
  <c r="N19" i="30"/>
  <c r="N18" i="30" s="1"/>
  <c r="N61" i="30" s="1"/>
  <c r="O19" i="30"/>
  <c r="O18" i="30" s="1"/>
  <c r="O61" i="30" s="1"/>
  <c r="P19" i="30"/>
  <c r="P18" i="30" s="1"/>
  <c r="P61" i="30" s="1"/>
  <c r="Q19" i="30"/>
  <c r="Q18" i="30" s="1"/>
  <c r="Q61" i="30" s="1"/>
  <c r="R19" i="30"/>
  <c r="R18" i="30" s="1"/>
  <c r="R61" i="30" s="1"/>
  <c r="S19" i="30"/>
  <c r="S18" i="30" s="1"/>
  <c r="S61" i="30" s="1"/>
  <c r="T19" i="30"/>
  <c r="T18" i="30" s="1"/>
  <c r="T61" i="30" s="1"/>
  <c r="U19" i="30"/>
  <c r="U18" i="30" s="1"/>
  <c r="U61" i="30" s="1"/>
  <c r="V18" i="30"/>
  <c r="V61" i="30" s="1"/>
  <c r="W18" i="30"/>
  <c r="W61" i="30" s="1"/>
  <c r="X19" i="30"/>
  <c r="X18" i="30" s="1"/>
  <c r="X61" i="30" s="1"/>
  <c r="Y19" i="30"/>
  <c r="Y18" i="30" s="1"/>
  <c r="Y61" i="30" s="1"/>
  <c r="Z19" i="30"/>
  <c r="Z18" i="30" s="1"/>
  <c r="Z61" i="30" s="1"/>
  <c r="AA19" i="30"/>
  <c r="AA18" i="30" s="1"/>
  <c r="AA61" i="30" s="1"/>
  <c r="AB19" i="30"/>
  <c r="AB18" i="30" s="1"/>
  <c r="AB61" i="30" s="1"/>
  <c r="AC19" i="30"/>
  <c r="AC18" i="30" s="1"/>
  <c r="AC61" i="30" s="1"/>
  <c r="AD19" i="30"/>
  <c r="AD18" i="30" s="1"/>
  <c r="AD61" i="30" s="1"/>
  <c r="AE19" i="30"/>
  <c r="AE18" i="30" s="1"/>
  <c r="AE61" i="30" s="1"/>
  <c r="AF19" i="30"/>
  <c r="AF18" i="30" s="1"/>
  <c r="AF61" i="30" s="1"/>
  <c r="AG19" i="30"/>
  <c r="AG18" i="30" s="1"/>
  <c r="AG61" i="30" s="1"/>
  <c r="AH19" i="30"/>
  <c r="AH18" i="30" s="1"/>
  <c r="AH61" i="30" s="1"/>
  <c r="AI19" i="30"/>
  <c r="AI18" i="30" s="1"/>
  <c r="AI61" i="30" s="1"/>
  <c r="AJ19" i="30"/>
  <c r="AJ18" i="30" s="1"/>
  <c r="AJ61" i="30" s="1"/>
  <c r="AK19" i="30"/>
  <c r="AK18" i="30" s="1"/>
  <c r="AK61" i="30" s="1"/>
  <c r="AL19" i="30"/>
  <c r="AL18" i="30" s="1"/>
  <c r="AL61" i="30" s="1"/>
  <c r="AM19" i="30"/>
  <c r="AM18" i="30" s="1"/>
  <c r="AM61" i="30" s="1"/>
  <c r="AN19" i="30"/>
  <c r="AN18" i="30" s="1"/>
  <c r="AN61" i="30" s="1"/>
  <c r="AO19" i="30"/>
  <c r="AO18" i="30" s="1"/>
  <c r="AO61" i="30" s="1"/>
  <c r="AP19" i="30"/>
  <c r="AP18" i="30" s="1"/>
  <c r="AP61" i="30" s="1"/>
  <c r="AQ19" i="30"/>
  <c r="AQ18" i="30" s="1"/>
  <c r="AQ61" i="30" s="1"/>
  <c r="AR19" i="30"/>
  <c r="AR18" i="30" s="1"/>
  <c r="AR61" i="30" s="1"/>
  <c r="AS19" i="30"/>
  <c r="AS18" i="30" s="1"/>
  <c r="AS61" i="30" s="1"/>
  <c r="AT19" i="30"/>
  <c r="AT18" i="30" s="1"/>
  <c r="AT61" i="30" s="1"/>
  <c r="AU19" i="30"/>
  <c r="AU18" i="30" s="1"/>
  <c r="AU61" i="30" s="1"/>
  <c r="AV19" i="30"/>
  <c r="AV18" i="30" s="1"/>
  <c r="AV61" i="30" s="1"/>
  <c r="AW19" i="30"/>
  <c r="AW18" i="30" s="1"/>
  <c r="AW61" i="30" s="1"/>
  <c r="AX19" i="30"/>
  <c r="AX18" i="30" s="1"/>
  <c r="AX61" i="30" s="1"/>
  <c r="AY19" i="30"/>
  <c r="AY18" i="30" s="1"/>
  <c r="AY61" i="30" s="1"/>
  <c r="AZ19" i="30"/>
  <c r="AZ18" i="30" s="1"/>
  <c r="AZ61" i="30" s="1"/>
  <c r="BA19" i="30"/>
  <c r="BA18" i="30" s="1"/>
  <c r="BA61" i="30" s="1"/>
  <c r="BB19" i="30"/>
  <c r="BB18" i="30" s="1"/>
  <c r="BB61" i="30" s="1"/>
  <c r="BC19" i="30"/>
  <c r="BC18" i="30" s="1"/>
  <c r="BC61" i="30" s="1"/>
  <c r="BD19" i="30"/>
  <c r="BD18" i="30" s="1"/>
  <c r="BD61" i="30" s="1"/>
  <c r="BE19" i="30"/>
  <c r="BE18" i="30" s="1"/>
  <c r="BE61" i="30" s="1"/>
  <c r="BF19" i="30"/>
  <c r="BF18" i="30" s="1"/>
  <c r="BF61" i="30" s="1"/>
  <c r="BG19" i="30"/>
  <c r="BG18" i="30" s="1"/>
  <c r="BG61" i="30" s="1"/>
  <c r="BH19" i="30"/>
  <c r="BH18" i="30" s="1"/>
  <c r="BH61" i="30" s="1"/>
  <c r="BI19" i="30"/>
  <c r="BI18" i="30" s="1"/>
  <c r="BI61" i="30" s="1"/>
  <c r="BJ19" i="30"/>
  <c r="BJ18" i="30" s="1"/>
  <c r="BJ61" i="30" s="1"/>
  <c r="BK19" i="30"/>
  <c r="BK18" i="30" s="1"/>
  <c r="BK61" i="30" s="1"/>
  <c r="BL19" i="30"/>
  <c r="BL18" i="30" s="1"/>
  <c r="BL61" i="30" s="1"/>
  <c r="BM19" i="30"/>
  <c r="BM18" i="30" s="1"/>
  <c r="BM61" i="30" s="1"/>
  <c r="BN19" i="30"/>
  <c r="BN18" i="30" s="1"/>
  <c r="BN61" i="30" s="1"/>
  <c r="BO19" i="30"/>
  <c r="BO18" i="30" s="1"/>
  <c r="BO61" i="30" s="1"/>
  <c r="BP19" i="30"/>
  <c r="BP18" i="30" s="1"/>
  <c r="BP61" i="30" s="1"/>
  <c r="BQ19" i="30"/>
  <c r="BQ18" i="30" s="1"/>
  <c r="BQ61" i="30" s="1"/>
  <c r="BR19" i="30"/>
  <c r="BR18" i="30" s="1"/>
  <c r="BR61" i="30" s="1"/>
  <c r="BS19" i="30"/>
  <c r="BS18" i="30" s="1"/>
  <c r="BS61" i="30" s="1"/>
  <c r="BT19" i="30"/>
  <c r="BT18" i="30" s="1"/>
  <c r="BT61" i="30" s="1"/>
  <c r="BU19" i="30"/>
  <c r="BU18" i="30" s="1"/>
  <c r="BU61" i="30" s="1"/>
  <c r="BV19" i="30"/>
  <c r="BV18" i="30" s="1"/>
  <c r="BV61" i="30" s="1"/>
  <c r="BW19" i="30"/>
  <c r="BW18" i="30" s="1"/>
  <c r="BW61" i="30" s="1"/>
  <c r="BX19" i="30"/>
  <c r="BX18" i="30" s="1"/>
  <c r="BX61" i="30" s="1"/>
  <c r="BY19" i="30"/>
  <c r="BY18" i="30" s="1"/>
  <c r="BY61" i="30" s="1"/>
  <c r="BZ19" i="30"/>
  <c r="BZ18" i="30" s="1"/>
  <c r="BZ61" i="30" s="1"/>
  <c r="CA19" i="30"/>
  <c r="CA18" i="30" s="1"/>
  <c r="CA61" i="30" s="1"/>
  <c r="CB19" i="30"/>
  <c r="CB18" i="30" s="1"/>
  <c r="CB61" i="30" s="1"/>
  <c r="CC19" i="30"/>
  <c r="CC18" i="30" s="1"/>
  <c r="CC61" i="30" s="1"/>
  <c r="CD19" i="30"/>
  <c r="CD18" i="30" s="1"/>
  <c r="CD61" i="30" s="1"/>
  <c r="CE19" i="30"/>
  <c r="CE18" i="30" s="1"/>
  <c r="CE61" i="30" s="1"/>
  <c r="CF19" i="30"/>
  <c r="CF18" i="30" s="1"/>
  <c r="CF61" i="30" s="1"/>
  <c r="I3" i="30" l="1"/>
  <c r="E23" i="30"/>
  <c r="E22" i="30" s="1"/>
  <c r="E60" i="30" s="1"/>
  <c r="F23" i="30"/>
  <c r="F22" i="30" s="1"/>
  <c r="F60" i="30" s="1"/>
  <c r="G23" i="30"/>
  <c r="G22" i="30" s="1"/>
  <c r="G60" i="30" s="1"/>
  <c r="H23" i="30"/>
  <c r="H22" i="30" s="1"/>
  <c r="H60" i="30" s="1"/>
  <c r="I23" i="30"/>
  <c r="I22" i="30" s="1"/>
  <c r="I60" i="30" s="1"/>
  <c r="J23" i="30"/>
  <c r="J22" i="30" s="1"/>
  <c r="J60" i="30" s="1"/>
  <c r="K23" i="30"/>
  <c r="K22" i="30" s="1"/>
  <c r="K60" i="30" s="1"/>
  <c r="L23" i="30"/>
  <c r="L22" i="30" s="1"/>
  <c r="L60" i="30" s="1"/>
  <c r="M23" i="30"/>
  <c r="M22" i="30" s="1"/>
  <c r="M60" i="30" s="1"/>
  <c r="N23" i="30"/>
  <c r="N22" i="30" s="1"/>
  <c r="N60" i="30" s="1"/>
  <c r="O23" i="30"/>
  <c r="O22" i="30" s="1"/>
  <c r="O60" i="30" s="1"/>
  <c r="P23" i="30"/>
  <c r="P22" i="30" s="1"/>
  <c r="P60" i="30" s="1"/>
  <c r="Q23" i="30"/>
  <c r="Q22" i="30" s="1"/>
  <c r="Q60" i="30" s="1"/>
  <c r="R23" i="30"/>
  <c r="R22" i="30" s="1"/>
  <c r="R60" i="30" s="1"/>
  <c r="S23" i="30"/>
  <c r="S22" i="30" s="1"/>
  <c r="S60" i="30" s="1"/>
  <c r="T23" i="30"/>
  <c r="T22" i="30" s="1"/>
  <c r="T60" i="30" s="1"/>
  <c r="U23" i="30"/>
  <c r="U22" i="30" s="1"/>
  <c r="U60" i="30" s="1"/>
  <c r="V23" i="30"/>
  <c r="V22" i="30" s="1"/>
  <c r="V60" i="30" s="1"/>
  <c r="W23" i="30"/>
  <c r="W22" i="30" s="1"/>
  <c r="W60" i="30" s="1"/>
  <c r="X23" i="30"/>
  <c r="X22" i="30" s="1"/>
  <c r="X60" i="30" s="1"/>
  <c r="Y23" i="30"/>
  <c r="Y22" i="30" s="1"/>
  <c r="Y60" i="30" s="1"/>
  <c r="Z23" i="30"/>
  <c r="Z22" i="30" s="1"/>
  <c r="Z60" i="30" s="1"/>
  <c r="AA23" i="30"/>
  <c r="AA22" i="30" s="1"/>
  <c r="AA60" i="30" s="1"/>
  <c r="AB23" i="30"/>
  <c r="AB22" i="30" s="1"/>
  <c r="AB60" i="30" s="1"/>
  <c r="AC23" i="30"/>
  <c r="AC22" i="30" s="1"/>
  <c r="AC60" i="30" s="1"/>
  <c r="AD23" i="30"/>
  <c r="AD22" i="30" s="1"/>
  <c r="AD60" i="30" s="1"/>
  <c r="AE23" i="30"/>
  <c r="AE22" i="30" s="1"/>
  <c r="AE60" i="30" s="1"/>
  <c r="AF23" i="30"/>
  <c r="AF22" i="30" s="1"/>
  <c r="AF60" i="30" s="1"/>
  <c r="AG23" i="30"/>
  <c r="AG22" i="30" s="1"/>
  <c r="AG60" i="30" s="1"/>
  <c r="AH23" i="30"/>
  <c r="AH22" i="30" s="1"/>
  <c r="AH60" i="30" s="1"/>
  <c r="AI23" i="30"/>
  <c r="AI22" i="30" s="1"/>
  <c r="AI60" i="30" s="1"/>
  <c r="AJ23" i="30"/>
  <c r="AJ22" i="30" s="1"/>
  <c r="AJ60" i="30" s="1"/>
  <c r="AK23" i="30"/>
  <c r="AK22" i="30" s="1"/>
  <c r="AK60" i="30" s="1"/>
  <c r="AL23" i="30"/>
  <c r="AL22" i="30" s="1"/>
  <c r="AL60" i="30" s="1"/>
  <c r="AM23" i="30"/>
  <c r="AM22" i="30" s="1"/>
  <c r="AM60" i="30" s="1"/>
  <c r="AN23" i="30"/>
  <c r="AN22" i="30" s="1"/>
  <c r="AN60" i="30" s="1"/>
  <c r="AO23" i="30"/>
  <c r="AO22" i="30" s="1"/>
  <c r="AO60" i="30" s="1"/>
  <c r="AP23" i="30"/>
  <c r="AP22" i="30" s="1"/>
  <c r="AP60" i="30" s="1"/>
  <c r="AQ23" i="30"/>
  <c r="AQ22" i="30" s="1"/>
  <c r="AQ60" i="30" s="1"/>
  <c r="AR23" i="30"/>
  <c r="AR22" i="30" s="1"/>
  <c r="AR60" i="30" s="1"/>
  <c r="AS23" i="30"/>
  <c r="AS22" i="30" s="1"/>
  <c r="AS60" i="30" s="1"/>
  <c r="AT23" i="30"/>
  <c r="AT22" i="30" s="1"/>
  <c r="AT60" i="30" s="1"/>
  <c r="AU23" i="30"/>
  <c r="AU22" i="30" s="1"/>
  <c r="AU60" i="30" s="1"/>
  <c r="AV23" i="30"/>
  <c r="AV22" i="30" s="1"/>
  <c r="AV60" i="30" s="1"/>
  <c r="AW23" i="30"/>
  <c r="AW22" i="30" s="1"/>
  <c r="AW60" i="30" s="1"/>
  <c r="AX23" i="30"/>
  <c r="AX22" i="30" s="1"/>
  <c r="AX60" i="30" s="1"/>
  <c r="AY23" i="30"/>
  <c r="AY22" i="30" s="1"/>
  <c r="AY60" i="30" s="1"/>
  <c r="AZ23" i="30"/>
  <c r="AZ22" i="30" s="1"/>
  <c r="AZ60" i="30" s="1"/>
  <c r="BA23" i="30"/>
  <c r="BA22" i="30" s="1"/>
  <c r="BA60" i="30" s="1"/>
  <c r="BB23" i="30"/>
  <c r="BB22" i="30" s="1"/>
  <c r="BB60" i="30" s="1"/>
  <c r="BC23" i="30"/>
  <c r="BC22" i="30" s="1"/>
  <c r="BC60" i="30" s="1"/>
  <c r="BD23" i="30"/>
  <c r="BD22" i="30" s="1"/>
  <c r="BD60" i="30" s="1"/>
  <c r="BE23" i="30"/>
  <c r="BE22" i="30" s="1"/>
  <c r="BE60" i="30" s="1"/>
  <c r="BF23" i="30"/>
  <c r="BF22" i="30" s="1"/>
  <c r="BF60" i="30" s="1"/>
  <c r="BG23" i="30"/>
  <c r="BG22" i="30" s="1"/>
  <c r="BG60" i="30" s="1"/>
  <c r="BH23" i="30"/>
  <c r="BH22" i="30" s="1"/>
  <c r="BH60" i="30" s="1"/>
  <c r="BI23" i="30"/>
  <c r="BI22" i="30" s="1"/>
  <c r="BI60" i="30" s="1"/>
  <c r="BJ23" i="30"/>
  <c r="BJ22" i="30" s="1"/>
  <c r="BJ60" i="30" s="1"/>
  <c r="BK23" i="30"/>
  <c r="BK22" i="30" s="1"/>
  <c r="BK60" i="30" s="1"/>
  <c r="BL23" i="30"/>
  <c r="BL22" i="30" s="1"/>
  <c r="BL60" i="30" s="1"/>
  <c r="BM23" i="30"/>
  <c r="BM22" i="30" s="1"/>
  <c r="BM60" i="30" s="1"/>
  <c r="BN23" i="30"/>
  <c r="BN22" i="30" s="1"/>
  <c r="BN60" i="30" s="1"/>
  <c r="BO23" i="30"/>
  <c r="BO22" i="30" s="1"/>
  <c r="BO60" i="30" s="1"/>
  <c r="BP23" i="30"/>
  <c r="BP22" i="30" s="1"/>
  <c r="BP60" i="30" s="1"/>
  <c r="BQ23" i="30"/>
  <c r="BQ22" i="30" s="1"/>
  <c r="BQ60" i="30" s="1"/>
  <c r="BR23" i="30"/>
  <c r="BR22" i="30" s="1"/>
  <c r="BR60" i="30" s="1"/>
  <c r="BS23" i="30"/>
  <c r="BS22" i="30" s="1"/>
  <c r="BS60" i="30" s="1"/>
  <c r="BT23" i="30"/>
  <c r="BT22" i="30" s="1"/>
  <c r="BT60" i="30" s="1"/>
  <c r="BU23" i="30"/>
  <c r="BU22" i="30" s="1"/>
  <c r="BU60" i="30" s="1"/>
  <c r="BV23" i="30"/>
  <c r="BV22" i="30" s="1"/>
  <c r="BV60" i="30" s="1"/>
  <c r="BW23" i="30"/>
  <c r="BW22" i="30" s="1"/>
  <c r="BW60" i="30" s="1"/>
  <c r="BX23" i="30"/>
  <c r="BX22" i="30" s="1"/>
  <c r="BX60" i="30" s="1"/>
  <c r="BY23" i="30"/>
  <c r="BY22" i="30" s="1"/>
  <c r="BY60" i="30" s="1"/>
  <c r="BZ23" i="30"/>
  <c r="BZ22" i="30" s="1"/>
  <c r="BZ60" i="30" s="1"/>
  <c r="CA23" i="30"/>
  <c r="CA22" i="30" s="1"/>
  <c r="CA60" i="30" s="1"/>
  <c r="CB23" i="30"/>
  <c r="CB22" i="30" s="1"/>
  <c r="CB60" i="30" s="1"/>
  <c r="CC23" i="30"/>
  <c r="CC22" i="30" s="1"/>
  <c r="CC60" i="30" s="1"/>
  <c r="CD23" i="30"/>
  <c r="CD22" i="30" s="1"/>
  <c r="CD60" i="30" s="1"/>
  <c r="CE23" i="30"/>
  <c r="CE22" i="30" s="1"/>
  <c r="CE60" i="30" s="1"/>
  <c r="CF23" i="30"/>
  <c r="CF22" i="30" s="1"/>
  <c r="CF60" i="30" s="1"/>
  <c r="CG23" i="30"/>
  <c r="CG22" i="30" s="1"/>
  <c r="CG60" i="30" s="1"/>
  <c r="CH23" i="30"/>
  <c r="CH22" i="30" s="1"/>
  <c r="CH60" i="30" s="1"/>
  <c r="CI23" i="30"/>
  <c r="CI22" i="30" s="1"/>
  <c r="CI60" i="30" s="1"/>
  <c r="CJ23" i="30"/>
  <c r="CJ22" i="30" s="1"/>
  <c r="CJ60" i="30" s="1"/>
  <c r="CK23" i="30"/>
  <c r="CK22" i="30" s="1"/>
  <c r="CK60" i="30" s="1"/>
  <c r="CL23" i="30"/>
  <c r="CL22" i="30" s="1"/>
  <c r="CL60" i="30" s="1"/>
  <c r="CM23" i="30"/>
  <c r="CM22" i="30" s="1"/>
  <c r="CM60" i="30" s="1"/>
  <c r="CN23" i="30"/>
  <c r="CN22" i="30" s="1"/>
  <c r="CN60" i="30" s="1"/>
  <c r="CO23" i="30"/>
  <c r="CO22" i="30" s="1"/>
  <c r="CO60" i="30" s="1"/>
  <c r="CP23" i="30"/>
  <c r="CP22" i="30" s="1"/>
  <c r="CP60" i="30" s="1"/>
  <c r="CQ23" i="30"/>
  <c r="CQ22" i="30" s="1"/>
  <c r="CQ60" i="30" s="1"/>
  <c r="CR23" i="30"/>
  <c r="CR22" i="30" s="1"/>
  <c r="CR60" i="30" s="1"/>
  <c r="CS23" i="30"/>
  <c r="CS22" i="30" s="1"/>
  <c r="CS60" i="30" s="1"/>
  <c r="CT23" i="30"/>
  <c r="CT22" i="30" s="1"/>
  <c r="CT60" i="30" s="1"/>
  <c r="CU23" i="30"/>
  <c r="CU22" i="30" s="1"/>
  <c r="CU60" i="30" s="1"/>
  <c r="CV23" i="30"/>
  <c r="CV22" i="30" s="1"/>
  <c r="CV60" i="30" s="1"/>
  <c r="CW23" i="30"/>
  <c r="CW22" i="30" s="1"/>
  <c r="CW60" i="30" s="1"/>
  <c r="CX23" i="30"/>
  <c r="CX22" i="30" s="1"/>
  <c r="CX60" i="30" s="1"/>
  <c r="CY23" i="30"/>
  <c r="CY22" i="30" s="1"/>
  <c r="CY60" i="30" s="1"/>
  <c r="CZ23" i="30"/>
  <c r="CZ22" i="30" s="1"/>
  <c r="CZ60" i="30" s="1"/>
  <c r="DA23" i="30"/>
  <c r="DA22" i="30" s="1"/>
  <c r="DA60" i="30" s="1"/>
  <c r="DB23" i="30"/>
  <c r="DB22" i="30" s="1"/>
  <c r="DB60" i="30" s="1"/>
  <c r="DC23" i="30"/>
  <c r="DC22" i="30" s="1"/>
  <c r="DC60" i="30" s="1"/>
  <c r="DD23" i="30"/>
  <c r="DD22" i="30" s="1"/>
  <c r="DD60" i="30" s="1"/>
  <c r="DE23" i="30"/>
  <c r="DE22" i="30" s="1"/>
  <c r="DE60" i="30" s="1"/>
  <c r="DF23" i="30"/>
  <c r="DF22" i="30" s="1"/>
  <c r="DF60" i="30" s="1"/>
  <c r="DG23" i="30"/>
  <c r="DG22" i="30" s="1"/>
  <c r="DG60" i="30" s="1"/>
  <c r="DH23" i="30"/>
  <c r="DH22" i="30" s="1"/>
  <c r="DH60" i="30" s="1"/>
  <c r="DI23" i="30"/>
  <c r="DI22" i="30" s="1"/>
  <c r="DI60" i="30" s="1"/>
  <c r="DJ23" i="30"/>
  <c r="DJ22" i="30" s="1"/>
  <c r="DJ60" i="30" s="1"/>
  <c r="DK23" i="30"/>
  <c r="DK22" i="30" s="1"/>
  <c r="DK60" i="30" s="1"/>
  <c r="DL23" i="30"/>
  <c r="DL22" i="30" s="1"/>
  <c r="DL60" i="30" s="1"/>
  <c r="DM23" i="30"/>
  <c r="DM22" i="30" s="1"/>
  <c r="DM60" i="30" s="1"/>
  <c r="DN23" i="30"/>
  <c r="DN22" i="30" s="1"/>
  <c r="DN60" i="30" s="1"/>
  <c r="DO23" i="30"/>
  <c r="DO22" i="30" s="1"/>
  <c r="DO60" i="30" s="1"/>
  <c r="DP23" i="30"/>
  <c r="DP22" i="30" s="1"/>
  <c r="DP60" i="30" s="1"/>
  <c r="DQ23" i="30"/>
  <c r="DQ22" i="30" s="1"/>
  <c r="DQ60" i="30" s="1"/>
  <c r="DR23" i="30"/>
  <c r="DR22" i="30" s="1"/>
  <c r="DR60" i="30" s="1"/>
  <c r="DS23" i="30"/>
  <c r="DS22" i="30" s="1"/>
  <c r="DS60" i="30" s="1"/>
  <c r="DT23" i="30"/>
  <c r="DT22" i="30" s="1"/>
  <c r="DT60" i="30" s="1"/>
  <c r="DU23" i="30"/>
  <c r="DU22" i="30" s="1"/>
  <c r="DU60" i="30" s="1"/>
  <c r="DV23" i="30"/>
  <c r="DV22" i="30" s="1"/>
  <c r="DV60" i="30" s="1"/>
  <c r="DW23" i="30"/>
  <c r="DW22" i="30" s="1"/>
  <c r="DW60" i="30" s="1"/>
  <c r="DX23" i="30"/>
  <c r="DX22" i="30" s="1"/>
  <c r="DX60" i="30" s="1"/>
  <c r="DY23" i="30"/>
  <c r="DY22" i="30" s="1"/>
  <c r="DY60" i="30" s="1"/>
  <c r="DZ23" i="30"/>
  <c r="DZ22" i="30" s="1"/>
  <c r="DZ60" i="30" s="1"/>
  <c r="EA23" i="30"/>
  <c r="EA22" i="30" s="1"/>
  <c r="EA60" i="30" s="1"/>
  <c r="EB23" i="30"/>
  <c r="EB22" i="30" s="1"/>
  <c r="EB60" i="30" s="1"/>
  <c r="EC23" i="30"/>
  <c r="EC22" i="30" s="1"/>
  <c r="EC60" i="30" s="1"/>
  <c r="ED23" i="30"/>
  <c r="ED22" i="30" s="1"/>
  <c r="ED60" i="30" s="1"/>
  <c r="EE23" i="30"/>
  <c r="EE22" i="30" s="1"/>
  <c r="EE60" i="30" s="1"/>
  <c r="EF23" i="30"/>
  <c r="EF22" i="30" s="1"/>
  <c r="EF60" i="30" s="1"/>
  <c r="EG23" i="30"/>
  <c r="EG22" i="30" s="1"/>
  <c r="EG60" i="30" s="1"/>
  <c r="EH23" i="30"/>
  <c r="EH22" i="30" s="1"/>
  <c r="EH60" i="30" s="1"/>
  <c r="EI23" i="30"/>
  <c r="EI22" i="30" s="1"/>
  <c r="EI60" i="30" s="1"/>
  <c r="EJ23" i="30"/>
  <c r="EJ22" i="30" s="1"/>
  <c r="EJ60" i="30" s="1"/>
  <c r="EK23" i="30"/>
  <c r="EK22" i="30" s="1"/>
  <c r="EK60" i="30" s="1"/>
  <c r="EL23" i="30"/>
  <c r="EL22" i="30" s="1"/>
  <c r="EL60" i="30" s="1"/>
  <c r="EM23" i="30"/>
  <c r="EM22" i="30" s="1"/>
  <c r="EM60" i="30" s="1"/>
  <c r="EN23" i="30"/>
  <c r="EN22" i="30" s="1"/>
  <c r="EN60" i="30" s="1"/>
  <c r="EO23" i="30"/>
  <c r="EO22" i="30" s="1"/>
  <c r="EO60" i="30" s="1"/>
  <c r="EP23" i="30"/>
  <c r="EP22" i="30" s="1"/>
  <c r="EP60" i="30" s="1"/>
  <c r="EQ23" i="30"/>
  <c r="EQ22" i="30" s="1"/>
  <c r="EQ60" i="30" s="1"/>
  <c r="ER23" i="30"/>
  <c r="ER22" i="30" s="1"/>
  <c r="ER60" i="30" s="1"/>
  <c r="ES23" i="30"/>
  <c r="ES22" i="30" s="1"/>
  <c r="ES60" i="30" s="1"/>
  <c r="ET23" i="30"/>
  <c r="ET22" i="30" s="1"/>
  <c r="ET60" i="30" s="1"/>
  <c r="EU23" i="30"/>
  <c r="EU22" i="30" s="1"/>
  <c r="EU60" i="30" s="1"/>
  <c r="EV23" i="30"/>
  <c r="EV22" i="30" s="1"/>
  <c r="EV60" i="30" s="1"/>
  <c r="EW23" i="30"/>
  <c r="EW22" i="30" s="1"/>
  <c r="EW60" i="30" s="1"/>
  <c r="EX23" i="30"/>
  <c r="EX22" i="30" s="1"/>
  <c r="EX60" i="30" s="1"/>
  <c r="EY23" i="30"/>
  <c r="EY22" i="30" s="1"/>
  <c r="EY60" i="30" s="1"/>
  <c r="EZ23" i="30"/>
  <c r="EZ22" i="30" s="1"/>
  <c r="EZ60" i="30" s="1"/>
  <c r="FA23" i="30"/>
  <c r="FA22" i="30" s="1"/>
  <c r="FA60" i="30" s="1"/>
  <c r="FB23" i="30"/>
  <c r="FB22" i="30" s="1"/>
  <c r="FB60" i="30" s="1"/>
  <c r="FC23" i="30"/>
  <c r="FC22" i="30" s="1"/>
  <c r="FC60" i="30" s="1"/>
  <c r="FD23" i="30"/>
  <c r="FD22" i="30" s="1"/>
  <c r="FD60" i="30" s="1"/>
  <c r="FE23" i="30"/>
  <c r="FE22" i="30" s="1"/>
  <c r="FE60" i="30" s="1"/>
  <c r="FF23" i="30"/>
  <c r="FF22" i="30" s="1"/>
  <c r="FF60" i="30" s="1"/>
  <c r="FG23" i="30"/>
  <c r="FG22" i="30" s="1"/>
  <c r="FG60" i="30" s="1"/>
  <c r="FH23" i="30"/>
  <c r="FH22" i="30" s="1"/>
  <c r="FH60" i="30" s="1"/>
  <c r="FI23" i="30"/>
  <c r="FI22" i="30" s="1"/>
  <c r="FI60" i="30" s="1"/>
  <c r="FJ23" i="30"/>
  <c r="FJ22" i="30" s="1"/>
  <c r="FJ60" i="30" s="1"/>
  <c r="FK23" i="30"/>
  <c r="FK22" i="30" s="1"/>
  <c r="FK60" i="30" s="1"/>
  <c r="FL23" i="30"/>
  <c r="FL22" i="30" s="1"/>
  <c r="FL60" i="30" s="1"/>
  <c r="FM23" i="30"/>
  <c r="FM22" i="30" s="1"/>
  <c r="FM60" i="30" s="1"/>
  <c r="FN23" i="30"/>
  <c r="FN22" i="30" s="1"/>
  <c r="FN60" i="30" s="1"/>
  <c r="FO23" i="30"/>
  <c r="FO22" i="30" s="1"/>
  <c r="FO60" i="30" s="1"/>
  <c r="FP23" i="30"/>
  <c r="FP22" i="30" s="1"/>
  <c r="FP60" i="30" s="1"/>
  <c r="FQ23" i="30"/>
  <c r="FQ22" i="30" s="1"/>
  <c r="FQ60" i="30" s="1"/>
  <c r="FR23" i="30"/>
  <c r="FR22" i="30" s="1"/>
  <c r="FR60" i="30" s="1"/>
  <c r="FS23" i="30"/>
  <c r="FS22" i="30" s="1"/>
  <c r="FS60" i="30" s="1"/>
  <c r="FT23" i="30"/>
  <c r="FT22" i="30" s="1"/>
  <c r="FT60" i="30" s="1"/>
  <c r="FU23" i="30"/>
  <c r="FU22" i="30" s="1"/>
  <c r="FU60" i="30" s="1"/>
  <c r="FV23" i="30"/>
  <c r="FV22" i="30" s="1"/>
  <c r="FV60" i="30" s="1"/>
  <c r="FW23" i="30"/>
  <c r="FW22" i="30" s="1"/>
  <c r="FW60" i="30" s="1"/>
  <c r="FX23" i="30"/>
  <c r="FX22" i="30" s="1"/>
  <c r="FX60" i="30" s="1"/>
  <c r="FY23" i="30"/>
  <c r="FY22" i="30" s="1"/>
  <c r="FY60" i="30" s="1"/>
  <c r="FZ23" i="30"/>
  <c r="FZ22" i="30" s="1"/>
  <c r="FZ60" i="30" s="1"/>
  <c r="GA23" i="30"/>
  <c r="GA22" i="30" s="1"/>
  <c r="GA60" i="30" s="1"/>
  <c r="GB23" i="30"/>
  <c r="GB22" i="30" s="1"/>
  <c r="GB60" i="30" s="1"/>
  <c r="GC23" i="30"/>
  <c r="GC22" i="30" s="1"/>
  <c r="GC60" i="30" s="1"/>
  <c r="GD23" i="30"/>
  <c r="GD22" i="30" s="1"/>
  <c r="GD60" i="30" s="1"/>
  <c r="GE23" i="30"/>
  <c r="GE22" i="30" s="1"/>
  <c r="GE60" i="30" s="1"/>
  <c r="GF23" i="30"/>
  <c r="GF22" i="30" s="1"/>
  <c r="GF60" i="30" s="1"/>
  <c r="GG23" i="30"/>
  <c r="GG22" i="30" s="1"/>
  <c r="GG60" i="30" s="1"/>
  <c r="GH23" i="30"/>
  <c r="GH22" i="30" s="1"/>
  <c r="GH60" i="30" s="1"/>
  <c r="GI23" i="30"/>
  <c r="GI22" i="30" s="1"/>
  <c r="GI60" i="30" s="1"/>
  <c r="GJ23" i="30"/>
  <c r="GJ22" i="30" s="1"/>
  <c r="GJ60" i="30" s="1"/>
  <c r="GK23" i="30"/>
  <c r="GK22" i="30" s="1"/>
  <c r="GK60" i="30" s="1"/>
  <c r="GL23" i="30"/>
  <c r="GL22" i="30" s="1"/>
  <c r="GL60" i="30" s="1"/>
  <c r="GM23" i="30"/>
  <c r="GM22" i="30" s="1"/>
  <c r="GM60" i="30" s="1"/>
  <c r="GN23" i="30"/>
  <c r="GN22" i="30" s="1"/>
  <c r="GN60" i="30" s="1"/>
  <c r="GO23" i="30"/>
  <c r="GO22" i="30" s="1"/>
  <c r="GO60" i="30" s="1"/>
  <c r="GP23" i="30"/>
  <c r="GP22" i="30" s="1"/>
  <c r="GP60" i="30" s="1"/>
  <c r="GQ23" i="30"/>
  <c r="GQ22" i="30" s="1"/>
  <c r="GQ60" i="30" s="1"/>
  <c r="GR23" i="30"/>
  <c r="GR22" i="30" s="1"/>
  <c r="GR60" i="30" s="1"/>
  <c r="GS23" i="30"/>
  <c r="GS22" i="30" s="1"/>
  <c r="GS60" i="30" s="1"/>
  <c r="GT23" i="30"/>
  <c r="GT22" i="30" s="1"/>
  <c r="GT60" i="30" s="1"/>
  <c r="GU23" i="30"/>
  <c r="GU22" i="30" s="1"/>
  <c r="GU60" i="30" s="1"/>
  <c r="GV23" i="30"/>
  <c r="GV22" i="30" s="1"/>
  <c r="GV60" i="30" s="1"/>
  <c r="GW23" i="30"/>
  <c r="GW22" i="30" s="1"/>
  <c r="GW60" i="30" s="1"/>
  <c r="GX23" i="30"/>
  <c r="GX22" i="30" s="1"/>
  <c r="GX60" i="30" s="1"/>
  <c r="GY23" i="30"/>
  <c r="GY22" i="30" s="1"/>
  <c r="GY60" i="30" s="1"/>
  <c r="GZ23" i="30"/>
  <c r="GZ22" i="30" s="1"/>
  <c r="GZ60" i="30" s="1"/>
  <c r="HA23" i="30"/>
  <c r="HA22" i="30" s="1"/>
  <c r="HA60" i="30" s="1"/>
  <c r="HB23" i="30"/>
  <c r="HB22" i="30" s="1"/>
  <c r="HB60" i="30" s="1"/>
  <c r="HC23" i="30"/>
  <c r="HC22" i="30" s="1"/>
  <c r="HC60" i="30" s="1"/>
  <c r="HD23" i="30"/>
  <c r="HD22" i="30" s="1"/>
  <c r="HD60" i="30" s="1"/>
  <c r="HE23" i="30"/>
  <c r="HE22" i="30" s="1"/>
  <c r="HE60" i="30" s="1"/>
  <c r="HF23" i="30"/>
  <c r="HF22" i="30" s="1"/>
  <c r="HF60" i="30" s="1"/>
  <c r="HG23" i="30"/>
  <c r="HG22" i="30" s="1"/>
  <c r="HG60" i="30" s="1"/>
  <c r="HH23" i="30"/>
  <c r="HH22" i="30" s="1"/>
  <c r="HH60" i="30" s="1"/>
  <c r="HI23" i="30"/>
  <c r="HI22" i="30" s="1"/>
  <c r="HI60" i="30" s="1"/>
  <c r="HJ23" i="30"/>
  <c r="HJ22" i="30" s="1"/>
  <c r="HJ60" i="30" s="1"/>
  <c r="HK23" i="30"/>
  <c r="HK22" i="30" s="1"/>
  <c r="HK60" i="30" s="1"/>
  <c r="HL23" i="30"/>
  <c r="HL22" i="30" s="1"/>
  <c r="HL60" i="30" s="1"/>
  <c r="HM23" i="30"/>
  <c r="HM22" i="30" s="1"/>
  <c r="HM60" i="30" s="1"/>
  <c r="HN23" i="30"/>
  <c r="HN22" i="30" s="1"/>
  <c r="HN60" i="30" s="1"/>
  <c r="HO23" i="30"/>
  <c r="HO22" i="30" s="1"/>
  <c r="HO60" i="30" s="1"/>
  <c r="HP23" i="30"/>
  <c r="HP22" i="30" s="1"/>
  <c r="HP60" i="30" s="1"/>
  <c r="HQ23" i="30"/>
  <c r="HQ22" i="30" s="1"/>
  <c r="HQ60" i="30" s="1"/>
  <c r="HR23" i="30"/>
  <c r="HR22" i="30" s="1"/>
  <c r="HR60" i="30" s="1"/>
  <c r="HS23" i="30"/>
  <c r="HS22" i="30" s="1"/>
  <c r="HS60" i="30" s="1"/>
  <c r="HT23" i="30"/>
  <c r="HT22" i="30" s="1"/>
  <c r="HT60" i="30" s="1"/>
  <c r="HU23" i="30"/>
  <c r="HU22" i="30" s="1"/>
  <c r="HU60" i="30" s="1"/>
  <c r="HV23" i="30"/>
  <c r="HV22" i="30" s="1"/>
  <c r="HV60" i="30" s="1"/>
  <c r="HW23" i="30"/>
  <c r="HW22" i="30" s="1"/>
  <c r="HW60" i="30" s="1"/>
  <c r="HX23" i="30"/>
  <c r="HX22" i="30" s="1"/>
  <c r="HX60" i="30" s="1"/>
  <c r="HY23" i="30"/>
  <c r="HY22" i="30" s="1"/>
  <c r="HY60" i="30" s="1"/>
  <c r="HZ23" i="30"/>
  <c r="HZ22" i="30" s="1"/>
  <c r="HZ60" i="30" s="1"/>
  <c r="IA23" i="30"/>
  <c r="IA22" i="30" s="1"/>
  <c r="IA60" i="30" s="1"/>
  <c r="IB23" i="30"/>
  <c r="IB22" i="30" s="1"/>
  <c r="IB60" i="30" s="1"/>
  <c r="IC23" i="30"/>
  <c r="IC22" i="30" s="1"/>
  <c r="IC60" i="30" s="1"/>
  <c r="ID23" i="30"/>
  <c r="ID22" i="30" s="1"/>
  <c r="ID60" i="30" s="1"/>
  <c r="IE23" i="30"/>
  <c r="IE22" i="30" s="1"/>
  <c r="IE60" i="30" s="1"/>
  <c r="IF23" i="30"/>
  <c r="IF22" i="30" s="1"/>
  <c r="IF60" i="30" s="1"/>
  <c r="IG23" i="30"/>
  <c r="IG22" i="30" s="1"/>
  <c r="IG60" i="30" s="1"/>
  <c r="IH23" i="30"/>
  <c r="IH22" i="30" s="1"/>
  <c r="IH60" i="30" s="1"/>
  <c r="II23" i="30"/>
  <c r="II22" i="30" s="1"/>
  <c r="II60" i="30" s="1"/>
  <c r="IJ23" i="30"/>
  <c r="IJ22" i="30" s="1"/>
  <c r="IJ60" i="30" s="1"/>
  <c r="IK23" i="30"/>
  <c r="IK22" i="30" s="1"/>
  <c r="IK60" i="30" s="1"/>
  <c r="IL23" i="30"/>
  <c r="IL22" i="30" s="1"/>
  <c r="IL60" i="30" s="1"/>
  <c r="IM23" i="30"/>
  <c r="IM22" i="30" s="1"/>
  <c r="IM60" i="30" s="1"/>
  <c r="IN23" i="30"/>
  <c r="IN22" i="30" s="1"/>
  <c r="IN60" i="30" s="1"/>
  <c r="IO23" i="30"/>
  <c r="IO22" i="30" s="1"/>
  <c r="IO60" i="30" s="1"/>
  <c r="IP23" i="30"/>
  <c r="IP22" i="30" s="1"/>
  <c r="IP60" i="30" s="1"/>
  <c r="IQ23" i="30"/>
  <c r="IQ22" i="30" s="1"/>
  <c r="IQ60" i="30" s="1"/>
  <c r="IR23" i="30"/>
  <c r="IR22" i="30" s="1"/>
  <c r="IR60" i="30" s="1"/>
  <c r="IS23" i="30"/>
  <c r="IS22" i="30" s="1"/>
  <c r="IS60" i="30" s="1"/>
  <c r="IT23" i="30"/>
  <c r="IT22" i="30" s="1"/>
  <c r="IT60" i="30" s="1"/>
  <c r="IU23" i="30"/>
  <c r="IU22" i="30" s="1"/>
  <c r="IU60" i="30" s="1"/>
  <c r="IV23" i="30"/>
  <c r="IV22" i="30" s="1"/>
  <c r="IV60" i="30" s="1"/>
  <c r="IW23" i="30"/>
  <c r="IW22" i="30" s="1"/>
  <c r="IW60" i="30" s="1"/>
  <c r="IX23" i="30"/>
  <c r="IX22" i="30" s="1"/>
  <c r="IX60" i="30" s="1"/>
  <c r="IY23" i="30"/>
  <c r="IY22" i="30" s="1"/>
  <c r="IY60" i="30" s="1"/>
  <c r="IZ23" i="30"/>
  <c r="IZ22" i="30" s="1"/>
  <c r="IZ60" i="30" s="1"/>
  <c r="JA23" i="30"/>
  <c r="JA22" i="30" s="1"/>
  <c r="JA60" i="30" s="1"/>
  <c r="JB23" i="30"/>
  <c r="JB22" i="30" s="1"/>
  <c r="JB60" i="30" s="1"/>
  <c r="JC23" i="30"/>
  <c r="JC22" i="30" s="1"/>
  <c r="JC60" i="30" s="1"/>
  <c r="JD23" i="30"/>
  <c r="JD22" i="30" s="1"/>
  <c r="JD60" i="30" s="1"/>
  <c r="JE23" i="30"/>
  <c r="JE22" i="30" s="1"/>
  <c r="JE60" i="30" s="1"/>
  <c r="JF23" i="30"/>
  <c r="JF22" i="30" s="1"/>
  <c r="JF60" i="30" s="1"/>
  <c r="JG23" i="30"/>
  <c r="JG22" i="30" s="1"/>
  <c r="JG60" i="30" s="1"/>
  <c r="JH23" i="30"/>
  <c r="JH22" i="30" s="1"/>
  <c r="JH60" i="30" s="1"/>
  <c r="JI23" i="30"/>
  <c r="JI22" i="30" s="1"/>
  <c r="JI60" i="30" s="1"/>
  <c r="JJ23" i="30"/>
  <c r="JJ22" i="30" s="1"/>
  <c r="JJ60" i="30" s="1"/>
  <c r="JK23" i="30"/>
  <c r="JK22" i="30" s="1"/>
  <c r="JK60" i="30" s="1"/>
  <c r="JL23" i="30"/>
  <c r="JL22" i="30" s="1"/>
  <c r="JL60" i="30" s="1"/>
  <c r="JM23" i="30"/>
  <c r="JM22" i="30" s="1"/>
  <c r="JM60" i="30" s="1"/>
  <c r="JN23" i="30"/>
  <c r="JN22" i="30" s="1"/>
  <c r="JN60" i="30" s="1"/>
  <c r="JO23" i="30"/>
  <c r="JO22" i="30" s="1"/>
  <c r="JO60" i="30" s="1"/>
  <c r="JP23" i="30"/>
  <c r="JP22" i="30" s="1"/>
  <c r="JP60" i="30" s="1"/>
  <c r="JQ23" i="30"/>
  <c r="JQ22" i="30" s="1"/>
  <c r="JQ60" i="30" s="1"/>
  <c r="JR23" i="30"/>
  <c r="JR22" i="30" s="1"/>
  <c r="JR60" i="30" s="1"/>
  <c r="JS23" i="30"/>
  <c r="JS22" i="30" s="1"/>
  <c r="JS60" i="30" s="1"/>
  <c r="JT23" i="30"/>
  <c r="JT22" i="30" s="1"/>
  <c r="JT60" i="30" s="1"/>
  <c r="JU23" i="30"/>
  <c r="JU22" i="30" s="1"/>
  <c r="JU60" i="30" s="1"/>
  <c r="JV23" i="30"/>
  <c r="JV22" i="30" s="1"/>
  <c r="JV60" i="30" s="1"/>
  <c r="JW23" i="30"/>
  <c r="JW22" i="30" s="1"/>
  <c r="JW60" i="30" s="1"/>
  <c r="JX23" i="30"/>
  <c r="JX22" i="30" s="1"/>
  <c r="JX60" i="30" s="1"/>
  <c r="JY23" i="30"/>
  <c r="JY22" i="30" s="1"/>
  <c r="JY60" i="30" s="1"/>
  <c r="JZ23" i="30"/>
  <c r="JZ22" i="30" s="1"/>
  <c r="JZ60" i="30" s="1"/>
  <c r="KA23" i="30"/>
  <c r="KA22" i="30" s="1"/>
  <c r="KA60" i="30" s="1"/>
  <c r="KB23" i="30"/>
  <c r="KB22" i="30" s="1"/>
  <c r="KB60" i="30" s="1"/>
  <c r="KC23" i="30"/>
  <c r="KC22" i="30" s="1"/>
  <c r="KC60" i="30" s="1"/>
  <c r="KD23" i="30"/>
  <c r="KD22" i="30" s="1"/>
  <c r="KD60" i="30" s="1"/>
  <c r="KE23" i="30"/>
  <c r="KE22" i="30" s="1"/>
  <c r="KE60" i="30" s="1"/>
  <c r="E27" i="30"/>
  <c r="E26" i="30" s="1"/>
  <c r="E56" i="30" s="1"/>
  <c r="F27" i="30"/>
  <c r="F26" i="30" s="1"/>
  <c r="F56" i="30" s="1"/>
  <c r="G27" i="30"/>
  <c r="G26" i="30" s="1"/>
  <c r="G56" i="30" s="1"/>
  <c r="H27" i="30"/>
  <c r="H26" i="30" s="1"/>
  <c r="H56" i="30" s="1"/>
  <c r="I27" i="30"/>
  <c r="I26" i="30" s="1"/>
  <c r="I56" i="30" s="1"/>
  <c r="J27" i="30"/>
  <c r="J26" i="30" s="1"/>
  <c r="J56" i="30" s="1"/>
  <c r="K27" i="30"/>
  <c r="K26" i="30" s="1"/>
  <c r="K56" i="30" s="1"/>
  <c r="L27" i="30"/>
  <c r="L26" i="30" s="1"/>
  <c r="L56" i="30" s="1"/>
  <c r="M27" i="30"/>
  <c r="M26" i="30" s="1"/>
  <c r="M56" i="30" s="1"/>
  <c r="N27" i="30"/>
  <c r="N26" i="30" s="1"/>
  <c r="N56" i="30" s="1"/>
  <c r="O27" i="30"/>
  <c r="O26" i="30" s="1"/>
  <c r="O56" i="30" s="1"/>
  <c r="P27" i="30"/>
  <c r="P26" i="30" s="1"/>
  <c r="P56" i="30" s="1"/>
  <c r="Q27" i="30"/>
  <c r="Q26" i="30" s="1"/>
  <c r="Q56" i="30" s="1"/>
  <c r="R27" i="30"/>
  <c r="R26" i="30" s="1"/>
  <c r="R56" i="30" s="1"/>
  <c r="S27" i="30"/>
  <c r="S26" i="30" s="1"/>
  <c r="S56" i="30" s="1"/>
  <c r="T27" i="30"/>
  <c r="T26" i="30" s="1"/>
  <c r="T56" i="30" s="1"/>
  <c r="U27" i="30"/>
  <c r="U26" i="30" s="1"/>
  <c r="U56" i="30" s="1"/>
  <c r="V27" i="30"/>
  <c r="V26" i="30" s="1"/>
  <c r="V56" i="30" s="1"/>
  <c r="W27" i="30"/>
  <c r="W26" i="30" s="1"/>
  <c r="W56" i="30" s="1"/>
  <c r="X27" i="30"/>
  <c r="X26" i="30" s="1"/>
  <c r="X56" i="30" s="1"/>
  <c r="Y27" i="30"/>
  <c r="Y26" i="30" s="1"/>
  <c r="Y56" i="30" s="1"/>
  <c r="Z27" i="30"/>
  <c r="Z26" i="30" s="1"/>
  <c r="Z56" i="30" s="1"/>
  <c r="AA27" i="30"/>
  <c r="AA26" i="30" s="1"/>
  <c r="AA56" i="30" s="1"/>
  <c r="AB27" i="30"/>
  <c r="AB26" i="30" s="1"/>
  <c r="AB56" i="30" s="1"/>
  <c r="AC27" i="30"/>
  <c r="AC26" i="30" s="1"/>
  <c r="AC56" i="30" s="1"/>
  <c r="AD27" i="30"/>
  <c r="AD26" i="30" s="1"/>
  <c r="AD56" i="30" s="1"/>
  <c r="AE27" i="30"/>
  <c r="AE26" i="30" s="1"/>
  <c r="AE56" i="30" s="1"/>
  <c r="AF27" i="30"/>
  <c r="AF26" i="30" s="1"/>
  <c r="AF56" i="30" s="1"/>
  <c r="AG27" i="30"/>
  <c r="AG26" i="30" s="1"/>
  <c r="AG56" i="30" s="1"/>
  <c r="AH27" i="30"/>
  <c r="AH26" i="30" s="1"/>
  <c r="AH56" i="30" s="1"/>
  <c r="AI27" i="30"/>
  <c r="AI26" i="30" s="1"/>
  <c r="AI56" i="30" s="1"/>
  <c r="AJ27" i="30"/>
  <c r="AJ26" i="30" s="1"/>
  <c r="AJ56" i="30" s="1"/>
  <c r="AK27" i="30"/>
  <c r="AK26" i="30" s="1"/>
  <c r="AK56" i="30" s="1"/>
  <c r="AL27" i="30"/>
  <c r="AL26" i="30" s="1"/>
  <c r="AL56" i="30" s="1"/>
  <c r="AM27" i="30"/>
  <c r="AM26" i="30" s="1"/>
  <c r="AM56" i="30" s="1"/>
  <c r="AN27" i="30"/>
  <c r="AN26" i="30" s="1"/>
  <c r="AN56" i="30" s="1"/>
  <c r="AO27" i="30"/>
  <c r="AO26" i="30" s="1"/>
  <c r="AO56" i="30" s="1"/>
  <c r="AP27" i="30"/>
  <c r="AP26" i="30" s="1"/>
  <c r="AP56" i="30" s="1"/>
  <c r="AQ27" i="30"/>
  <c r="AQ26" i="30" s="1"/>
  <c r="AQ56" i="30" s="1"/>
  <c r="AR27" i="30"/>
  <c r="AR26" i="30" s="1"/>
  <c r="AR56" i="30" s="1"/>
  <c r="AS27" i="30"/>
  <c r="AS26" i="30" s="1"/>
  <c r="AS56" i="30" s="1"/>
  <c r="AT27" i="30"/>
  <c r="AT26" i="30" s="1"/>
  <c r="AT56" i="30" s="1"/>
  <c r="AU27" i="30"/>
  <c r="AU26" i="30" s="1"/>
  <c r="AU56" i="30" s="1"/>
  <c r="AV27" i="30"/>
  <c r="AV26" i="30" s="1"/>
  <c r="AV56" i="30" s="1"/>
  <c r="AW27" i="30"/>
  <c r="AW26" i="30" s="1"/>
  <c r="AW56" i="30" s="1"/>
  <c r="AX27" i="30"/>
  <c r="AX26" i="30" s="1"/>
  <c r="AX56" i="30" s="1"/>
  <c r="AY27" i="30"/>
  <c r="AY26" i="30" s="1"/>
  <c r="AY56" i="30" s="1"/>
  <c r="AZ27" i="30"/>
  <c r="AZ26" i="30" s="1"/>
  <c r="AZ56" i="30" s="1"/>
  <c r="BA27" i="30"/>
  <c r="BA26" i="30" s="1"/>
  <c r="BA56" i="30" s="1"/>
  <c r="BB27" i="30"/>
  <c r="BB26" i="30" s="1"/>
  <c r="BB56" i="30" s="1"/>
  <c r="BC27" i="30"/>
  <c r="BC26" i="30" s="1"/>
  <c r="BC56" i="30" s="1"/>
  <c r="BD27" i="30"/>
  <c r="BD26" i="30" s="1"/>
  <c r="BD56" i="30" s="1"/>
  <c r="BE27" i="30"/>
  <c r="BE26" i="30" s="1"/>
  <c r="BE56" i="30" s="1"/>
  <c r="BF27" i="30"/>
  <c r="BF26" i="30" s="1"/>
  <c r="BF56" i="30" s="1"/>
  <c r="BG27" i="30"/>
  <c r="BG26" i="30" s="1"/>
  <c r="BG56" i="30" s="1"/>
  <c r="BH27" i="30"/>
  <c r="BH26" i="30" s="1"/>
  <c r="BH56" i="30" s="1"/>
  <c r="BI27" i="30"/>
  <c r="BI26" i="30" s="1"/>
  <c r="BI56" i="30" s="1"/>
  <c r="BJ27" i="30"/>
  <c r="BJ26" i="30" s="1"/>
  <c r="BJ56" i="30" s="1"/>
  <c r="BK27" i="30"/>
  <c r="BK26" i="30" s="1"/>
  <c r="BK56" i="30" s="1"/>
  <c r="BL27" i="30"/>
  <c r="BL26" i="30" s="1"/>
  <c r="BL56" i="30" s="1"/>
  <c r="BM27" i="30"/>
  <c r="BM26" i="30" s="1"/>
  <c r="BM56" i="30" s="1"/>
  <c r="BN27" i="30"/>
  <c r="BN26" i="30" s="1"/>
  <c r="BN56" i="30" s="1"/>
  <c r="BO27" i="30"/>
  <c r="BO26" i="30" s="1"/>
  <c r="BO56" i="30" s="1"/>
  <c r="BP27" i="30"/>
  <c r="BP26" i="30" s="1"/>
  <c r="BP56" i="30" s="1"/>
  <c r="BQ27" i="30"/>
  <c r="BQ26" i="30" s="1"/>
  <c r="BQ56" i="30" s="1"/>
  <c r="BR27" i="30"/>
  <c r="BR26" i="30" s="1"/>
  <c r="BR56" i="30" s="1"/>
  <c r="BS27" i="30"/>
  <c r="BS26" i="30" s="1"/>
  <c r="BS56" i="30" s="1"/>
  <c r="BT27" i="30"/>
  <c r="BT26" i="30" s="1"/>
  <c r="BT56" i="30" s="1"/>
  <c r="BU27" i="30"/>
  <c r="BU26" i="30" s="1"/>
  <c r="BU56" i="30" s="1"/>
  <c r="BV27" i="30"/>
  <c r="BV26" i="30" s="1"/>
  <c r="BV56" i="30" s="1"/>
  <c r="BW27" i="30"/>
  <c r="BW26" i="30" s="1"/>
  <c r="BW56" i="30" s="1"/>
  <c r="BX27" i="30"/>
  <c r="BX26" i="30" s="1"/>
  <c r="BX56" i="30" s="1"/>
  <c r="BY27" i="30"/>
  <c r="BY26" i="30" s="1"/>
  <c r="BY56" i="30" s="1"/>
  <c r="BZ27" i="30"/>
  <c r="BZ26" i="30" s="1"/>
  <c r="BZ56" i="30" s="1"/>
  <c r="CA27" i="30"/>
  <c r="CA26" i="30" s="1"/>
  <c r="CA56" i="30" s="1"/>
  <c r="CB27" i="30"/>
  <c r="CB26" i="30" s="1"/>
  <c r="CB56" i="30" s="1"/>
  <c r="CC27" i="30"/>
  <c r="CC26" i="30" s="1"/>
  <c r="CC56" i="30" s="1"/>
  <c r="CD27" i="30"/>
  <c r="CD26" i="30" s="1"/>
  <c r="CD56" i="30" s="1"/>
  <c r="CE27" i="30"/>
  <c r="CE26" i="30" s="1"/>
  <c r="CE56" i="30" s="1"/>
  <c r="CF27" i="30"/>
  <c r="CF26" i="30" s="1"/>
  <c r="CF56" i="30" s="1"/>
  <c r="CG27" i="30"/>
  <c r="CG26" i="30" s="1"/>
  <c r="CG56" i="30" s="1"/>
  <c r="CH27" i="30"/>
  <c r="CH26" i="30" s="1"/>
  <c r="CH56" i="30" s="1"/>
  <c r="CI27" i="30"/>
  <c r="CI26" i="30" s="1"/>
  <c r="CI56" i="30" s="1"/>
  <c r="CJ27" i="30"/>
  <c r="CJ26" i="30" s="1"/>
  <c r="CJ56" i="30" s="1"/>
  <c r="CK27" i="30"/>
  <c r="CK26" i="30" s="1"/>
  <c r="CK56" i="30" s="1"/>
  <c r="CL27" i="30"/>
  <c r="CL26" i="30" s="1"/>
  <c r="CL56" i="30" s="1"/>
  <c r="CM27" i="30"/>
  <c r="CM26" i="30" s="1"/>
  <c r="CM56" i="30" s="1"/>
  <c r="CN27" i="30"/>
  <c r="CN26" i="30" s="1"/>
  <c r="CN56" i="30" s="1"/>
  <c r="CO27" i="30"/>
  <c r="CO26" i="30" s="1"/>
  <c r="CO56" i="30" s="1"/>
  <c r="CP27" i="30"/>
  <c r="CP26" i="30" s="1"/>
  <c r="CP56" i="30" s="1"/>
  <c r="CQ27" i="30"/>
  <c r="CQ26" i="30" s="1"/>
  <c r="CQ56" i="30" s="1"/>
  <c r="CR27" i="30"/>
  <c r="CR26" i="30" s="1"/>
  <c r="CR56" i="30" s="1"/>
  <c r="CS27" i="30"/>
  <c r="CS26" i="30" s="1"/>
  <c r="CS56" i="30" s="1"/>
  <c r="CT27" i="30"/>
  <c r="CT26" i="30" s="1"/>
  <c r="CT56" i="30" s="1"/>
  <c r="CU27" i="30"/>
  <c r="CU26" i="30" s="1"/>
  <c r="CU56" i="30" s="1"/>
  <c r="CV27" i="30"/>
  <c r="CV26" i="30" s="1"/>
  <c r="CV56" i="30" s="1"/>
  <c r="CW27" i="30"/>
  <c r="CW26" i="30" s="1"/>
  <c r="CW56" i="30" s="1"/>
  <c r="CX27" i="30"/>
  <c r="CX26" i="30" s="1"/>
  <c r="CX56" i="30" s="1"/>
  <c r="CY27" i="30"/>
  <c r="CY26" i="30" s="1"/>
  <c r="CY56" i="30" s="1"/>
  <c r="CZ27" i="30"/>
  <c r="CZ26" i="30" s="1"/>
  <c r="CZ56" i="30" s="1"/>
  <c r="DA27" i="30"/>
  <c r="DA26" i="30" s="1"/>
  <c r="DA56" i="30" s="1"/>
  <c r="DB27" i="30"/>
  <c r="DB26" i="30" s="1"/>
  <c r="DB56" i="30" s="1"/>
  <c r="DC27" i="30"/>
  <c r="DC26" i="30" s="1"/>
  <c r="DC56" i="30" s="1"/>
  <c r="DD27" i="30"/>
  <c r="DD26" i="30" s="1"/>
  <c r="DD56" i="30" s="1"/>
  <c r="DE27" i="30"/>
  <c r="DE26" i="30" s="1"/>
  <c r="DE56" i="30" s="1"/>
  <c r="DF27" i="30"/>
  <c r="DF26" i="30" s="1"/>
  <c r="DF56" i="30" s="1"/>
  <c r="DG27" i="30"/>
  <c r="DG26" i="30" s="1"/>
  <c r="DG56" i="30" s="1"/>
  <c r="DH27" i="30"/>
  <c r="DH26" i="30" s="1"/>
  <c r="DH56" i="30" s="1"/>
  <c r="DI27" i="30"/>
  <c r="DI26" i="30" s="1"/>
  <c r="DI56" i="30" s="1"/>
  <c r="DJ27" i="30"/>
  <c r="DJ26" i="30" s="1"/>
  <c r="DJ56" i="30" s="1"/>
  <c r="DK27" i="30"/>
  <c r="DK26" i="30" s="1"/>
  <c r="DK56" i="30" s="1"/>
  <c r="DL27" i="30"/>
  <c r="DL26" i="30" s="1"/>
  <c r="DL56" i="30" s="1"/>
  <c r="DM27" i="30"/>
  <c r="DM26" i="30" s="1"/>
  <c r="DM56" i="30" s="1"/>
  <c r="DN27" i="30"/>
  <c r="DN26" i="30" s="1"/>
  <c r="DN56" i="30" s="1"/>
  <c r="DO27" i="30"/>
  <c r="DO26" i="30" s="1"/>
  <c r="DO56" i="30" s="1"/>
  <c r="DP27" i="30"/>
  <c r="DP26" i="30" s="1"/>
  <c r="DP56" i="30" s="1"/>
  <c r="DQ27" i="30"/>
  <c r="DQ26" i="30" s="1"/>
  <c r="DQ56" i="30" s="1"/>
  <c r="DR27" i="30"/>
  <c r="DR26" i="30" s="1"/>
  <c r="DR56" i="30" s="1"/>
  <c r="DS27" i="30"/>
  <c r="DS26" i="30" s="1"/>
  <c r="DS56" i="30" s="1"/>
  <c r="DT27" i="30"/>
  <c r="DT26" i="30" s="1"/>
  <c r="DT56" i="30" s="1"/>
  <c r="DU27" i="30"/>
  <c r="DU26" i="30" s="1"/>
  <c r="DU56" i="30" s="1"/>
  <c r="DV27" i="30"/>
  <c r="DV26" i="30" s="1"/>
  <c r="DV56" i="30" s="1"/>
  <c r="DW27" i="30"/>
  <c r="DW26" i="30" s="1"/>
  <c r="DW56" i="30" s="1"/>
  <c r="DX27" i="30"/>
  <c r="DX26" i="30" s="1"/>
  <c r="DX56" i="30" s="1"/>
  <c r="DY27" i="30"/>
  <c r="DY26" i="30" s="1"/>
  <c r="DY56" i="30" s="1"/>
  <c r="DZ27" i="30"/>
  <c r="DZ26" i="30" s="1"/>
  <c r="DZ56" i="30" s="1"/>
  <c r="EA27" i="30"/>
  <c r="EA26" i="30" s="1"/>
  <c r="EA56" i="30" s="1"/>
  <c r="EB27" i="30"/>
  <c r="EB26" i="30" s="1"/>
  <c r="EB56" i="30" s="1"/>
  <c r="EC27" i="30"/>
  <c r="EC26" i="30" s="1"/>
  <c r="EC56" i="30" s="1"/>
  <c r="ED27" i="30"/>
  <c r="ED26" i="30" s="1"/>
  <c r="ED56" i="30" s="1"/>
  <c r="EE27" i="30"/>
  <c r="EE26" i="30" s="1"/>
  <c r="EE56" i="30" s="1"/>
  <c r="EF27" i="30"/>
  <c r="EF26" i="30" s="1"/>
  <c r="EF56" i="30" s="1"/>
  <c r="EG27" i="30"/>
  <c r="EG26" i="30" s="1"/>
  <c r="EG56" i="30" s="1"/>
  <c r="EH27" i="30"/>
  <c r="EH26" i="30" s="1"/>
  <c r="EH56" i="30" s="1"/>
  <c r="EI27" i="30"/>
  <c r="EI26" i="30" s="1"/>
  <c r="EI56" i="30" s="1"/>
  <c r="EJ27" i="30"/>
  <c r="EJ26" i="30" s="1"/>
  <c r="EJ56" i="30" s="1"/>
  <c r="EK27" i="30"/>
  <c r="EK26" i="30" s="1"/>
  <c r="EK56" i="30" s="1"/>
  <c r="EL27" i="30"/>
  <c r="EL26" i="30" s="1"/>
  <c r="EL56" i="30" s="1"/>
  <c r="EM27" i="30"/>
  <c r="EM26" i="30" s="1"/>
  <c r="EM56" i="30" s="1"/>
  <c r="EN27" i="30"/>
  <c r="EN26" i="30" s="1"/>
  <c r="EN56" i="30" s="1"/>
  <c r="EO27" i="30"/>
  <c r="EO26" i="30" s="1"/>
  <c r="EO56" i="30" s="1"/>
  <c r="EP27" i="30"/>
  <c r="EP26" i="30" s="1"/>
  <c r="EP56" i="30" s="1"/>
  <c r="EQ27" i="30"/>
  <c r="EQ26" i="30" s="1"/>
  <c r="EQ56" i="30" s="1"/>
  <c r="ER27" i="30"/>
  <c r="ER26" i="30" s="1"/>
  <c r="ER56" i="30" s="1"/>
  <c r="ES27" i="30"/>
  <c r="ES26" i="30" s="1"/>
  <c r="ES56" i="30" s="1"/>
  <c r="ET27" i="30"/>
  <c r="ET26" i="30" s="1"/>
  <c r="ET56" i="30" s="1"/>
  <c r="EU27" i="30"/>
  <c r="EU26" i="30" s="1"/>
  <c r="EU56" i="30" s="1"/>
  <c r="EV27" i="30"/>
  <c r="EV26" i="30" s="1"/>
  <c r="EV56" i="30" s="1"/>
  <c r="EW27" i="30"/>
  <c r="EW26" i="30" s="1"/>
  <c r="EW56" i="30" s="1"/>
  <c r="EX27" i="30"/>
  <c r="EX26" i="30" s="1"/>
  <c r="EX56" i="30" s="1"/>
  <c r="EY27" i="30"/>
  <c r="EY26" i="30" s="1"/>
  <c r="EY56" i="30" s="1"/>
  <c r="EZ27" i="30"/>
  <c r="EZ26" i="30" s="1"/>
  <c r="EZ56" i="30" s="1"/>
  <c r="FA27" i="30"/>
  <c r="FA26" i="30" s="1"/>
  <c r="FA56" i="30" s="1"/>
  <c r="FB27" i="30"/>
  <c r="FB26" i="30" s="1"/>
  <c r="FB56" i="30" s="1"/>
  <c r="FC27" i="30"/>
  <c r="FC26" i="30" s="1"/>
  <c r="FC56" i="30" s="1"/>
  <c r="FD27" i="30"/>
  <c r="FD26" i="30" s="1"/>
  <c r="FD56" i="30" s="1"/>
  <c r="FE27" i="30"/>
  <c r="FE26" i="30" s="1"/>
  <c r="FE56" i="30" s="1"/>
  <c r="FF27" i="30"/>
  <c r="FF26" i="30" s="1"/>
  <c r="FF56" i="30" s="1"/>
  <c r="FG27" i="30"/>
  <c r="FG26" i="30" s="1"/>
  <c r="FG56" i="30" s="1"/>
  <c r="FH27" i="30"/>
  <c r="FH26" i="30" s="1"/>
  <c r="FH56" i="30" s="1"/>
  <c r="FI27" i="30"/>
  <c r="FI26" i="30" s="1"/>
  <c r="FI56" i="30" s="1"/>
  <c r="FJ27" i="30"/>
  <c r="FJ26" i="30" s="1"/>
  <c r="FJ56" i="30" s="1"/>
  <c r="FK27" i="30"/>
  <c r="FK26" i="30" s="1"/>
  <c r="FK56" i="30" s="1"/>
  <c r="FL27" i="30"/>
  <c r="FL26" i="30" s="1"/>
  <c r="FL56" i="30" s="1"/>
  <c r="FM27" i="30"/>
  <c r="FM26" i="30" s="1"/>
  <c r="FM56" i="30" s="1"/>
  <c r="FN27" i="30"/>
  <c r="FN26" i="30" s="1"/>
  <c r="FN56" i="30" s="1"/>
  <c r="FO27" i="30"/>
  <c r="FO26" i="30" s="1"/>
  <c r="FO56" i="30" s="1"/>
  <c r="FP27" i="30"/>
  <c r="FP26" i="30" s="1"/>
  <c r="FP56" i="30" s="1"/>
  <c r="FQ27" i="30"/>
  <c r="FQ26" i="30" s="1"/>
  <c r="FQ56" i="30" s="1"/>
  <c r="FR27" i="30"/>
  <c r="FR26" i="30" s="1"/>
  <c r="FR56" i="30" s="1"/>
  <c r="FS27" i="30"/>
  <c r="FS26" i="30" s="1"/>
  <c r="FS56" i="30" s="1"/>
  <c r="FT27" i="30"/>
  <c r="FT26" i="30" s="1"/>
  <c r="FT56" i="30" s="1"/>
  <c r="FU27" i="30"/>
  <c r="FU26" i="30" s="1"/>
  <c r="FU56" i="30" s="1"/>
  <c r="FV27" i="30"/>
  <c r="FV26" i="30" s="1"/>
  <c r="FV56" i="30" s="1"/>
  <c r="FW27" i="30"/>
  <c r="FW26" i="30" s="1"/>
  <c r="FW56" i="30" s="1"/>
  <c r="FX27" i="30"/>
  <c r="FX26" i="30" s="1"/>
  <c r="FX56" i="30" s="1"/>
  <c r="FY27" i="30"/>
  <c r="FY26" i="30" s="1"/>
  <c r="FY56" i="30" s="1"/>
  <c r="FZ27" i="30"/>
  <c r="FZ26" i="30" s="1"/>
  <c r="FZ56" i="30" s="1"/>
  <c r="GA27" i="30"/>
  <c r="GA26" i="30" s="1"/>
  <c r="GA56" i="30" s="1"/>
  <c r="GB27" i="30"/>
  <c r="GB26" i="30" s="1"/>
  <c r="GB56" i="30" s="1"/>
  <c r="GC27" i="30"/>
  <c r="GC26" i="30" s="1"/>
  <c r="GC56" i="30" s="1"/>
  <c r="GD27" i="30"/>
  <c r="GD26" i="30" s="1"/>
  <c r="GD56" i="30" s="1"/>
  <c r="GE27" i="30"/>
  <c r="GE26" i="30" s="1"/>
  <c r="GE56" i="30" s="1"/>
  <c r="GF27" i="30"/>
  <c r="GF26" i="30" s="1"/>
  <c r="GF56" i="30" s="1"/>
  <c r="GG27" i="30"/>
  <c r="GG26" i="30" s="1"/>
  <c r="GG56" i="30" s="1"/>
  <c r="GH27" i="30"/>
  <c r="GH26" i="30" s="1"/>
  <c r="GH56" i="30" s="1"/>
  <c r="GI27" i="30"/>
  <c r="GI26" i="30" s="1"/>
  <c r="GI56" i="30" s="1"/>
  <c r="GJ27" i="30"/>
  <c r="GJ26" i="30" s="1"/>
  <c r="GJ56" i="30" s="1"/>
  <c r="GK27" i="30"/>
  <c r="GK26" i="30" s="1"/>
  <c r="GK56" i="30" s="1"/>
  <c r="GL27" i="30"/>
  <c r="GL26" i="30" s="1"/>
  <c r="GL56" i="30" s="1"/>
  <c r="GM27" i="30"/>
  <c r="GM26" i="30" s="1"/>
  <c r="GM56" i="30" s="1"/>
  <c r="GN27" i="30"/>
  <c r="GN26" i="30" s="1"/>
  <c r="GN56" i="30" s="1"/>
  <c r="GO27" i="30"/>
  <c r="GO26" i="30" s="1"/>
  <c r="GO56" i="30" s="1"/>
  <c r="GP27" i="30"/>
  <c r="GP26" i="30" s="1"/>
  <c r="GP56" i="30" s="1"/>
  <c r="GQ27" i="30"/>
  <c r="GQ26" i="30" s="1"/>
  <c r="GQ56" i="30" s="1"/>
  <c r="GR27" i="30"/>
  <c r="GR26" i="30" s="1"/>
  <c r="GR56" i="30" s="1"/>
  <c r="GS27" i="30"/>
  <c r="GS26" i="30" s="1"/>
  <c r="GS56" i="30" s="1"/>
  <c r="GT27" i="30"/>
  <c r="GT26" i="30" s="1"/>
  <c r="GT56" i="30" s="1"/>
  <c r="GU27" i="30"/>
  <c r="GU26" i="30" s="1"/>
  <c r="GU56" i="30" s="1"/>
  <c r="GV27" i="30"/>
  <c r="GV26" i="30" s="1"/>
  <c r="GV56" i="30" s="1"/>
  <c r="GW27" i="30"/>
  <c r="GW26" i="30" s="1"/>
  <c r="GW56" i="30" s="1"/>
  <c r="GX27" i="30"/>
  <c r="GX26" i="30" s="1"/>
  <c r="GX56" i="30" s="1"/>
  <c r="GY27" i="30"/>
  <c r="GY26" i="30" s="1"/>
  <c r="GY56" i="30" s="1"/>
  <c r="GZ27" i="30"/>
  <c r="GZ26" i="30" s="1"/>
  <c r="GZ56" i="30" s="1"/>
  <c r="HA27" i="30"/>
  <c r="HA26" i="30" s="1"/>
  <c r="HA56" i="30" s="1"/>
  <c r="HB27" i="30"/>
  <c r="HB26" i="30" s="1"/>
  <c r="HB56" i="30" s="1"/>
  <c r="HC27" i="30"/>
  <c r="HC26" i="30" s="1"/>
  <c r="HC56" i="30" s="1"/>
  <c r="HD27" i="30"/>
  <c r="HD26" i="30" s="1"/>
  <c r="HD56" i="30" s="1"/>
  <c r="HE27" i="30"/>
  <c r="HE26" i="30" s="1"/>
  <c r="HE56" i="30" s="1"/>
  <c r="HF27" i="30"/>
  <c r="HF26" i="30" s="1"/>
  <c r="HF56" i="30" s="1"/>
  <c r="HG27" i="30"/>
  <c r="HG26" i="30" s="1"/>
  <c r="HG56" i="30" s="1"/>
  <c r="HH27" i="30"/>
  <c r="HH26" i="30" s="1"/>
  <c r="HH56" i="30" s="1"/>
  <c r="HI27" i="30"/>
  <c r="HI26" i="30" s="1"/>
  <c r="HI56" i="30" s="1"/>
  <c r="HJ27" i="30"/>
  <c r="HJ26" i="30" s="1"/>
  <c r="HJ56" i="30" s="1"/>
  <c r="HK27" i="30"/>
  <c r="HK26" i="30" s="1"/>
  <c r="HK56" i="30" s="1"/>
  <c r="HL27" i="30"/>
  <c r="HL26" i="30" s="1"/>
  <c r="HL56" i="30" s="1"/>
  <c r="HM27" i="30"/>
  <c r="HM26" i="30" s="1"/>
  <c r="HM56" i="30" s="1"/>
  <c r="HN27" i="30"/>
  <c r="HN26" i="30" s="1"/>
  <c r="HN56" i="30" s="1"/>
  <c r="HO27" i="30"/>
  <c r="HO26" i="30" s="1"/>
  <c r="HO56" i="30" s="1"/>
  <c r="HP27" i="30"/>
  <c r="HP26" i="30" s="1"/>
  <c r="HP56" i="30" s="1"/>
  <c r="HQ27" i="30"/>
  <c r="HQ26" i="30" s="1"/>
  <c r="HQ56" i="30" s="1"/>
  <c r="HR27" i="30"/>
  <c r="HR26" i="30" s="1"/>
  <c r="HR56" i="30" s="1"/>
  <c r="HS27" i="30"/>
  <c r="HS26" i="30" s="1"/>
  <c r="HS56" i="30" s="1"/>
  <c r="HT27" i="30"/>
  <c r="HT26" i="30" s="1"/>
  <c r="HT56" i="30" s="1"/>
  <c r="HU27" i="30"/>
  <c r="HU26" i="30" s="1"/>
  <c r="HU56" i="30" s="1"/>
  <c r="HV27" i="30"/>
  <c r="HV26" i="30" s="1"/>
  <c r="HV56" i="30" s="1"/>
  <c r="HW27" i="30"/>
  <c r="HW26" i="30" s="1"/>
  <c r="HW56" i="30" s="1"/>
  <c r="HX27" i="30"/>
  <c r="HX26" i="30" s="1"/>
  <c r="HX56" i="30" s="1"/>
  <c r="HY27" i="30"/>
  <c r="HY26" i="30" s="1"/>
  <c r="HY56" i="30" s="1"/>
  <c r="HZ27" i="30"/>
  <c r="HZ26" i="30" s="1"/>
  <c r="HZ56" i="30" s="1"/>
  <c r="IA27" i="30"/>
  <c r="IA26" i="30" s="1"/>
  <c r="IA56" i="30" s="1"/>
  <c r="IB27" i="30"/>
  <c r="IB26" i="30" s="1"/>
  <c r="IB56" i="30" s="1"/>
  <c r="IC27" i="30"/>
  <c r="IC26" i="30" s="1"/>
  <c r="IC56" i="30" s="1"/>
  <c r="ID27" i="30"/>
  <c r="ID26" i="30" s="1"/>
  <c r="ID56" i="30" s="1"/>
  <c r="IE27" i="30"/>
  <c r="IE26" i="30" s="1"/>
  <c r="IE56" i="30" s="1"/>
  <c r="IF27" i="30"/>
  <c r="IF26" i="30" s="1"/>
  <c r="IF56" i="30" s="1"/>
  <c r="IG27" i="30"/>
  <c r="IG26" i="30" s="1"/>
  <c r="IG56" i="30" s="1"/>
  <c r="IH27" i="30"/>
  <c r="IH26" i="30" s="1"/>
  <c r="IH56" i="30" s="1"/>
  <c r="II27" i="30"/>
  <c r="II26" i="30" s="1"/>
  <c r="II56" i="30" s="1"/>
  <c r="IJ27" i="30"/>
  <c r="IJ26" i="30" s="1"/>
  <c r="IJ56" i="30" s="1"/>
  <c r="IK27" i="30"/>
  <c r="IK26" i="30" s="1"/>
  <c r="IK56" i="30" s="1"/>
  <c r="IL27" i="30"/>
  <c r="IL26" i="30" s="1"/>
  <c r="IL56" i="30" s="1"/>
  <c r="IM27" i="30"/>
  <c r="IM26" i="30" s="1"/>
  <c r="IM56" i="30" s="1"/>
  <c r="IN27" i="30"/>
  <c r="IN26" i="30" s="1"/>
  <c r="IN56" i="30" s="1"/>
  <c r="IO27" i="30"/>
  <c r="IO26" i="30" s="1"/>
  <c r="IO56" i="30" s="1"/>
  <c r="IP27" i="30"/>
  <c r="IP26" i="30" s="1"/>
  <c r="IP56" i="30" s="1"/>
  <c r="IQ27" i="30"/>
  <c r="IQ26" i="30" s="1"/>
  <c r="IQ56" i="30" s="1"/>
  <c r="IR27" i="30"/>
  <c r="IR26" i="30" s="1"/>
  <c r="IR56" i="30" s="1"/>
  <c r="IS27" i="30"/>
  <c r="IS26" i="30" s="1"/>
  <c r="IS56" i="30" s="1"/>
  <c r="IT27" i="30"/>
  <c r="IT26" i="30" s="1"/>
  <c r="IT56" i="30" s="1"/>
  <c r="IU27" i="30"/>
  <c r="IU26" i="30" s="1"/>
  <c r="IU56" i="30" s="1"/>
  <c r="IV27" i="30"/>
  <c r="IV26" i="30" s="1"/>
  <c r="IV56" i="30" s="1"/>
  <c r="IW27" i="30"/>
  <c r="IW26" i="30" s="1"/>
  <c r="IW56" i="30" s="1"/>
  <c r="IX27" i="30"/>
  <c r="IX26" i="30" s="1"/>
  <c r="IX56" i="30" s="1"/>
  <c r="IY27" i="30"/>
  <c r="IY26" i="30" s="1"/>
  <c r="IY56" i="30" s="1"/>
  <c r="IZ27" i="30"/>
  <c r="IZ26" i="30" s="1"/>
  <c r="IZ56" i="30" s="1"/>
  <c r="JA27" i="30"/>
  <c r="JA26" i="30" s="1"/>
  <c r="JA56" i="30" s="1"/>
  <c r="JB27" i="30"/>
  <c r="JB26" i="30" s="1"/>
  <c r="JB56" i="30" s="1"/>
  <c r="JC27" i="30"/>
  <c r="JC26" i="30" s="1"/>
  <c r="JC56" i="30" s="1"/>
  <c r="JD27" i="30"/>
  <c r="JD26" i="30" s="1"/>
  <c r="JD56" i="30" s="1"/>
  <c r="JE27" i="30"/>
  <c r="JE26" i="30" s="1"/>
  <c r="JE56" i="30" s="1"/>
  <c r="JF27" i="30"/>
  <c r="JF26" i="30" s="1"/>
  <c r="JF56" i="30" s="1"/>
  <c r="JG27" i="30"/>
  <c r="JG26" i="30" s="1"/>
  <c r="JG56" i="30" s="1"/>
  <c r="JH27" i="30"/>
  <c r="JH26" i="30" s="1"/>
  <c r="JH56" i="30" s="1"/>
  <c r="JI27" i="30"/>
  <c r="JI26" i="30" s="1"/>
  <c r="JI56" i="30" s="1"/>
  <c r="JJ27" i="30"/>
  <c r="JJ26" i="30" s="1"/>
  <c r="JJ56" i="30" s="1"/>
  <c r="JK27" i="30"/>
  <c r="JK26" i="30" s="1"/>
  <c r="JK56" i="30" s="1"/>
  <c r="JL27" i="30"/>
  <c r="JL26" i="30" s="1"/>
  <c r="JL56" i="30" s="1"/>
  <c r="JM27" i="30"/>
  <c r="JM26" i="30" s="1"/>
  <c r="JM56" i="30" s="1"/>
  <c r="JN27" i="30"/>
  <c r="JN26" i="30" s="1"/>
  <c r="JN56" i="30" s="1"/>
  <c r="JO27" i="30"/>
  <c r="JO26" i="30" s="1"/>
  <c r="JO56" i="30" s="1"/>
  <c r="JP27" i="30"/>
  <c r="JP26" i="30" s="1"/>
  <c r="JP56" i="30" s="1"/>
  <c r="JQ27" i="30"/>
  <c r="JQ26" i="30" s="1"/>
  <c r="JQ56" i="30" s="1"/>
  <c r="JR27" i="30"/>
  <c r="JR26" i="30" s="1"/>
  <c r="JR56" i="30" s="1"/>
  <c r="JS27" i="30"/>
  <c r="JS26" i="30" s="1"/>
  <c r="JS56" i="30" s="1"/>
  <c r="JT27" i="30"/>
  <c r="JT26" i="30" s="1"/>
  <c r="JT56" i="30" s="1"/>
  <c r="JU27" i="30"/>
  <c r="JU26" i="30" s="1"/>
  <c r="JU56" i="30" s="1"/>
  <c r="JV27" i="30"/>
  <c r="JV26" i="30" s="1"/>
  <c r="JV56" i="30" s="1"/>
  <c r="JW27" i="30"/>
  <c r="JW26" i="30" s="1"/>
  <c r="JW56" i="30" s="1"/>
  <c r="JX27" i="30"/>
  <c r="JX26" i="30" s="1"/>
  <c r="JX56" i="30" s="1"/>
  <c r="JY27" i="30"/>
  <c r="JY26" i="30" s="1"/>
  <c r="JY56" i="30" s="1"/>
  <c r="JZ27" i="30"/>
  <c r="JZ26" i="30" s="1"/>
  <c r="JZ56" i="30" s="1"/>
  <c r="KA27" i="30"/>
  <c r="KA26" i="30" s="1"/>
  <c r="KA56" i="30" s="1"/>
  <c r="KB27" i="30"/>
  <c r="KB26" i="30" s="1"/>
  <c r="KB56" i="30" s="1"/>
  <c r="KC27" i="30"/>
  <c r="KC26" i="30" s="1"/>
  <c r="KC56" i="30" s="1"/>
  <c r="KD27" i="30"/>
  <c r="KD26" i="30" s="1"/>
  <c r="KD56" i="30" s="1"/>
  <c r="KE27" i="30"/>
  <c r="KE26" i="30" s="1"/>
  <c r="KE56" i="30" s="1"/>
  <c r="E34" i="30"/>
  <c r="E33" i="30" s="1"/>
  <c r="E57" i="30" s="1"/>
  <c r="F34" i="30"/>
  <c r="F33" i="30" s="1"/>
  <c r="F57" i="30" s="1"/>
  <c r="G34" i="30"/>
  <c r="G33" i="30" s="1"/>
  <c r="G57" i="30" s="1"/>
  <c r="H34" i="30"/>
  <c r="H33" i="30" s="1"/>
  <c r="H57" i="30" s="1"/>
  <c r="I34" i="30"/>
  <c r="I33" i="30" s="1"/>
  <c r="I57" i="30" s="1"/>
  <c r="J34" i="30"/>
  <c r="J33" i="30" s="1"/>
  <c r="J57" i="30" s="1"/>
  <c r="K34" i="30"/>
  <c r="K33" i="30" s="1"/>
  <c r="K57" i="30" s="1"/>
  <c r="L34" i="30"/>
  <c r="L33" i="30" s="1"/>
  <c r="L57" i="30" s="1"/>
  <c r="M34" i="30"/>
  <c r="M33" i="30" s="1"/>
  <c r="M57" i="30" s="1"/>
  <c r="N34" i="30"/>
  <c r="N33" i="30" s="1"/>
  <c r="N57" i="30" s="1"/>
  <c r="O34" i="30"/>
  <c r="O33" i="30" s="1"/>
  <c r="O57" i="30" s="1"/>
  <c r="P34" i="30"/>
  <c r="P33" i="30" s="1"/>
  <c r="P57" i="30" s="1"/>
  <c r="Q34" i="30"/>
  <c r="Q33" i="30" s="1"/>
  <c r="Q57" i="30" s="1"/>
  <c r="R34" i="30"/>
  <c r="R33" i="30" s="1"/>
  <c r="R57" i="30" s="1"/>
  <c r="S34" i="30"/>
  <c r="S33" i="30" s="1"/>
  <c r="S57" i="30" s="1"/>
  <c r="T34" i="30"/>
  <c r="T33" i="30" s="1"/>
  <c r="T57" i="30" s="1"/>
  <c r="U34" i="30"/>
  <c r="U33" i="30" s="1"/>
  <c r="U57" i="30" s="1"/>
  <c r="V34" i="30"/>
  <c r="V33" i="30" s="1"/>
  <c r="V57" i="30" s="1"/>
  <c r="W34" i="30"/>
  <c r="W33" i="30" s="1"/>
  <c r="W57" i="30" s="1"/>
  <c r="X34" i="30"/>
  <c r="X33" i="30" s="1"/>
  <c r="X57" i="30" s="1"/>
  <c r="Y34" i="30"/>
  <c r="Y33" i="30" s="1"/>
  <c r="Y57" i="30" s="1"/>
  <c r="Z34" i="30"/>
  <c r="Z33" i="30" s="1"/>
  <c r="Z57" i="30" s="1"/>
  <c r="AA34" i="30"/>
  <c r="AA33" i="30" s="1"/>
  <c r="AA57" i="30" s="1"/>
  <c r="AB34" i="30"/>
  <c r="AB33" i="30" s="1"/>
  <c r="AB57" i="30" s="1"/>
  <c r="AC34" i="30"/>
  <c r="AC33" i="30" s="1"/>
  <c r="AC57" i="30" s="1"/>
  <c r="AD34" i="30"/>
  <c r="AD33" i="30" s="1"/>
  <c r="AD57" i="30" s="1"/>
  <c r="AE34" i="30"/>
  <c r="AE33" i="30" s="1"/>
  <c r="AE57" i="30" s="1"/>
  <c r="AF34" i="30"/>
  <c r="AF33" i="30" s="1"/>
  <c r="AF57" i="30" s="1"/>
  <c r="AG34" i="30"/>
  <c r="AG33" i="30" s="1"/>
  <c r="AG57" i="30" s="1"/>
  <c r="AH34" i="30"/>
  <c r="AH33" i="30" s="1"/>
  <c r="AH57" i="30" s="1"/>
  <c r="AI34" i="30"/>
  <c r="AI33" i="30" s="1"/>
  <c r="AI57" i="30" s="1"/>
  <c r="AJ34" i="30"/>
  <c r="AJ33" i="30" s="1"/>
  <c r="AJ57" i="30" s="1"/>
  <c r="AK34" i="30"/>
  <c r="AK33" i="30" s="1"/>
  <c r="AK57" i="30" s="1"/>
  <c r="AL34" i="30"/>
  <c r="AL33" i="30" s="1"/>
  <c r="AL57" i="30" s="1"/>
  <c r="AM34" i="30"/>
  <c r="AM33" i="30" s="1"/>
  <c r="AM57" i="30" s="1"/>
  <c r="AN34" i="30"/>
  <c r="AN33" i="30" s="1"/>
  <c r="AN57" i="30" s="1"/>
  <c r="AO34" i="30"/>
  <c r="AO33" i="30" s="1"/>
  <c r="AO57" i="30" s="1"/>
  <c r="AP34" i="30"/>
  <c r="AP33" i="30" s="1"/>
  <c r="AP57" i="30" s="1"/>
  <c r="AQ34" i="30"/>
  <c r="AQ33" i="30" s="1"/>
  <c r="AQ57" i="30" s="1"/>
  <c r="AR34" i="30"/>
  <c r="AR33" i="30" s="1"/>
  <c r="AR57" i="30" s="1"/>
  <c r="AS34" i="30"/>
  <c r="AS33" i="30" s="1"/>
  <c r="AS57" i="30" s="1"/>
  <c r="AT34" i="30"/>
  <c r="AT33" i="30" s="1"/>
  <c r="AT57" i="30" s="1"/>
  <c r="AU34" i="30"/>
  <c r="AU33" i="30" s="1"/>
  <c r="AU57" i="30" s="1"/>
  <c r="AV34" i="30"/>
  <c r="AV33" i="30" s="1"/>
  <c r="AV57" i="30" s="1"/>
  <c r="AW34" i="30"/>
  <c r="AW33" i="30" s="1"/>
  <c r="AW57" i="30" s="1"/>
  <c r="AX34" i="30"/>
  <c r="AX33" i="30" s="1"/>
  <c r="AX57" i="30" s="1"/>
  <c r="AY34" i="30"/>
  <c r="AY33" i="30" s="1"/>
  <c r="AY57" i="30" s="1"/>
  <c r="AZ34" i="30"/>
  <c r="AZ33" i="30" s="1"/>
  <c r="AZ57" i="30" s="1"/>
  <c r="BA34" i="30"/>
  <c r="BA33" i="30" s="1"/>
  <c r="BA57" i="30" s="1"/>
  <c r="BB34" i="30"/>
  <c r="BB33" i="30" s="1"/>
  <c r="BB57" i="30" s="1"/>
  <c r="BC34" i="30"/>
  <c r="BC33" i="30" s="1"/>
  <c r="BC57" i="30" s="1"/>
  <c r="BD34" i="30"/>
  <c r="BD33" i="30" s="1"/>
  <c r="BD57" i="30" s="1"/>
  <c r="BE34" i="30"/>
  <c r="BE33" i="30" s="1"/>
  <c r="BE57" i="30" s="1"/>
  <c r="BF34" i="30"/>
  <c r="BF33" i="30" s="1"/>
  <c r="BF57" i="30" s="1"/>
  <c r="BG34" i="30"/>
  <c r="BG33" i="30" s="1"/>
  <c r="BG57" i="30" s="1"/>
  <c r="BH34" i="30"/>
  <c r="BH33" i="30" s="1"/>
  <c r="BH57" i="30" s="1"/>
  <c r="BI33" i="30"/>
  <c r="BI57" i="30" s="1"/>
  <c r="BJ33" i="30"/>
  <c r="BJ57" i="30" s="1"/>
  <c r="BK33" i="30"/>
  <c r="BK57" i="30" s="1"/>
  <c r="BL33" i="30"/>
  <c r="BL57" i="30" s="1"/>
  <c r="BM33" i="30"/>
  <c r="BM57" i="30" s="1"/>
  <c r="BN33" i="30"/>
  <c r="BN57" i="30" s="1"/>
  <c r="BO33" i="30"/>
  <c r="BO57" i="30" s="1"/>
  <c r="BP33" i="30"/>
  <c r="BP57" i="30" s="1"/>
  <c r="BQ33" i="30"/>
  <c r="BQ57" i="30" s="1"/>
  <c r="BR33" i="30"/>
  <c r="BR57" i="30" s="1"/>
  <c r="BS33" i="30"/>
  <c r="BS57" i="30" s="1"/>
  <c r="BT33" i="30"/>
  <c r="BT57" i="30" s="1"/>
  <c r="BU33" i="30"/>
  <c r="BU57" i="30" s="1"/>
  <c r="BV33" i="30"/>
  <c r="BV57" i="30" s="1"/>
  <c r="BW33" i="30"/>
  <c r="BW57" i="30" s="1"/>
  <c r="BX34" i="30"/>
  <c r="BX33" i="30" s="1"/>
  <c r="BX57" i="30" s="1"/>
  <c r="BY34" i="30"/>
  <c r="BY33" i="30" s="1"/>
  <c r="BY57" i="30" s="1"/>
  <c r="BZ34" i="30"/>
  <c r="BZ33" i="30" s="1"/>
  <c r="BZ57" i="30" s="1"/>
  <c r="CA34" i="30"/>
  <c r="CA33" i="30" s="1"/>
  <c r="CA57" i="30" s="1"/>
  <c r="CB34" i="30"/>
  <c r="CB33" i="30" s="1"/>
  <c r="CB57" i="30" s="1"/>
  <c r="CC34" i="30"/>
  <c r="CC33" i="30" s="1"/>
  <c r="CC57" i="30" s="1"/>
  <c r="CD34" i="30"/>
  <c r="CD33" i="30" s="1"/>
  <c r="CD57" i="30" s="1"/>
  <c r="CE34" i="30"/>
  <c r="CE33" i="30" s="1"/>
  <c r="CE57" i="30" s="1"/>
  <c r="CF34" i="30"/>
  <c r="CF33" i="30" s="1"/>
  <c r="CF57" i="30" s="1"/>
  <c r="CG34" i="30"/>
  <c r="CG33" i="30" s="1"/>
  <c r="CG57" i="30" s="1"/>
  <c r="CH34" i="30"/>
  <c r="CH33" i="30" s="1"/>
  <c r="CH57" i="30" s="1"/>
  <c r="CI34" i="30"/>
  <c r="CI33" i="30" s="1"/>
  <c r="CI57" i="30" s="1"/>
  <c r="CJ34" i="30"/>
  <c r="CJ33" i="30" s="1"/>
  <c r="CJ57" i="30" s="1"/>
  <c r="CK34" i="30"/>
  <c r="CK33" i="30" s="1"/>
  <c r="CK57" i="30" s="1"/>
  <c r="CL34" i="30"/>
  <c r="CL33" i="30" s="1"/>
  <c r="CL57" i="30" s="1"/>
  <c r="CM34" i="30"/>
  <c r="CM33" i="30" s="1"/>
  <c r="CM57" i="30" s="1"/>
  <c r="CN34" i="30"/>
  <c r="CN33" i="30" s="1"/>
  <c r="CN57" i="30" s="1"/>
  <c r="CO34" i="30"/>
  <c r="CO33" i="30" s="1"/>
  <c r="CO57" i="30" s="1"/>
  <c r="CP34" i="30"/>
  <c r="CP33" i="30" s="1"/>
  <c r="CP57" i="30" s="1"/>
  <c r="CQ34" i="30"/>
  <c r="CQ33" i="30" s="1"/>
  <c r="CQ57" i="30" s="1"/>
  <c r="CR34" i="30"/>
  <c r="CR33" i="30" s="1"/>
  <c r="CR57" i="30" s="1"/>
  <c r="CS34" i="30"/>
  <c r="CS33" i="30" s="1"/>
  <c r="CS57" i="30" s="1"/>
  <c r="CT34" i="30"/>
  <c r="CT33" i="30" s="1"/>
  <c r="CT57" i="30" s="1"/>
  <c r="CU34" i="30"/>
  <c r="CU33" i="30" s="1"/>
  <c r="CU57" i="30" s="1"/>
  <c r="CV34" i="30"/>
  <c r="CV33" i="30" s="1"/>
  <c r="CV57" i="30" s="1"/>
  <c r="CW34" i="30"/>
  <c r="CW33" i="30" s="1"/>
  <c r="CW57" i="30" s="1"/>
  <c r="CX34" i="30"/>
  <c r="CX33" i="30" s="1"/>
  <c r="CX57" i="30" s="1"/>
  <c r="CY34" i="30"/>
  <c r="CY33" i="30" s="1"/>
  <c r="CY57" i="30" s="1"/>
  <c r="CZ34" i="30"/>
  <c r="CZ33" i="30" s="1"/>
  <c r="CZ57" i="30" s="1"/>
  <c r="DA34" i="30"/>
  <c r="DA33" i="30" s="1"/>
  <c r="DA57" i="30" s="1"/>
  <c r="DB34" i="30"/>
  <c r="DB33" i="30" s="1"/>
  <c r="DB57" i="30" s="1"/>
  <c r="DC34" i="30"/>
  <c r="DC33" i="30" s="1"/>
  <c r="DC57" i="30" s="1"/>
  <c r="DD34" i="30"/>
  <c r="DD33" i="30" s="1"/>
  <c r="DD57" i="30" s="1"/>
  <c r="DE34" i="30"/>
  <c r="DE33" i="30" s="1"/>
  <c r="DE57" i="30" s="1"/>
  <c r="DF34" i="30"/>
  <c r="DF33" i="30" s="1"/>
  <c r="DF57" i="30" s="1"/>
  <c r="DG34" i="30"/>
  <c r="DG33" i="30" s="1"/>
  <c r="DG57" i="30" s="1"/>
  <c r="DH34" i="30"/>
  <c r="DH33" i="30" s="1"/>
  <c r="DH57" i="30" s="1"/>
  <c r="DI34" i="30"/>
  <c r="DI33" i="30" s="1"/>
  <c r="DI57" i="30" s="1"/>
  <c r="DJ34" i="30"/>
  <c r="DJ33" i="30" s="1"/>
  <c r="DJ57" i="30" s="1"/>
  <c r="DK34" i="30"/>
  <c r="DK33" i="30" s="1"/>
  <c r="DK57" i="30" s="1"/>
  <c r="DL34" i="30"/>
  <c r="DL33" i="30" s="1"/>
  <c r="DL57" i="30" s="1"/>
  <c r="DM34" i="30"/>
  <c r="DM33" i="30" s="1"/>
  <c r="DM57" i="30" s="1"/>
  <c r="DN34" i="30"/>
  <c r="DN33" i="30" s="1"/>
  <c r="DN57" i="30" s="1"/>
  <c r="DO34" i="30"/>
  <c r="DO33" i="30" s="1"/>
  <c r="DO57" i="30" s="1"/>
  <c r="DP34" i="30"/>
  <c r="DP33" i="30" s="1"/>
  <c r="DP57" i="30" s="1"/>
  <c r="DQ34" i="30"/>
  <c r="DQ33" i="30" s="1"/>
  <c r="DQ57" i="30" s="1"/>
  <c r="DR34" i="30"/>
  <c r="DR33" i="30" s="1"/>
  <c r="DR57" i="30" s="1"/>
  <c r="DS34" i="30"/>
  <c r="DS33" i="30" s="1"/>
  <c r="DS57" i="30" s="1"/>
  <c r="DT34" i="30"/>
  <c r="DT33" i="30" s="1"/>
  <c r="DT57" i="30" s="1"/>
  <c r="DU34" i="30"/>
  <c r="DU33" i="30" s="1"/>
  <c r="DU57" i="30" s="1"/>
  <c r="DV34" i="30"/>
  <c r="DV33" i="30" s="1"/>
  <c r="DV57" i="30" s="1"/>
  <c r="DW34" i="30"/>
  <c r="DW33" i="30" s="1"/>
  <c r="DW57" i="30" s="1"/>
  <c r="DX34" i="30"/>
  <c r="DX33" i="30" s="1"/>
  <c r="DX57" i="30" s="1"/>
  <c r="DY34" i="30"/>
  <c r="DY33" i="30" s="1"/>
  <c r="DY57" i="30" s="1"/>
  <c r="DZ34" i="30"/>
  <c r="DZ33" i="30" s="1"/>
  <c r="DZ57" i="30" s="1"/>
  <c r="EA34" i="30"/>
  <c r="EA33" i="30" s="1"/>
  <c r="EA57" i="30" s="1"/>
  <c r="EB34" i="30"/>
  <c r="EB33" i="30" s="1"/>
  <c r="EB57" i="30" s="1"/>
  <c r="EC34" i="30"/>
  <c r="EC33" i="30" s="1"/>
  <c r="EC57" i="30" s="1"/>
  <c r="ED34" i="30"/>
  <c r="ED33" i="30" s="1"/>
  <c r="ED57" i="30" s="1"/>
  <c r="EE34" i="30"/>
  <c r="EE33" i="30" s="1"/>
  <c r="EE57" i="30" s="1"/>
  <c r="EF34" i="30"/>
  <c r="EF33" i="30" s="1"/>
  <c r="EF57" i="30" s="1"/>
  <c r="EG34" i="30"/>
  <c r="EG33" i="30" s="1"/>
  <c r="EG57" i="30" s="1"/>
  <c r="EH34" i="30"/>
  <c r="EH33" i="30" s="1"/>
  <c r="EH57" i="30" s="1"/>
  <c r="EI34" i="30"/>
  <c r="EI33" i="30" s="1"/>
  <c r="EI57" i="30" s="1"/>
  <c r="EJ34" i="30"/>
  <c r="EJ33" i="30" s="1"/>
  <c r="EJ57" i="30" s="1"/>
  <c r="EK34" i="30"/>
  <c r="EK33" i="30" s="1"/>
  <c r="EK57" i="30" s="1"/>
  <c r="EL34" i="30"/>
  <c r="EL33" i="30" s="1"/>
  <c r="EL57" i="30" s="1"/>
  <c r="EM34" i="30"/>
  <c r="EM33" i="30" s="1"/>
  <c r="EM57" i="30" s="1"/>
  <c r="EN34" i="30"/>
  <c r="EN33" i="30" s="1"/>
  <c r="EN57" i="30" s="1"/>
  <c r="EO34" i="30"/>
  <c r="EO33" i="30" s="1"/>
  <c r="EO57" i="30" s="1"/>
  <c r="EP34" i="30"/>
  <c r="EP33" i="30" s="1"/>
  <c r="EP57" i="30" s="1"/>
  <c r="EQ34" i="30"/>
  <c r="EQ33" i="30" s="1"/>
  <c r="EQ57" i="30" s="1"/>
  <c r="ER34" i="30"/>
  <c r="ER33" i="30" s="1"/>
  <c r="ER57" i="30" s="1"/>
  <c r="ES34" i="30"/>
  <c r="ES33" i="30" s="1"/>
  <c r="ES57" i="30" s="1"/>
  <c r="ET34" i="30"/>
  <c r="ET33" i="30" s="1"/>
  <c r="ET57" i="30" s="1"/>
  <c r="EU34" i="30"/>
  <c r="EU33" i="30" s="1"/>
  <c r="EU57" i="30" s="1"/>
  <c r="EV34" i="30"/>
  <c r="EV33" i="30" s="1"/>
  <c r="EV57" i="30" s="1"/>
  <c r="EW34" i="30"/>
  <c r="EW33" i="30" s="1"/>
  <c r="EW57" i="30" s="1"/>
  <c r="EX34" i="30"/>
  <c r="EX33" i="30" s="1"/>
  <c r="EX57" i="30" s="1"/>
  <c r="EY34" i="30"/>
  <c r="EY33" i="30" s="1"/>
  <c r="EY57" i="30" s="1"/>
  <c r="EZ34" i="30"/>
  <c r="EZ33" i="30" s="1"/>
  <c r="EZ57" i="30" s="1"/>
  <c r="FA34" i="30"/>
  <c r="FA33" i="30" s="1"/>
  <c r="FA57" i="30" s="1"/>
  <c r="FB34" i="30"/>
  <c r="FB33" i="30" s="1"/>
  <c r="FB57" i="30" s="1"/>
  <c r="FC34" i="30"/>
  <c r="FC33" i="30" s="1"/>
  <c r="FC57" i="30" s="1"/>
  <c r="FD34" i="30"/>
  <c r="FD33" i="30" s="1"/>
  <c r="FD57" i="30" s="1"/>
  <c r="FE34" i="30"/>
  <c r="FE33" i="30" s="1"/>
  <c r="FE57" i="30" s="1"/>
  <c r="FF34" i="30"/>
  <c r="FF33" i="30" s="1"/>
  <c r="FF57" i="30" s="1"/>
  <c r="FG34" i="30"/>
  <c r="FG33" i="30" s="1"/>
  <c r="FG57" i="30" s="1"/>
  <c r="FH34" i="30"/>
  <c r="FH33" i="30" s="1"/>
  <c r="FH57" i="30" s="1"/>
  <c r="FI34" i="30"/>
  <c r="FI33" i="30" s="1"/>
  <c r="FI57" i="30" s="1"/>
  <c r="FJ34" i="30"/>
  <c r="FJ33" i="30" s="1"/>
  <c r="FJ57" i="30" s="1"/>
  <c r="FK34" i="30"/>
  <c r="FK33" i="30" s="1"/>
  <c r="FK57" i="30" s="1"/>
  <c r="FL34" i="30"/>
  <c r="FL33" i="30" s="1"/>
  <c r="FL57" i="30" s="1"/>
  <c r="FM34" i="30"/>
  <c r="FM33" i="30" s="1"/>
  <c r="FM57" i="30" s="1"/>
  <c r="FN34" i="30"/>
  <c r="FN33" i="30" s="1"/>
  <c r="FN57" i="30" s="1"/>
  <c r="FO34" i="30"/>
  <c r="FO33" i="30" s="1"/>
  <c r="FO57" i="30" s="1"/>
  <c r="FP34" i="30"/>
  <c r="FP33" i="30" s="1"/>
  <c r="FP57" i="30" s="1"/>
  <c r="FQ34" i="30"/>
  <c r="FQ33" i="30" s="1"/>
  <c r="FQ57" i="30" s="1"/>
  <c r="FR34" i="30"/>
  <c r="FR33" i="30" s="1"/>
  <c r="FR57" i="30" s="1"/>
  <c r="FS34" i="30"/>
  <c r="FS33" i="30" s="1"/>
  <c r="FS57" i="30" s="1"/>
  <c r="FT34" i="30"/>
  <c r="FT33" i="30" s="1"/>
  <c r="FT57" i="30" s="1"/>
  <c r="FU34" i="30"/>
  <c r="FU33" i="30" s="1"/>
  <c r="FU57" i="30" s="1"/>
  <c r="FV34" i="30"/>
  <c r="FV33" i="30" s="1"/>
  <c r="FV57" i="30" s="1"/>
  <c r="FW34" i="30"/>
  <c r="FW33" i="30" s="1"/>
  <c r="FW57" i="30" s="1"/>
  <c r="FX34" i="30"/>
  <c r="FX33" i="30" s="1"/>
  <c r="FX57" i="30" s="1"/>
  <c r="FY34" i="30"/>
  <c r="FY33" i="30" s="1"/>
  <c r="FY57" i="30" s="1"/>
  <c r="FZ34" i="30"/>
  <c r="FZ33" i="30" s="1"/>
  <c r="FZ57" i="30" s="1"/>
  <c r="GA34" i="30"/>
  <c r="GA33" i="30" s="1"/>
  <c r="GA57" i="30" s="1"/>
  <c r="GB34" i="30"/>
  <c r="GB33" i="30" s="1"/>
  <c r="GB57" i="30" s="1"/>
  <c r="GC34" i="30"/>
  <c r="GC33" i="30" s="1"/>
  <c r="GC57" i="30" s="1"/>
  <c r="GD34" i="30"/>
  <c r="GD33" i="30" s="1"/>
  <c r="GD57" i="30" s="1"/>
  <c r="GE34" i="30"/>
  <c r="GE33" i="30" s="1"/>
  <c r="GE57" i="30" s="1"/>
  <c r="GF34" i="30"/>
  <c r="GF33" i="30" s="1"/>
  <c r="GF57" i="30" s="1"/>
  <c r="GG34" i="30"/>
  <c r="GG33" i="30" s="1"/>
  <c r="GG57" i="30" s="1"/>
  <c r="GH34" i="30"/>
  <c r="GH33" i="30" s="1"/>
  <c r="GH57" i="30" s="1"/>
  <c r="GI34" i="30"/>
  <c r="GI33" i="30" s="1"/>
  <c r="GI57" i="30" s="1"/>
  <c r="GJ34" i="30"/>
  <c r="GJ33" i="30" s="1"/>
  <c r="GJ57" i="30" s="1"/>
  <c r="GK34" i="30"/>
  <c r="GK33" i="30" s="1"/>
  <c r="GK57" i="30" s="1"/>
  <c r="GL34" i="30"/>
  <c r="GL33" i="30" s="1"/>
  <c r="GL57" i="30" s="1"/>
  <c r="GM34" i="30"/>
  <c r="GM33" i="30" s="1"/>
  <c r="GM57" i="30" s="1"/>
  <c r="GN34" i="30"/>
  <c r="GN33" i="30" s="1"/>
  <c r="GN57" i="30" s="1"/>
  <c r="GO34" i="30"/>
  <c r="GO33" i="30" s="1"/>
  <c r="GO57" i="30" s="1"/>
  <c r="GP34" i="30"/>
  <c r="GP33" i="30" s="1"/>
  <c r="GP57" i="30" s="1"/>
  <c r="GQ34" i="30"/>
  <c r="GQ33" i="30" s="1"/>
  <c r="GQ57" i="30" s="1"/>
  <c r="GR34" i="30"/>
  <c r="GR33" i="30" s="1"/>
  <c r="GR57" i="30" s="1"/>
  <c r="GS34" i="30"/>
  <c r="GS33" i="30" s="1"/>
  <c r="GS57" i="30" s="1"/>
  <c r="GT34" i="30"/>
  <c r="GT33" i="30" s="1"/>
  <c r="GT57" i="30" s="1"/>
  <c r="GU34" i="30"/>
  <c r="GU33" i="30" s="1"/>
  <c r="GU57" i="30" s="1"/>
  <c r="GV34" i="30"/>
  <c r="GV33" i="30" s="1"/>
  <c r="GV57" i="30" s="1"/>
  <c r="GW34" i="30"/>
  <c r="GW33" i="30" s="1"/>
  <c r="GW57" i="30" s="1"/>
  <c r="GX34" i="30"/>
  <c r="GX33" i="30" s="1"/>
  <c r="GX57" i="30" s="1"/>
  <c r="GY34" i="30"/>
  <c r="GY33" i="30" s="1"/>
  <c r="GY57" i="30" s="1"/>
  <c r="GZ34" i="30"/>
  <c r="GZ33" i="30" s="1"/>
  <c r="GZ57" i="30" s="1"/>
  <c r="HA34" i="30"/>
  <c r="HA33" i="30" s="1"/>
  <c r="HA57" i="30" s="1"/>
  <c r="HB34" i="30"/>
  <c r="HB33" i="30" s="1"/>
  <c r="HB57" i="30" s="1"/>
  <c r="HC34" i="30"/>
  <c r="HC33" i="30" s="1"/>
  <c r="HC57" i="30" s="1"/>
  <c r="HD34" i="30"/>
  <c r="HD33" i="30" s="1"/>
  <c r="HD57" i="30" s="1"/>
  <c r="HE34" i="30"/>
  <c r="HE33" i="30" s="1"/>
  <c r="HE57" i="30" s="1"/>
  <c r="HF34" i="30"/>
  <c r="HF33" i="30" s="1"/>
  <c r="HF57" i="30" s="1"/>
  <c r="HG34" i="30"/>
  <c r="HG33" i="30" s="1"/>
  <c r="HG57" i="30" s="1"/>
  <c r="HH34" i="30"/>
  <c r="HH33" i="30" s="1"/>
  <c r="HH57" i="30" s="1"/>
  <c r="HI34" i="30"/>
  <c r="HI33" i="30" s="1"/>
  <c r="HI57" i="30" s="1"/>
  <c r="HJ34" i="30"/>
  <c r="HJ33" i="30" s="1"/>
  <c r="HJ57" i="30" s="1"/>
  <c r="HK34" i="30"/>
  <c r="HK33" i="30" s="1"/>
  <c r="HK57" i="30" s="1"/>
  <c r="HL34" i="30"/>
  <c r="HL33" i="30" s="1"/>
  <c r="HL57" i="30" s="1"/>
  <c r="HM34" i="30"/>
  <c r="HM33" i="30" s="1"/>
  <c r="HM57" i="30" s="1"/>
  <c r="HN34" i="30"/>
  <c r="HN33" i="30" s="1"/>
  <c r="HN57" i="30" s="1"/>
  <c r="HO34" i="30"/>
  <c r="HO33" i="30" s="1"/>
  <c r="HO57" i="30" s="1"/>
  <c r="HP34" i="30"/>
  <c r="HP33" i="30" s="1"/>
  <c r="HP57" i="30" s="1"/>
  <c r="HQ34" i="30"/>
  <c r="HQ33" i="30" s="1"/>
  <c r="HQ57" i="30" s="1"/>
  <c r="HR34" i="30"/>
  <c r="HR33" i="30" s="1"/>
  <c r="HR57" i="30" s="1"/>
  <c r="HS34" i="30"/>
  <c r="HS33" i="30" s="1"/>
  <c r="HS57" i="30" s="1"/>
  <c r="HT34" i="30"/>
  <c r="HT33" i="30" s="1"/>
  <c r="HT57" i="30" s="1"/>
  <c r="HU34" i="30"/>
  <c r="HU33" i="30" s="1"/>
  <c r="HU57" i="30" s="1"/>
  <c r="HV34" i="30"/>
  <c r="HV33" i="30" s="1"/>
  <c r="HV57" i="30" s="1"/>
  <c r="HW34" i="30"/>
  <c r="HW33" i="30" s="1"/>
  <c r="HW57" i="30" s="1"/>
  <c r="HX34" i="30"/>
  <c r="HX33" i="30" s="1"/>
  <c r="HX57" i="30" s="1"/>
  <c r="HY34" i="30"/>
  <c r="HY33" i="30" s="1"/>
  <c r="HY57" i="30" s="1"/>
  <c r="HZ34" i="30"/>
  <c r="HZ33" i="30" s="1"/>
  <c r="HZ57" i="30" s="1"/>
  <c r="IA34" i="30"/>
  <c r="IA33" i="30" s="1"/>
  <c r="IA57" i="30" s="1"/>
  <c r="IB34" i="30"/>
  <c r="IB33" i="30" s="1"/>
  <c r="IB57" i="30" s="1"/>
  <c r="IC34" i="30"/>
  <c r="IC33" i="30" s="1"/>
  <c r="IC57" i="30" s="1"/>
  <c r="ID34" i="30"/>
  <c r="ID33" i="30" s="1"/>
  <c r="ID57" i="30" s="1"/>
  <c r="IE34" i="30"/>
  <c r="IE33" i="30" s="1"/>
  <c r="IE57" i="30" s="1"/>
  <c r="IF34" i="30"/>
  <c r="IF33" i="30" s="1"/>
  <c r="IF57" i="30" s="1"/>
  <c r="IG34" i="30"/>
  <c r="IG33" i="30" s="1"/>
  <c r="IG57" i="30" s="1"/>
  <c r="IH34" i="30"/>
  <c r="IH33" i="30" s="1"/>
  <c r="IH57" i="30" s="1"/>
  <c r="II34" i="30"/>
  <c r="II33" i="30" s="1"/>
  <c r="II57" i="30" s="1"/>
  <c r="IJ34" i="30"/>
  <c r="IJ33" i="30" s="1"/>
  <c r="IJ57" i="30" s="1"/>
  <c r="IK34" i="30"/>
  <c r="IK33" i="30" s="1"/>
  <c r="IK57" i="30" s="1"/>
  <c r="IL34" i="30"/>
  <c r="IL33" i="30" s="1"/>
  <c r="IL57" i="30" s="1"/>
  <c r="IM34" i="30"/>
  <c r="IM33" i="30" s="1"/>
  <c r="IM57" i="30" s="1"/>
  <c r="IN34" i="30"/>
  <c r="IN33" i="30" s="1"/>
  <c r="IN57" i="30" s="1"/>
  <c r="IO34" i="30"/>
  <c r="IO33" i="30" s="1"/>
  <c r="IO57" i="30" s="1"/>
  <c r="IP34" i="30"/>
  <c r="IP33" i="30" s="1"/>
  <c r="IP57" i="30" s="1"/>
  <c r="IQ34" i="30"/>
  <c r="IQ33" i="30" s="1"/>
  <c r="IQ57" i="30" s="1"/>
  <c r="IR34" i="30"/>
  <c r="IR33" i="30" s="1"/>
  <c r="IR57" i="30" s="1"/>
  <c r="IS34" i="30"/>
  <c r="IS33" i="30" s="1"/>
  <c r="IS57" i="30" s="1"/>
  <c r="IT34" i="30"/>
  <c r="IT33" i="30" s="1"/>
  <c r="IT57" i="30" s="1"/>
  <c r="IU34" i="30"/>
  <c r="IU33" i="30" s="1"/>
  <c r="IU57" i="30" s="1"/>
  <c r="IV34" i="30"/>
  <c r="IV33" i="30" s="1"/>
  <c r="IV57" i="30" s="1"/>
  <c r="IW34" i="30"/>
  <c r="IW33" i="30" s="1"/>
  <c r="IW57" i="30" s="1"/>
  <c r="IX34" i="30"/>
  <c r="IX33" i="30" s="1"/>
  <c r="IX57" i="30" s="1"/>
  <c r="IY34" i="30"/>
  <c r="IY33" i="30" s="1"/>
  <c r="IY57" i="30" s="1"/>
  <c r="IZ34" i="30"/>
  <c r="IZ33" i="30" s="1"/>
  <c r="IZ57" i="30" s="1"/>
  <c r="JA34" i="30"/>
  <c r="JA33" i="30" s="1"/>
  <c r="JA57" i="30" s="1"/>
  <c r="JB34" i="30"/>
  <c r="JB33" i="30" s="1"/>
  <c r="JB57" i="30" s="1"/>
  <c r="JC34" i="30"/>
  <c r="JC33" i="30" s="1"/>
  <c r="JC57" i="30" s="1"/>
  <c r="JD34" i="30"/>
  <c r="JD33" i="30" s="1"/>
  <c r="JD57" i="30" s="1"/>
  <c r="JE34" i="30"/>
  <c r="JE33" i="30" s="1"/>
  <c r="JE57" i="30" s="1"/>
  <c r="JF34" i="30"/>
  <c r="JF33" i="30" s="1"/>
  <c r="JF57" i="30" s="1"/>
  <c r="JG34" i="30"/>
  <c r="JG33" i="30" s="1"/>
  <c r="JG57" i="30" s="1"/>
  <c r="JH34" i="30"/>
  <c r="JH33" i="30" s="1"/>
  <c r="JH57" i="30" s="1"/>
  <c r="JI34" i="30"/>
  <c r="JI33" i="30" s="1"/>
  <c r="JI57" i="30" s="1"/>
  <c r="JJ34" i="30"/>
  <c r="JJ33" i="30" s="1"/>
  <c r="JJ57" i="30" s="1"/>
  <c r="JK34" i="30"/>
  <c r="JK33" i="30" s="1"/>
  <c r="JK57" i="30" s="1"/>
  <c r="JL34" i="30"/>
  <c r="JL33" i="30" s="1"/>
  <c r="JL57" i="30" s="1"/>
  <c r="JM34" i="30"/>
  <c r="JM33" i="30" s="1"/>
  <c r="JM57" i="30" s="1"/>
  <c r="JN34" i="30"/>
  <c r="JN33" i="30" s="1"/>
  <c r="JN57" i="30" s="1"/>
  <c r="JO34" i="30"/>
  <c r="JO33" i="30" s="1"/>
  <c r="JO57" i="30" s="1"/>
  <c r="JP34" i="30"/>
  <c r="JP33" i="30" s="1"/>
  <c r="JP57" i="30" s="1"/>
  <c r="JQ34" i="30"/>
  <c r="JQ33" i="30" s="1"/>
  <c r="JQ57" i="30" s="1"/>
  <c r="JR34" i="30"/>
  <c r="JR33" i="30" s="1"/>
  <c r="JR57" i="30" s="1"/>
  <c r="JS34" i="30"/>
  <c r="JS33" i="30" s="1"/>
  <c r="JS57" i="30" s="1"/>
  <c r="JT34" i="30"/>
  <c r="JT33" i="30" s="1"/>
  <c r="JT57" i="30" s="1"/>
  <c r="JU34" i="30"/>
  <c r="JU33" i="30" s="1"/>
  <c r="JU57" i="30" s="1"/>
  <c r="JV34" i="30"/>
  <c r="JV33" i="30" s="1"/>
  <c r="JV57" i="30" s="1"/>
  <c r="JW34" i="30"/>
  <c r="JW33" i="30" s="1"/>
  <c r="JW57" i="30" s="1"/>
  <c r="JX34" i="30"/>
  <c r="JX33" i="30" s="1"/>
  <c r="JX57" i="30" s="1"/>
  <c r="JY34" i="30"/>
  <c r="JY33" i="30" s="1"/>
  <c r="JY57" i="30" s="1"/>
  <c r="JZ34" i="30"/>
  <c r="JZ33" i="30" s="1"/>
  <c r="JZ57" i="30" s="1"/>
  <c r="KA34" i="30"/>
  <c r="KA33" i="30" s="1"/>
  <c r="KA57" i="30" s="1"/>
  <c r="KB34" i="30"/>
  <c r="KB33" i="30" s="1"/>
  <c r="KB57" i="30" s="1"/>
  <c r="KC34" i="30"/>
  <c r="KC33" i="30" s="1"/>
  <c r="KC57" i="30" s="1"/>
  <c r="KD34" i="30"/>
  <c r="KD33" i="30" s="1"/>
  <c r="KD57" i="30" s="1"/>
  <c r="KE34" i="30"/>
  <c r="KE33" i="30" s="1"/>
  <c r="KE57" i="30" s="1"/>
  <c r="H40" i="30"/>
  <c r="H39" i="30" s="1"/>
  <c r="H58" i="30" s="1"/>
  <c r="I40" i="30"/>
  <c r="I39" i="30" s="1"/>
  <c r="I58" i="30" s="1"/>
  <c r="J40" i="30"/>
  <c r="J39" i="30" s="1"/>
  <c r="J58" i="30" s="1"/>
  <c r="K40" i="30"/>
  <c r="K39" i="30" s="1"/>
  <c r="K58" i="30" s="1"/>
  <c r="L40" i="30"/>
  <c r="L39" i="30" s="1"/>
  <c r="L58" i="30" s="1"/>
  <c r="R40" i="30"/>
  <c r="R39" i="30" s="1"/>
  <c r="R58" i="30" s="1"/>
  <c r="S40" i="30"/>
  <c r="S39" i="30" s="1"/>
  <c r="S58" i="30" s="1"/>
  <c r="T40" i="30"/>
  <c r="T39" i="30" s="1"/>
  <c r="T58" i="30" s="1"/>
  <c r="U40" i="30"/>
  <c r="U39" i="30" s="1"/>
  <c r="U58" i="30" s="1"/>
  <c r="V40" i="30"/>
  <c r="V39" i="30" s="1"/>
  <c r="V58" i="30" s="1"/>
  <c r="W40" i="30"/>
  <c r="W39" i="30" s="1"/>
  <c r="W58" i="30" s="1"/>
  <c r="X40" i="30"/>
  <c r="X39" i="30" s="1"/>
  <c r="X58" i="30" s="1"/>
  <c r="Y40" i="30"/>
  <c r="Y39" i="30" s="1"/>
  <c r="Y58" i="30" s="1"/>
  <c r="Z40" i="30"/>
  <c r="Z39" i="30" s="1"/>
  <c r="Z58" i="30" s="1"/>
  <c r="AA40" i="30"/>
  <c r="AA39" i="30" s="1"/>
  <c r="AA58" i="30" s="1"/>
  <c r="AB40" i="30"/>
  <c r="AB39" i="30" s="1"/>
  <c r="AB58" i="30" s="1"/>
  <c r="AC40" i="30"/>
  <c r="AC39" i="30" s="1"/>
  <c r="AC58" i="30" s="1"/>
  <c r="AD40" i="30"/>
  <c r="AD39" i="30" s="1"/>
  <c r="AD58" i="30" s="1"/>
  <c r="AE40" i="30"/>
  <c r="AE39" i="30" s="1"/>
  <c r="AE58" i="30" s="1"/>
  <c r="AF40" i="30"/>
  <c r="AF39" i="30" s="1"/>
  <c r="AF58" i="30" s="1"/>
  <c r="AG40" i="30"/>
  <c r="AG39" i="30" s="1"/>
  <c r="AG58" i="30" s="1"/>
  <c r="AH40" i="30"/>
  <c r="AH39" i="30" s="1"/>
  <c r="AH58" i="30" s="1"/>
  <c r="AI40" i="30"/>
  <c r="AI39" i="30" s="1"/>
  <c r="AI58" i="30" s="1"/>
  <c r="AJ40" i="30"/>
  <c r="AJ39" i="30" s="1"/>
  <c r="AJ58" i="30" s="1"/>
  <c r="AK40" i="30"/>
  <c r="AK39" i="30" s="1"/>
  <c r="AK58" i="30" s="1"/>
  <c r="AL40" i="30"/>
  <c r="AL39" i="30" s="1"/>
  <c r="AL58" i="30" s="1"/>
  <c r="AM40" i="30"/>
  <c r="AM39" i="30" s="1"/>
  <c r="AM58" i="30" s="1"/>
  <c r="AN40" i="30"/>
  <c r="AN39" i="30" s="1"/>
  <c r="AN58" i="30" s="1"/>
  <c r="AO40" i="30"/>
  <c r="AO39" i="30" s="1"/>
  <c r="AO58" i="30" s="1"/>
  <c r="AP40" i="30"/>
  <c r="AP39" i="30" s="1"/>
  <c r="AP58" i="30" s="1"/>
  <c r="AQ40" i="30"/>
  <c r="AQ39" i="30" s="1"/>
  <c r="AQ58" i="30" s="1"/>
  <c r="AR40" i="30"/>
  <c r="AR39" i="30" s="1"/>
  <c r="AR58" i="30" s="1"/>
  <c r="AS40" i="30"/>
  <c r="AS39" i="30" s="1"/>
  <c r="AS58" i="30" s="1"/>
  <c r="AT40" i="30"/>
  <c r="AT39" i="30" s="1"/>
  <c r="AT58" i="30" s="1"/>
  <c r="AU40" i="30"/>
  <c r="AU39" i="30" s="1"/>
  <c r="AU58" i="30" s="1"/>
  <c r="AV40" i="30"/>
  <c r="AV39" i="30" s="1"/>
  <c r="AV58" i="30" s="1"/>
  <c r="AW40" i="30"/>
  <c r="AW39" i="30" s="1"/>
  <c r="AW58" i="30" s="1"/>
  <c r="AX40" i="30"/>
  <c r="AX39" i="30" s="1"/>
  <c r="AX58" i="30" s="1"/>
  <c r="AY40" i="30"/>
  <c r="AY39" i="30" s="1"/>
  <c r="AY58" i="30" s="1"/>
  <c r="AZ40" i="30"/>
  <c r="AZ39" i="30" s="1"/>
  <c r="AZ58" i="30" s="1"/>
  <c r="BA40" i="30"/>
  <c r="BA39" i="30" s="1"/>
  <c r="BA58" i="30" s="1"/>
  <c r="BB40" i="30"/>
  <c r="BB39" i="30" s="1"/>
  <c r="BB58" i="30" s="1"/>
  <c r="BC40" i="30"/>
  <c r="BC39" i="30" s="1"/>
  <c r="BC58" i="30" s="1"/>
  <c r="BD40" i="30"/>
  <c r="BD39" i="30" s="1"/>
  <c r="BD58" i="30" s="1"/>
  <c r="BE40" i="30"/>
  <c r="BE39" i="30" s="1"/>
  <c r="BE58" i="30" s="1"/>
  <c r="BF40" i="30"/>
  <c r="BF39" i="30" s="1"/>
  <c r="BF58" i="30" s="1"/>
  <c r="BG40" i="30"/>
  <c r="BG39" i="30" s="1"/>
  <c r="BG58" i="30" s="1"/>
  <c r="BH40" i="30"/>
  <c r="BH39" i="30" s="1"/>
  <c r="BH58" i="30" s="1"/>
  <c r="BI40" i="30"/>
  <c r="BI39" i="30" s="1"/>
  <c r="BI58" i="30" s="1"/>
  <c r="BJ40" i="30"/>
  <c r="BJ39" i="30" s="1"/>
  <c r="BJ58" i="30" s="1"/>
  <c r="BK40" i="30"/>
  <c r="BK39" i="30" s="1"/>
  <c r="BK58" i="30" s="1"/>
  <c r="BL40" i="30"/>
  <c r="BL39" i="30" s="1"/>
  <c r="BL58" i="30" s="1"/>
  <c r="BM40" i="30"/>
  <c r="BM39" i="30" s="1"/>
  <c r="BM58" i="30" s="1"/>
  <c r="BN40" i="30"/>
  <c r="BN39" i="30" s="1"/>
  <c r="BN58" i="30" s="1"/>
  <c r="BO40" i="30"/>
  <c r="BO39" i="30" s="1"/>
  <c r="BO58" i="30" s="1"/>
  <c r="BP40" i="30"/>
  <c r="BP39" i="30" s="1"/>
  <c r="BP58" i="30" s="1"/>
  <c r="BQ40" i="30"/>
  <c r="BQ39" i="30" s="1"/>
  <c r="BQ58" i="30" s="1"/>
  <c r="BR40" i="30"/>
  <c r="BR39" i="30" s="1"/>
  <c r="BR58" i="30" s="1"/>
  <c r="BS40" i="30"/>
  <c r="BS39" i="30" s="1"/>
  <c r="BS58" i="30" s="1"/>
  <c r="BT40" i="30"/>
  <c r="BT39" i="30" s="1"/>
  <c r="BT58" i="30" s="1"/>
  <c r="BU40" i="30"/>
  <c r="BU39" i="30" s="1"/>
  <c r="BU58" i="30" s="1"/>
  <c r="BV40" i="30"/>
  <c r="BV39" i="30" s="1"/>
  <c r="BV58" i="30" s="1"/>
  <c r="BW40" i="30"/>
  <c r="BW39" i="30" s="1"/>
  <c r="BW58" i="30" s="1"/>
  <c r="BX40" i="30"/>
  <c r="BX39" i="30" s="1"/>
  <c r="BX58" i="30" s="1"/>
  <c r="BY40" i="30"/>
  <c r="BY39" i="30" s="1"/>
  <c r="BY58" i="30" s="1"/>
  <c r="BZ40" i="30"/>
  <c r="BZ39" i="30" s="1"/>
  <c r="BZ58" i="30" s="1"/>
  <c r="CA40" i="30"/>
  <c r="CA39" i="30" s="1"/>
  <c r="CA58" i="30" s="1"/>
  <c r="CB40" i="30"/>
  <c r="CB39" i="30" s="1"/>
  <c r="CB58" i="30" s="1"/>
  <c r="CC40" i="30"/>
  <c r="CC39" i="30" s="1"/>
  <c r="CC58" i="30" s="1"/>
  <c r="CD40" i="30"/>
  <c r="CD39" i="30" s="1"/>
  <c r="CD58" i="30" s="1"/>
  <c r="CE40" i="30"/>
  <c r="CE39" i="30" s="1"/>
  <c r="CE58" i="30" s="1"/>
  <c r="CF40" i="30"/>
  <c r="CF39" i="30" s="1"/>
  <c r="CF58" i="30" s="1"/>
  <c r="CG40" i="30"/>
  <c r="CG39" i="30" s="1"/>
  <c r="CG58" i="30" s="1"/>
  <c r="CH40" i="30"/>
  <c r="CH39" i="30" s="1"/>
  <c r="CH58" i="30" s="1"/>
  <c r="CI40" i="30"/>
  <c r="CI39" i="30" s="1"/>
  <c r="CI58" i="30" s="1"/>
  <c r="CJ40" i="30"/>
  <c r="CJ39" i="30" s="1"/>
  <c r="CJ58" i="30" s="1"/>
  <c r="CK58" i="30"/>
  <c r="CL40" i="30"/>
  <c r="CL39" i="30" s="1"/>
  <c r="CL58" i="30" s="1"/>
  <c r="CM40" i="30"/>
  <c r="CM39" i="30" s="1"/>
  <c r="CM58" i="30" s="1"/>
  <c r="CN40" i="30"/>
  <c r="CN39" i="30" s="1"/>
  <c r="CN58" i="30" s="1"/>
  <c r="CO40" i="30"/>
  <c r="CO39" i="30" s="1"/>
  <c r="CO58" i="30" s="1"/>
  <c r="CP40" i="30"/>
  <c r="CP39" i="30" s="1"/>
  <c r="CP58" i="30" s="1"/>
  <c r="CQ40" i="30"/>
  <c r="CQ39" i="30" s="1"/>
  <c r="CQ58" i="30" s="1"/>
  <c r="CR40" i="30"/>
  <c r="CR39" i="30" s="1"/>
  <c r="CR58" i="30" s="1"/>
  <c r="CS40" i="30"/>
  <c r="CS39" i="30" s="1"/>
  <c r="CS58" i="30" s="1"/>
  <c r="CT40" i="30"/>
  <c r="CT39" i="30" s="1"/>
  <c r="CT58" i="30" s="1"/>
  <c r="CU40" i="30"/>
  <c r="CU39" i="30" s="1"/>
  <c r="CU58" i="30" s="1"/>
  <c r="CV40" i="30"/>
  <c r="CV39" i="30" s="1"/>
  <c r="CV58" i="30" s="1"/>
  <c r="CW40" i="30"/>
  <c r="CW39" i="30" s="1"/>
  <c r="CW58" i="30" s="1"/>
  <c r="CX40" i="30"/>
  <c r="CX39" i="30" s="1"/>
  <c r="CX58" i="30" s="1"/>
  <c r="CY40" i="30"/>
  <c r="CY39" i="30" s="1"/>
  <c r="CY58" i="30" s="1"/>
  <c r="CZ40" i="30"/>
  <c r="CZ39" i="30" s="1"/>
  <c r="CZ58" i="30" s="1"/>
  <c r="DA40" i="30"/>
  <c r="DA39" i="30" s="1"/>
  <c r="DA58" i="30" s="1"/>
  <c r="DB40" i="30"/>
  <c r="DB39" i="30" s="1"/>
  <c r="DB58" i="30" s="1"/>
  <c r="DC40" i="30"/>
  <c r="DC39" i="30" s="1"/>
  <c r="DC58" i="30" s="1"/>
  <c r="DD40" i="30"/>
  <c r="DD39" i="30" s="1"/>
  <c r="DD58" i="30" s="1"/>
  <c r="DE40" i="30"/>
  <c r="DE39" i="30" s="1"/>
  <c r="DE58" i="30" s="1"/>
  <c r="DF40" i="30"/>
  <c r="DF39" i="30" s="1"/>
  <c r="DF58" i="30" s="1"/>
  <c r="DG40" i="30"/>
  <c r="DG39" i="30" s="1"/>
  <c r="DG58" i="30" s="1"/>
  <c r="DH40" i="30"/>
  <c r="DH39" i="30" s="1"/>
  <c r="DH58" i="30" s="1"/>
  <c r="DI40" i="30"/>
  <c r="DI39" i="30" s="1"/>
  <c r="DI58" i="30" s="1"/>
  <c r="DJ40" i="30"/>
  <c r="DJ39" i="30" s="1"/>
  <c r="DJ58" i="30" s="1"/>
  <c r="DK40" i="30"/>
  <c r="DK39" i="30" s="1"/>
  <c r="DK58" i="30" s="1"/>
  <c r="DL40" i="30"/>
  <c r="DL39" i="30" s="1"/>
  <c r="DL58" i="30" s="1"/>
  <c r="DM40" i="30"/>
  <c r="DM39" i="30" s="1"/>
  <c r="DM58" i="30" s="1"/>
  <c r="DN40" i="30"/>
  <c r="DN39" i="30" s="1"/>
  <c r="DN58" i="30" s="1"/>
  <c r="DO40" i="30"/>
  <c r="DO39" i="30" s="1"/>
  <c r="DO58" i="30" s="1"/>
  <c r="DP40" i="30"/>
  <c r="DP39" i="30" s="1"/>
  <c r="DP58" i="30" s="1"/>
  <c r="DQ40" i="30"/>
  <c r="DQ39" i="30" s="1"/>
  <c r="DQ58" i="30" s="1"/>
  <c r="DR40" i="30"/>
  <c r="DR39" i="30" s="1"/>
  <c r="DR58" i="30" s="1"/>
  <c r="DS40" i="30"/>
  <c r="DS39" i="30" s="1"/>
  <c r="DS58" i="30" s="1"/>
  <c r="DT40" i="30"/>
  <c r="DT39" i="30" s="1"/>
  <c r="DT58" i="30" s="1"/>
  <c r="DU40" i="30"/>
  <c r="DU39" i="30" s="1"/>
  <c r="DU58" i="30" s="1"/>
  <c r="DV40" i="30"/>
  <c r="DV39" i="30" s="1"/>
  <c r="DV58" i="30" s="1"/>
  <c r="DW40" i="30"/>
  <c r="DW39" i="30" s="1"/>
  <c r="DW58" i="30" s="1"/>
  <c r="DX40" i="30"/>
  <c r="DX39" i="30" s="1"/>
  <c r="DX58" i="30" s="1"/>
  <c r="DY40" i="30"/>
  <c r="DY39" i="30" s="1"/>
  <c r="DY58" i="30" s="1"/>
  <c r="DZ40" i="30"/>
  <c r="DZ39" i="30" s="1"/>
  <c r="DZ58" i="30" s="1"/>
  <c r="EA40" i="30"/>
  <c r="EA39" i="30" s="1"/>
  <c r="EA58" i="30" s="1"/>
  <c r="EB40" i="30"/>
  <c r="EB39" i="30" s="1"/>
  <c r="EB58" i="30" s="1"/>
  <c r="EC40" i="30"/>
  <c r="EC39" i="30" s="1"/>
  <c r="EC58" i="30" s="1"/>
  <c r="ED40" i="30"/>
  <c r="ED39" i="30" s="1"/>
  <c r="ED58" i="30" s="1"/>
  <c r="EE40" i="30"/>
  <c r="EE39" i="30" s="1"/>
  <c r="EE58" i="30" s="1"/>
  <c r="EF40" i="30"/>
  <c r="EF39" i="30" s="1"/>
  <c r="EF58" i="30" s="1"/>
  <c r="EG40" i="30"/>
  <c r="EG39" i="30" s="1"/>
  <c r="EG58" i="30" s="1"/>
  <c r="EH40" i="30"/>
  <c r="EH39" i="30" s="1"/>
  <c r="EH58" i="30" s="1"/>
  <c r="EI40" i="30"/>
  <c r="EI39" i="30" s="1"/>
  <c r="EI58" i="30" s="1"/>
  <c r="EJ40" i="30"/>
  <c r="EJ39" i="30" s="1"/>
  <c r="EJ58" i="30" s="1"/>
  <c r="EK40" i="30"/>
  <c r="EK39" i="30" s="1"/>
  <c r="EK58" i="30" s="1"/>
  <c r="EL40" i="30"/>
  <c r="EL39" i="30" s="1"/>
  <c r="EL58" i="30" s="1"/>
  <c r="EM40" i="30"/>
  <c r="EM39" i="30" s="1"/>
  <c r="EM58" i="30" s="1"/>
  <c r="EN40" i="30"/>
  <c r="EN39" i="30" s="1"/>
  <c r="EN58" i="30" s="1"/>
  <c r="EO40" i="30"/>
  <c r="EO39" i="30" s="1"/>
  <c r="EO58" i="30" s="1"/>
  <c r="EP40" i="30"/>
  <c r="EP39" i="30" s="1"/>
  <c r="EP58" i="30" s="1"/>
  <c r="EQ40" i="30"/>
  <c r="EQ39" i="30" s="1"/>
  <c r="EQ58" i="30" s="1"/>
  <c r="ER40" i="30"/>
  <c r="ER39" i="30" s="1"/>
  <c r="ER58" i="30" s="1"/>
  <c r="ES40" i="30"/>
  <c r="ES39" i="30" s="1"/>
  <c r="ES58" i="30" s="1"/>
  <c r="ET40" i="30"/>
  <c r="ET39" i="30" s="1"/>
  <c r="ET58" i="30" s="1"/>
  <c r="EU40" i="30"/>
  <c r="EU39" i="30" s="1"/>
  <c r="EU58" i="30" s="1"/>
  <c r="EV40" i="30"/>
  <c r="EV39" i="30" s="1"/>
  <c r="EV58" i="30" s="1"/>
  <c r="EW40" i="30"/>
  <c r="EW39" i="30" s="1"/>
  <c r="EW58" i="30" s="1"/>
  <c r="EX40" i="30"/>
  <c r="EX39" i="30" s="1"/>
  <c r="EX58" i="30" s="1"/>
  <c r="EY40" i="30"/>
  <c r="EY39" i="30" s="1"/>
  <c r="EY58" i="30" s="1"/>
  <c r="EZ40" i="30"/>
  <c r="EZ39" i="30" s="1"/>
  <c r="EZ58" i="30" s="1"/>
  <c r="FA40" i="30"/>
  <c r="FA39" i="30" s="1"/>
  <c r="FA58" i="30" s="1"/>
  <c r="FB40" i="30"/>
  <c r="FB39" i="30" s="1"/>
  <c r="FB58" i="30" s="1"/>
  <c r="FC40" i="30"/>
  <c r="FC39" i="30" s="1"/>
  <c r="FC58" i="30" s="1"/>
  <c r="FD40" i="30"/>
  <c r="FD39" i="30" s="1"/>
  <c r="FD58" i="30" s="1"/>
  <c r="FE40" i="30"/>
  <c r="FE39" i="30" s="1"/>
  <c r="FE58" i="30" s="1"/>
  <c r="FF40" i="30"/>
  <c r="FF39" i="30" s="1"/>
  <c r="FF58" i="30" s="1"/>
  <c r="FG40" i="30"/>
  <c r="FG39" i="30" s="1"/>
  <c r="FG58" i="30" s="1"/>
  <c r="FH40" i="30"/>
  <c r="FH39" i="30" s="1"/>
  <c r="FH58" i="30" s="1"/>
  <c r="FI40" i="30"/>
  <c r="FI39" i="30" s="1"/>
  <c r="FI58" i="30" s="1"/>
  <c r="FJ40" i="30"/>
  <c r="FJ39" i="30" s="1"/>
  <c r="FJ58" i="30" s="1"/>
  <c r="FK40" i="30"/>
  <c r="FK39" i="30" s="1"/>
  <c r="FK58" i="30" s="1"/>
  <c r="FL40" i="30"/>
  <c r="FL39" i="30" s="1"/>
  <c r="FL58" i="30" s="1"/>
  <c r="FM40" i="30"/>
  <c r="FM39" i="30" s="1"/>
  <c r="FM58" i="30" s="1"/>
  <c r="FN40" i="30"/>
  <c r="FN39" i="30" s="1"/>
  <c r="FN58" i="30" s="1"/>
  <c r="FO40" i="30"/>
  <c r="FO39" i="30" s="1"/>
  <c r="FO58" i="30" s="1"/>
  <c r="FP40" i="30"/>
  <c r="FP39" i="30" s="1"/>
  <c r="FP58" i="30" s="1"/>
  <c r="FQ40" i="30"/>
  <c r="FQ39" i="30" s="1"/>
  <c r="FQ58" i="30" s="1"/>
  <c r="FR40" i="30"/>
  <c r="FR39" i="30" s="1"/>
  <c r="FR58" i="30" s="1"/>
  <c r="FS40" i="30"/>
  <c r="FS39" i="30" s="1"/>
  <c r="FS58" i="30" s="1"/>
  <c r="FT40" i="30"/>
  <c r="FT39" i="30" s="1"/>
  <c r="FT58" i="30" s="1"/>
  <c r="FU40" i="30"/>
  <c r="FU39" i="30" s="1"/>
  <c r="FU58" i="30" s="1"/>
  <c r="FV40" i="30"/>
  <c r="FV39" i="30" s="1"/>
  <c r="FV58" i="30" s="1"/>
  <c r="FW40" i="30"/>
  <c r="FW39" i="30" s="1"/>
  <c r="FW58" i="30" s="1"/>
  <c r="FX40" i="30"/>
  <c r="FX39" i="30" s="1"/>
  <c r="FX58" i="30" s="1"/>
  <c r="FY40" i="30"/>
  <c r="FY39" i="30" s="1"/>
  <c r="FY58" i="30" s="1"/>
  <c r="FZ40" i="30"/>
  <c r="FZ39" i="30" s="1"/>
  <c r="FZ58" i="30" s="1"/>
  <c r="GA40" i="30"/>
  <c r="GA39" i="30" s="1"/>
  <c r="GA58" i="30" s="1"/>
  <c r="GB40" i="30"/>
  <c r="GB39" i="30" s="1"/>
  <c r="GB58" i="30" s="1"/>
  <c r="GC40" i="30"/>
  <c r="GC39" i="30" s="1"/>
  <c r="GC58" i="30" s="1"/>
  <c r="GD40" i="30"/>
  <c r="GD39" i="30" s="1"/>
  <c r="GD58" i="30" s="1"/>
  <c r="GE40" i="30"/>
  <c r="GE39" i="30" s="1"/>
  <c r="GE58" i="30" s="1"/>
  <c r="GF40" i="30"/>
  <c r="GF39" i="30" s="1"/>
  <c r="GF58" i="30" s="1"/>
  <c r="GG40" i="30"/>
  <c r="GG39" i="30" s="1"/>
  <c r="GG58" i="30" s="1"/>
  <c r="GH40" i="30"/>
  <c r="GH39" i="30" s="1"/>
  <c r="GH58" i="30" s="1"/>
  <c r="GI40" i="30"/>
  <c r="GI39" i="30" s="1"/>
  <c r="GI58" i="30" s="1"/>
  <c r="GJ40" i="30"/>
  <c r="GJ39" i="30" s="1"/>
  <c r="GJ58" i="30" s="1"/>
  <c r="GK40" i="30"/>
  <c r="GK39" i="30" s="1"/>
  <c r="GK58" i="30" s="1"/>
  <c r="GL40" i="30"/>
  <c r="GL39" i="30" s="1"/>
  <c r="GL58" i="30" s="1"/>
  <c r="GM40" i="30"/>
  <c r="GM39" i="30" s="1"/>
  <c r="GM58" i="30" s="1"/>
  <c r="GN40" i="30"/>
  <c r="GN39" i="30" s="1"/>
  <c r="GN58" i="30" s="1"/>
  <c r="GO40" i="30"/>
  <c r="GO39" i="30" s="1"/>
  <c r="GO58" i="30" s="1"/>
  <c r="GP40" i="30"/>
  <c r="GP39" i="30" s="1"/>
  <c r="GP58" i="30" s="1"/>
  <c r="GQ40" i="30"/>
  <c r="GQ39" i="30" s="1"/>
  <c r="GQ58" i="30" s="1"/>
  <c r="GR40" i="30"/>
  <c r="GR39" i="30" s="1"/>
  <c r="GR58" i="30" s="1"/>
  <c r="GS40" i="30"/>
  <c r="GS39" i="30" s="1"/>
  <c r="GS58" i="30" s="1"/>
  <c r="GT40" i="30"/>
  <c r="GT39" i="30" s="1"/>
  <c r="GT58" i="30" s="1"/>
  <c r="GU40" i="30"/>
  <c r="GU39" i="30" s="1"/>
  <c r="GU58" i="30" s="1"/>
  <c r="GV40" i="30"/>
  <c r="GV39" i="30" s="1"/>
  <c r="GV58" i="30" s="1"/>
  <c r="GW40" i="30"/>
  <c r="GW39" i="30" s="1"/>
  <c r="GW58" i="30" s="1"/>
  <c r="GX40" i="30"/>
  <c r="GX39" i="30" s="1"/>
  <c r="GX58" i="30" s="1"/>
  <c r="GY40" i="30"/>
  <c r="GY39" i="30" s="1"/>
  <c r="GY58" i="30" s="1"/>
  <c r="GZ40" i="30"/>
  <c r="GZ39" i="30" s="1"/>
  <c r="GZ58" i="30" s="1"/>
  <c r="HA40" i="30"/>
  <c r="HA39" i="30" s="1"/>
  <c r="HA58" i="30" s="1"/>
  <c r="HB40" i="30"/>
  <c r="HB39" i="30" s="1"/>
  <c r="HB58" i="30" s="1"/>
  <c r="HC40" i="30"/>
  <c r="HC39" i="30" s="1"/>
  <c r="HC58" i="30" s="1"/>
  <c r="HD40" i="30"/>
  <c r="HD39" i="30" s="1"/>
  <c r="HD58" i="30" s="1"/>
  <c r="HE40" i="30"/>
  <c r="HE39" i="30" s="1"/>
  <c r="HE58" i="30" s="1"/>
  <c r="HF40" i="30"/>
  <c r="HF39" i="30" s="1"/>
  <c r="HF58" i="30" s="1"/>
  <c r="HG40" i="30"/>
  <c r="HG39" i="30" s="1"/>
  <c r="HG58" i="30" s="1"/>
  <c r="HH40" i="30"/>
  <c r="HH39" i="30" s="1"/>
  <c r="HH58" i="30" s="1"/>
  <c r="HI40" i="30"/>
  <c r="HI39" i="30" s="1"/>
  <c r="HI58" i="30" s="1"/>
  <c r="HJ40" i="30"/>
  <c r="HJ39" i="30" s="1"/>
  <c r="HJ58" i="30" s="1"/>
  <c r="HK40" i="30"/>
  <c r="HK39" i="30" s="1"/>
  <c r="HK58" i="30" s="1"/>
  <c r="HL40" i="30"/>
  <c r="HL39" i="30" s="1"/>
  <c r="HL58" i="30" s="1"/>
  <c r="HM40" i="30"/>
  <c r="HM39" i="30" s="1"/>
  <c r="HM58" i="30" s="1"/>
  <c r="HN40" i="30"/>
  <c r="HN39" i="30" s="1"/>
  <c r="HN58" i="30" s="1"/>
  <c r="HO40" i="30"/>
  <c r="HO39" i="30" s="1"/>
  <c r="HO58" i="30" s="1"/>
  <c r="HP40" i="30"/>
  <c r="HP39" i="30" s="1"/>
  <c r="HP58" i="30" s="1"/>
  <c r="HQ40" i="30"/>
  <c r="HQ39" i="30" s="1"/>
  <c r="HQ58" i="30" s="1"/>
  <c r="HR40" i="30"/>
  <c r="HR39" i="30" s="1"/>
  <c r="HR58" i="30" s="1"/>
  <c r="HS40" i="30"/>
  <c r="HS39" i="30" s="1"/>
  <c r="HS58" i="30" s="1"/>
  <c r="HT40" i="30"/>
  <c r="HT39" i="30" s="1"/>
  <c r="HT58" i="30" s="1"/>
  <c r="HU40" i="30"/>
  <c r="HU39" i="30" s="1"/>
  <c r="HU58" i="30" s="1"/>
  <c r="HV40" i="30"/>
  <c r="HV39" i="30" s="1"/>
  <c r="HV58" i="30" s="1"/>
  <c r="HW40" i="30"/>
  <c r="HW39" i="30" s="1"/>
  <c r="HW58" i="30" s="1"/>
  <c r="HX40" i="30"/>
  <c r="HX39" i="30" s="1"/>
  <c r="HX58" i="30" s="1"/>
  <c r="HY40" i="30"/>
  <c r="HY39" i="30" s="1"/>
  <c r="HY58" i="30" s="1"/>
  <c r="HZ40" i="30"/>
  <c r="HZ39" i="30" s="1"/>
  <c r="HZ58" i="30" s="1"/>
  <c r="IA40" i="30"/>
  <c r="IA39" i="30" s="1"/>
  <c r="IA58" i="30" s="1"/>
  <c r="IB40" i="30"/>
  <c r="IB39" i="30" s="1"/>
  <c r="IB58" i="30" s="1"/>
  <c r="IC40" i="30"/>
  <c r="IC39" i="30" s="1"/>
  <c r="IC58" i="30" s="1"/>
  <c r="ID40" i="30"/>
  <c r="ID39" i="30" s="1"/>
  <c r="ID58" i="30" s="1"/>
  <c r="IE40" i="30"/>
  <c r="IE39" i="30" s="1"/>
  <c r="IE58" i="30" s="1"/>
  <c r="IF40" i="30"/>
  <c r="IF39" i="30" s="1"/>
  <c r="IF58" i="30" s="1"/>
  <c r="IG40" i="30"/>
  <c r="IG39" i="30" s="1"/>
  <c r="IG58" i="30" s="1"/>
  <c r="IH40" i="30"/>
  <c r="IH39" i="30" s="1"/>
  <c r="IH58" i="30" s="1"/>
  <c r="II40" i="30"/>
  <c r="II39" i="30" s="1"/>
  <c r="II58" i="30" s="1"/>
  <c r="IJ40" i="30"/>
  <c r="IJ39" i="30" s="1"/>
  <c r="IJ58" i="30" s="1"/>
  <c r="IK40" i="30"/>
  <c r="IK39" i="30" s="1"/>
  <c r="IK58" i="30" s="1"/>
  <c r="IL40" i="30"/>
  <c r="IL39" i="30" s="1"/>
  <c r="IL58" i="30" s="1"/>
  <c r="IM40" i="30"/>
  <c r="IM39" i="30" s="1"/>
  <c r="IM58" i="30" s="1"/>
  <c r="IN40" i="30"/>
  <c r="IN39" i="30" s="1"/>
  <c r="IN58" i="30" s="1"/>
  <c r="IO40" i="30"/>
  <c r="IO39" i="30" s="1"/>
  <c r="IO58" i="30" s="1"/>
  <c r="IP40" i="30"/>
  <c r="IP39" i="30" s="1"/>
  <c r="IP58" i="30" s="1"/>
  <c r="IQ40" i="30"/>
  <c r="IQ39" i="30" s="1"/>
  <c r="IQ58" i="30" s="1"/>
  <c r="IR40" i="30"/>
  <c r="IR39" i="30" s="1"/>
  <c r="IR58" i="30" s="1"/>
  <c r="IS40" i="30"/>
  <c r="IS39" i="30" s="1"/>
  <c r="IS58" i="30" s="1"/>
  <c r="IT40" i="30"/>
  <c r="IT39" i="30" s="1"/>
  <c r="IT58" i="30" s="1"/>
  <c r="IU40" i="30"/>
  <c r="IU39" i="30" s="1"/>
  <c r="IU58" i="30" s="1"/>
  <c r="IV40" i="30"/>
  <c r="IV39" i="30" s="1"/>
  <c r="IV58" i="30" s="1"/>
  <c r="IW40" i="30"/>
  <c r="IW39" i="30" s="1"/>
  <c r="IW58" i="30" s="1"/>
  <c r="IX40" i="30"/>
  <c r="IX39" i="30" s="1"/>
  <c r="IX58" i="30" s="1"/>
  <c r="IY40" i="30"/>
  <c r="IY39" i="30" s="1"/>
  <c r="IY58" i="30" s="1"/>
  <c r="IZ40" i="30"/>
  <c r="IZ39" i="30" s="1"/>
  <c r="IZ58" i="30" s="1"/>
  <c r="JA40" i="30"/>
  <c r="JA39" i="30" s="1"/>
  <c r="JA58" i="30" s="1"/>
  <c r="JB40" i="30"/>
  <c r="JB39" i="30" s="1"/>
  <c r="JB58" i="30" s="1"/>
  <c r="JC40" i="30"/>
  <c r="JC39" i="30" s="1"/>
  <c r="JC58" i="30" s="1"/>
  <c r="JD40" i="30"/>
  <c r="JD39" i="30" s="1"/>
  <c r="JD58" i="30" s="1"/>
  <c r="JE40" i="30"/>
  <c r="JE39" i="30" s="1"/>
  <c r="JE58" i="30" s="1"/>
  <c r="JF40" i="30"/>
  <c r="JF39" i="30" s="1"/>
  <c r="JF58" i="30" s="1"/>
  <c r="JG40" i="30"/>
  <c r="JG39" i="30" s="1"/>
  <c r="JG58" i="30" s="1"/>
  <c r="JH40" i="30"/>
  <c r="JH39" i="30" s="1"/>
  <c r="JH58" i="30" s="1"/>
  <c r="JI40" i="30"/>
  <c r="JI39" i="30" s="1"/>
  <c r="JI58" i="30" s="1"/>
  <c r="JJ40" i="30"/>
  <c r="JJ39" i="30" s="1"/>
  <c r="JJ58" i="30" s="1"/>
  <c r="JK40" i="30"/>
  <c r="JK39" i="30" s="1"/>
  <c r="JK58" i="30" s="1"/>
  <c r="JL40" i="30"/>
  <c r="JL39" i="30" s="1"/>
  <c r="JL58" i="30" s="1"/>
  <c r="JM40" i="30"/>
  <c r="JM39" i="30" s="1"/>
  <c r="JM58" i="30" s="1"/>
  <c r="JN40" i="30"/>
  <c r="JN39" i="30" s="1"/>
  <c r="JN58" i="30" s="1"/>
  <c r="JO40" i="30"/>
  <c r="JO39" i="30" s="1"/>
  <c r="JO58" i="30" s="1"/>
  <c r="JP40" i="30"/>
  <c r="JP39" i="30" s="1"/>
  <c r="JP58" i="30" s="1"/>
  <c r="JQ40" i="30"/>
  <c r="JQ39" i="30" s="1"/>
  <c r="JQ58" i="30" s="1"/>
  <c r="JR40" i="30"/>
  <c r="JR39" i="30" s="1"/>
  <c r="JR58" i="30" s="1"/>
  <c r="JS40" i="30"/>
  <c r="JS39" i="30" s="1"/>
  <c r="JS58" i="30" s="1"/>
  <c r="JT40" i="30"/>
  <c r="JT39" i="30" s="1"/>
  <c r="JT58" i="30" s="1"/>
  <c r="JU40" i="30"/>
  <c r="JU39" i="30" s="1"/>
  <c r="JU58" i="30" s="1"/>
  <c r="JV40" i="30"/>
  <c r="JV39" i="30" s="1"/>
  <c r="JV58" i="30" s="1"/>
  <c r="JW40" i="30"/>
  <c r="JW39" i="30" s="1"/>
  <c r="JW58" i="30" s="1"/>
  <c r="JX40" i="30"/>
  <c r="JX39" i="30" s="1"/>
  <c r="JX58" i="30" s="1"/>
  <c r="JY40" i="30"/>
  <c r="JY39" i="30" s="1"/>
  <c r="JY58" i="30" s="1"/>
  <c r="JZ40" i="30"/>
  <c r="JZ39" i="30" s="1"/>
  <c r="JZ58" i="30" s="1"/>
  <c r="KA40" i="30"/>
  <c r="KA39" i="30" s="1"/>
  <c r="KA58" i="30" s="1"/>
  <c r="KB40" i="30"/>
  <c r="KB39" i="30" s="1"/>
  <c r="KB58" i="30" s="1"/>
  <c r="KC40" i="30"/>
  <c r="KC39" i="30" s="1"/>
  <c r="KC58" i="30" s="1"/>
  <c r="KD40" i="30"/>
  <c r="KD39" i="30" s="1"/>
  <c r="KD58" i="30" s="1"/>
  <c r="KE40" i="30"/>
  <c r="KE39" i="30" s="1"/>
  <c r="KE58" i="30" s="1"/>
  <c r="E44" i="30"/>
  <c r="F44" i="30"/>
  <c r="G44" i="30"/>
  <c r="H44" i="30"/>
  <c r="H43" i="30" s="1"/>
  <c r="H59" i="30" s="1"/>
  <c r="I44" i="30"/>
  <c r="I43" i="30" s="1"/>
  <c r="I59" i="30" s="1"/>
  <c r="J44" i="30"/>
  <c r="J43" i="30" s="1"/>
  <c r="J59" i="30" s="1"/>
  <c r="K44" i="30"/>
  <c r="K43" i="30" s="1"/>
  <c r="K59" i="30" s="1"/>
  <c r="L44" i="30"/>
  <c r="L43" i="30" s="1"/>
  <c r="L59" i="30" s="1"/>
  <c r="M44" i="30"/>
  <c r="N44" i="30"/>
  <c r="O44" i="30"/>
  <c r="P44" i="30"/>
  <c r="Q44" i="30"/>
  <c r="R44" i="30"/>
  <c r="R43" i="30" s="1"/>
  <c r="R59" i="30" s="1"/>
  <c r="S44" i="30"/>
  <c r="S43" i="30" s="1"/>
  <c r="S59" i="30" s="1"/>
  <c r="T44" i="30"/>
  <c r="T43" i="30" s="1"/>
  <c r="T59" i="30" s="1"/>
  <c r="U44" i="30"/>
  <c r="U43" i="30" s="1"/>
  <c r="U59" i="30" s="1"/>
  <c r="V44" i="30"/>
  <c r="V43" i="30" s="1"/>
  <c r="V59" i="30" s="1"/>
  <c r="W44" i="30"/>
  <c r="W43" i="30" s="1"/>
  <c r="W59" i="30" s="1"/>
  <c r="X44" i="30"/>
  <c r="X43" i="30" s="1"/>
  <c r="X59" i="30" s="1"/>
  <c r="Y44" i="30"/>
  <c r="Y43" i="30" s="1"/>
  <c r="Y59" i="30" s="1"/>
  <c r="Z44" i="30"/>
  <c r="Z43" i="30" s="1"/>
  <c r="Z59" i="30" s="1"/>
  <c r="AA44" i="30"/>
  <c r="AA43" i="30" s="1"/>
  <c r="AA59" i="30" s="1"/>
  <c r="AB44" i="30"/>
  <c r="AB43" i="30" s="1"/>
  <c r="AB59" i="30" s="1"/>
  <c r="AC44" i="30"/>
  <c r="AC43" i="30" s="1"/>
  <c r="AC59" i="30" s="1"/>
  <c r="AD44" i="30"/>
  <c r="AD43" i="30" s="1"/>
  <c r="AD59" i="30" s="1"/>
  <c r="AE44" i="30"/>
  <c r="AE43" i="30" s="1"/>
  <c r="AE59" i="30" s="1"/>
  <c r="AF44" i="30"/>
  <c r="AF43" i="30" s="1"/>
  <c r="AF59" i="30" s="1"/>
  <c r="AG44" i="30"/>
  <c r="AG43" i="30" s="1"/>
  <c r="AG59" i="30" s="1"/>
  <c r="AH44" i="30"/>
  <c r="AH43" i="30" s="1"/>
  <c r="AH59" i="30" s="1"/>
  <c r="AI44" i="30"/>
  <c r="AI43" i="30" s="1"/>
  <c r="AI59" i="30" s="1"/>
  <c r="AJ44" i="30"/>
  <c r="AJ43" i="30" s="1"/>
  <c r="AJ59" i="30" s="1"/>
  <c r="AK44" i="30"/>
  <c r="AK43" i="30" s="1"/>
  <c r="AK59" i="30" s="1"/>
  <c r="AL44" i="30"/>
  <c r="AL43" i="30" s="1"/>
  <c r="AL59" i="30" s="1"/>
  <c r="AM44" i="30"/>
  <c r="AM43" i="30" s="1"/>
  <c r="AM59" i="30" s="1"/>
  <c r="AN44" i="30"/>
  <c r="AN43" i="30" s="1"/>
  <c r="AN59" i="30" s="1"/>
  <c r="AO44" i="30"/>
  <c r="AO43" i="30" s="1"/>
  <c r="AO59" i="30" s="1"/>
  <c r="AP44" i="30"/>
  <c r="AP43" i="30" s="1"/>
  <c r="AP59" i="30" s="1"/>
  <c r="AQ44" i="30"/>
  <c r="AQ43" i="30" s="1"/>
  <c r="AQ59" i="30" s="1"/>
  <c r="AR44" i="30"/>
  <c r="AR43" i="30" s="1"/>
  <c r="AR59" i="30" s="1"/>
  <c r="AS44" i="30"/>
  <c r="AS43" i="30" s="1"/>
  <c r="AS59" i="30" s="1"/>
  <c r="AT44" i="30"/>
  <c r="AT43" i="30" s="1"/>
  <c r="AT59" i="30" s="1"/>
  <c r="AU44" i="30"/>
  <c r="AU43" i="30" s="1"/>
  <c r="AU59" i="30" s="1"/>
  <c r="AV44" i="30"/>
  <c r="AV43" i="30" s="1"/>
  <c r="AV59" i="30" s="1"/>
  <c r="AW44" i="30"/>
  <c r="AW43" i="30" s="1"/>
  <c r="AW59" i="30" s="1"/>
  <c r="AX44" i="30"/>
  <c r="AX43" i="30" s="1"/>
  <c r="AX59" i="30" s="1"/>
  <c r="AY44" i="30"/>
  <c r="AY43" i="30" s="1"/>
  <c r="AY59" i="30" s="1"/>
  <c r="AZ44" i="30"/>
  <c r="AZ43" i="30" s="1"/>
  <c r="AZ59" i="30" s="1"/>
  <c r="BA44" i="30"/>
  <c r="BA43" i="30" s="1"/>
  <c r="BA59" i="30" s="1"/>
  <c r="BB44" i="30"/>
  <c r="BB43" i="30" s="1"/>
  <c r="BB59" i="30" s="1"/>
  <c r="BC44" i="30"/>
  <c r="BC43" i="30" s="1"/>
  <c r="BC59" i="30" s="1"/>
  <c r="BD44" i="30"/>
  <c r="BD43" i="30" s="1"/>
  <c r="BD59" i="30" s="1"/>
  <c r="BE44" i="30"/>
  <c r="BE43" i="30" s="1"/>
  <c r="BE59" i="30" s="1"/>
  <c r="BF44" i="30"/>
  <c r="BF43" i="30" s="1"/>
  <c r="BF59" i="30" s="1"/>
  <c r="BG44" i="30"/>
  <c r="BG43" i="30" s="1"/>
  <c r="BG59" i="30" s="1"/>
  <c r="BH44" i="30"/>
  <c r="BH43" i="30" s="1"/>
  <c r="BH59" i="30" s="1"/>
  <c r="BI44" i="30"/>
  <c r="BI43" i="30" s="1"/>
  <c r="BI59" i="30" s="1"/>
  <c r="BJ44" i="30"/>
  <c r="BJ43" i="30" s="1"/>
  <c r="BJ59" i="30" s="1"/>
  <c r="BK44" i="30"/>
  <c r="BK43" i="30" s="1"/>
  <c r="BK59" i="30" s="1"/>
  <c r="BL44" i="30"/>
  <c r="BL43" i="30" s="1"/>
  <c r="BL59" i="30" s="1"/>
  <c r="BM44" i="30"/>
  <c r="BM43" i="30" s="1"/>
  <c r="BM59" i="30" s="1"/>
  <c r="BN44" i="30"/>
  <c r="BN43" i="30" s="1"/>
  <c r="BN59" i="30" s="1"/>
  <c r="BO44" i="30"/>
  <c r="BO43" i="30" s="1"/>
  <c r="BO59" i="30" s="1"/>
  <c r="BP44" i="30"/>
  <c r="BP43" i="30" s="1"/>
  <c r="BP59" i="30" s="1"/>
  <c r="BQ44" i="30"/>
  <c r="BQ43" i="30" s="1"/>
  <c r="BQ59" i="30" s="1"/>
  <c r="BR44" i="30"/>
  <c r="BR43" i="30" s="1"/>
  <c r="BR59" i="30" s="1"/>
  <c r="BS44" i="30"/>
  <c r="BS43" i="30" s="1"/>
  <c r="BS59" i="30" s="1"/>
  <c r="BT44" i="30"/>
  <c r="BT43" i="30" s="1"/>
  <c r="BT59" i="30" s="1"/>
  <c r="BU44" i="30"/>
  <c r="BU43" i="30" s="1"/>
  <c r="BU59" i="30" s="1"/>
  <c r="BV44" i="30"/>
  <c r="BV43" i="30" s="1"/>
  <c r="BV59" i="30" s="1"/>
  <c r="BW44" i="30"/>
  <c r="BW43" i="30" s="1"/>
  <c r="BW59" i="30" s="1"/>
  <c r="BX44" i="30"/>
  <c r="BX43" i="30" s="1"/>
  <c r="BX59" i="30" s="1"/>
  <c r="BY44" i="30"/>
  <c r="BY43" i="30" s="1"/>
  <c r="BY59" i="30" s="1"/>
  <c r="BZ44" i="30"/>
  <c r="BZ43" i="30" s="1"/>
  <c r="BZ59" i="30" s="1"/>
  <c r="CA44" i="30"/>
  <c r="CA43" i="30" s="1"/>
  <c r="CA59" i="30" s="1"/>
  <c r="CB44" i="30"/>
  <c r="CB43" i="30" s="1"/>
  <c r="CB59" i="30" s="1"/>
  <c r="CC44" i="30"/>
  <c r="CC43" i="30" s="1"/>
  <c r="CC59" i="30" s="1"/>
  <c r="CD44" i="30"/>
  <c r="CD43" i="30" s="1"/>
  <c r="CD59" i="30" s="1"/>
  <c r="CE44" i="30"/>
  <c r="CE43" i="30" s="1"/>
  <c r="CE59" i="30" s="1"/>
  <c r="CF44" i="30"/>
  <c r="CF43" i="30" s="1"/>
  <c r="CF59" i="30" s="1"/>
  <c r="CG44" i="30"/>
  <c r="CG43" i="30" s="1"/>
  <c r="CG59" i="30" s="1"/>
  <c r="CH44" i="30"/>
  <c r="CH43" i="30" s="1"/>
  <c r="CH59" i="30" s="1"/>
  <c r="CI44" i="30"/>
  <c r="CI43" i="30" s="1"/>
  <c r="CI59" i="30" s="1"/>
  <c r="CJ44" i="30"/>
  <c r="CJ43" i="30" s="1"/>
  <c r="CJ59" i="30" s="1"/>
  <c r="CK44" i="30"/>
  <c r="CK43" i="30" s="1"/>
  <c r="CK59" i="30" s="1"/>
  <c r="CL44" i="30"/>
  <c r="CL43" i="30" s="1"/>
  <c r="CL59" i="30" s="1"/>
  <c r="CM44" i="30"/>
  <c r="CM43" i="30" s="1"/>
  <c r="CM59" i="30" s="1"/>
  <c r="CN44" i="30"/>
  <c r="CN43" i="30" s="1"/>
  <c r="CN59" i="30" s="1"/>
  <c r="CO44" i="30"/>
  <c r="CO43" i="30" s="1"/>
  <c r="CO59" i="30" s="1"/>
  <c r="CP44" i="30"/>
  <c r="CP43" i="30" s="1"/>
  <c r="CP59" i="30" s="1"/>
  <c r="CQ44" i="30"/>
  <c r="CQ43" i="30" s="1"/>
  <c r="CQ59" i="30" s="1"/>
  <c r="CR44" i="30"/>
  <c r="CR43" i="30" s="1"/>
  <c r="CR59" i="30" s="1"/>
  <c r="CS44" i="30"/>
  <c r="CS43" i="30" s="1"/>
  <c r="CS59" i="30" s="1"/>
  <c r="CT44" i="30"/>
  <c r="CT43" i="30" s="1"/>
  <c r="CT59" i="30" s="1"/>
  <c r="CU44" i="30"/>
  <c r="CU43" i="30" s="1"/>
  <c r="CU59" i="30" s="1"/>
  <c r="CV44" i="30"/>
  <c r="CV43" i="30" s="1"/>
  <c r="CV59" i="30" s="1"/>
  <c r="CW44" i="30"/>
  <c r="CW43" i="30" s="1"/>
  <c r="CW59" i="30" s="1"/>
  <c r="CX44" i="30"/>
  <c r="CX43" i="30" s="1"/>
  <c r="CX59" i="30" s="1"/>
  <c r="CY44" i="30"/>
  <c r="CY43" i="30" s="1"/>
  <c r="CY59" i="30" s="1"/>
  <c r="CZ44" i="30"/>
  <c r="CZ43" i="30" s="1"/>
  <c r="CZ59" i="30" s="1"/>
  <c r="DA44" i="30"/>
  <c r="DA43" i="30" s="1"/>
  <c r="DA59" i="30" s="1"/>
  <c r="DB44" i="30"/>
  <c r="DB43" i="30" s="1"/>
  <c r="DB59" i="30" s="1"/>
  <c r="DC44" i="30"/>
  <c r="DC43" i="30" s="1"/>
  <c r="DC59" i="30" s="1"/>
  <c r="DD44" i="30"/>
  <c r="DD43" i="30" s="1"/>
  <c r="DD59" i="30" s="1"/>
  <c r="DE44" i="30"/>
  <c r="DE43" i="30" s="1"/>
  <c r="DE59" i="30" s="1"/>
  <c r="DF44" i="30"/>
  <c r="DF43" i="30" s="1"/>
  <c r="DF59" i="30" s="1"/>
  <c r="DG44" i="30"/>
  <c r="DG43" i="30" s="1"/>
  <c r="DG59" i="30" s="1"/>
  <c r="DH44" i="30"/>
  <c r="DH43" i="30" s="1"/>
  <c r="DH59" i="30" s="1"/>
  <c r="DI44" i="30"/>
  <c r="DI43" i="30" s="1"/>
  <c r="DI59" i="30" s="1"/>
  <c r="DJ44" i="30"/>
  <c r="DJ43" i="30" s="1"/>
  <c r="DJ59" i="30" s="1"/>
  <c r="DK44" i="30"/>
  <c r="DK43" i="30" s="1"/>
  <c r="DK59" i="30" s="1"/>
  <c r="DL44" i="30"/>
  <c r="DL43" i="30" s="1"/>
  <c r="DL59" i="30" s="1"/>
  <c r="DM44" i="30"/>
  <c r="DM43" i="30" s="1"/>
  <c r="DM59" i="30" s="1"/>
  <c r="DN44" i="30"/>
  <c r="DN43" i="30" s="1"/>
  <c r="DN59" i="30" s="1"/>
  <c r="DO44" i="30"/>
  <c r="DO43" i="30" s="1"/>
  <c r="DO59" i="30" s="1"/>
  <c r="DP44" i="30"/>
  <c r="DP43" i="30" s="1"/>
  <c r="DP59" i="30" s="1"/>
  <c r="DQ44" i="30"/>
  <c r="DQ43" i="30" s="1"/>
  <c r="DQ59" i="30" s="1"/>
  <c r="DR44" i="30"/>
  <c r="DR43" i="30" s="1"/>
  <c r="DR59" i="30" s="1"/>
  <c r="DS44" i="30"/>
  <c r="DS43" i="30" s="1"/>
  <c r="DS59" i="30" s="1"/>
  <c r="DT44" i="30"/>
  <c r="DT43" i="30" s="1"/>
  <c r="DT59" i="30" s="1"/>
  <c r="DU44" i="30"/>
  <c r="DU43" i="30" s="1"/>
  <c r="DU59" i="30" s="1"/>
  <c r="DV44" i="30"/>
  <c r="DV43" i="30" s="1"/>
  <c r="DV59" i="30" s="1"/>
  <c r="DW44" i="30"/>
  <c r="DW43" i="30" s="1"/>
  <c r="DW59" i="30" s="1"/>
  <c r="DX44" i="30"/>
  <c r="DX43" i="30" s="1"/>
  <c r="DX59" i="30" s="1"/>
  <c r="DY44" i="30"/>
  <c r="DY43" i="30" s="1"/>
  <c r="DY59" i="30" s="1"/>
  <c r="DZ44" i="30"/>
  <c r="DZ43" i="30" s="1"/>
  <c r="DZ59" i="30" s="1"/>
  <c r="EA44" i="30"/>
  <c r="EA43" i="30" s="1"/>
  <c r="EA59" i="30" s="1"/>
  <c r="EB44" i="30"/>
  <c r="EB43" i="30" s="1"/>
  <c r="EB59" i="30" s="1"/>
  <c r="EC44" i="30"/>
  <c r="EC43" i="30" s="1"/>
  <c r="EC59" i="30" s="1"/>
  <c r="ED44" i="30"/>
  <c r="ED43" i="30" s="1"/>
  <c r="ED59" i="30" s="1"/>
  <c r="EE44" i="30"/>
  <c r="EE43" i="30" s="1"/>
  <c r="EE59" i="30" s="1"/>
  <c r="EF44" i="30"/>
  <c r="EF43" i="30" s="1"/>
  <c r="EF59" i="30" s="1"/>
  <c r="EG44" i="30"/>
  <c r="EG43" i="30" s="1"/>
  <c r="EG59" i="30" s="1"/>
  <c r="EH44" i="30"/>
  <c r="EH43" i="30" s="1"/>
  <c r="EH59" i="30" s="1"/>
  <c r="EI44" i="30"/>
  <c r="EI43" i="30" s="1"/>
  <c r="EI59" i="30" s="1"/>
  <c r="EJ44" i="30"/>
  <c r="EJ43" i="30" s="1"/>
  <c r="EJ59" i="30" s="1"/>
  <c r="EK44" i="30"/>
  <c r="EK43" i="30" s="1"/>
  <c r="EK59" i="30" s="1"/>
  <c r="EL44" i="30"/>
  <c r="EL43" i="30" s="1"/>
  <c r="EL59" i="30" s="1"/>
  <c r="EM44" i="30"/>
  <c r="EM43" i="30" s="1"/>
  <c r="EM59" i="30" s="1"/>
  <c r="EN44" i="30"/>
  <c r="EN43" i="30" s="1"/>
  <c r="EN59" i="30" s="1"/>
  <c r="EO44" i="30"/>
  <c r="EO43" i="30" s="1"/>
  <c r="EO59" i="30" s="1"/>
  <c r="EP44" i="30"/>
  <c r="EP43" i="30" s="1"/>
  <c r="EP59" i="30" s="1"/>
  <c r="EQ44" i="30"/>
  <c r="EQ43" i="30" s="1"/>
  <c r="EQ59" i="30" s="1"/>
  <c r="ER44" i="30"/>
  <c r="ER43" i="30" s="1"/>
  <c r="ER59" i="30" s="1"/>
  <c r="ES44" i="30"/>
  <c r="ES43" i="30" s="1"/>
  <c r="ES59" i="30" s="1"/>
  <c r="ET44" i="30"/>
  <c r="ET43" i="30" s="1"/>
  <c r="ET59" i="30" s="1"/>
  <c r="EU44" i="30"/>
  <c r="EU43" i="30" s="1"/>
  <c r="EU59" i="30" s="1"/>
  <c r="EV44" i="30"/>
  <c r="EV43" i="30" s="1"/>
  <c r="EV59" i="30" s="1"/>
  <c r="EW44" i="30"/>
  <c r="EW43" i="30" s="1"/>
  <c r="EW59" i="30" s="1"/>
  <c r="EX44" i="30"/>
  <c r="EX43" i="30" s="1"/>
  <c r="EX59" i="30" s="1"/>
  <c r="EY44" i="30"/>
  <c r="EY43" i="30" s="1"/>
  <c r="EY59" i="30" s="1"/>
  <c r="EZ44" i="30"/>
  <c r="EZ43" i="30" s="1"/>
  <c r="EZ59" i="30" s="1"/>
  <c r="FA44" i="30"/>
  <c r="FA43" i="30" s="1"/>
  <c r="FA59" i="30" s="1"/>
  <c r="FB44" i="30"/>
  <c r="FB43" i="30" s="1"/>
  <c r="FB59" i="30" s="1"/>
  <c r="FC44" i="30"/>
  <c r="FC43" i="30" s="1"/>
  <c r="FC59" i="30" s="1"/>
  <c r="FD44" i="30"/>
  <c r="FD43" i="30" s="1"/>
  <c r="FD59" i="30" s="1"/>
  <c r="FE44" i="30"/>
  <c r="FE43" i="30" s="1"/>
  <c r="FE59" i="30" s="1"/>
  <c r="FF44" i="30"/>
  <c r="FF43" i="30" s="1"/>
  <c r="FF59" i="30" s="1"/>
  <c r="FG44" i="30"/>
  <c r="FG43" i="30" s="1"/>
  <c r="FG59" i="30" s="1"/>
  <c r="FH44" i="30"/>
  <c r="FH43" i="30" s="1"/>
  <c r="FH59" i="30" s="1"/>
  <c r="FI44" i="30"/>
  <c r="FI43" i="30" s="1"/>
  <c r="FI59" i="30" s="1"/>
  <c r="FJ44" i="30"/>
  <c r="FJ43" i="30" s="1"/>
  <c r="FJ59" i="30" s="1"/>
  <c r="FK44" i="30"/>
  <c r="FK43" i="30" s="1"/>
  <c r="FK59" i="30" s="1"/>
  <c r="FL44" i="30"/>
  <c r="FL43" i="30" s="1"/>
  <c r="FL59" i="30" s="1"/>
  <c r="FM44" i="30"/>
  <c r="FM43" i="30" s="1"/>
  <c r="FM59" i="30" s="1"/>
  <c r="FN44" i="30"/>
  <c r="FN43" i="30" s="1"/>
  <c r="FN59" i="30" s="1"/>
  <c r="FO44" i="30"/>
  <c r="FO43" i="30" s="1"/>
  <c r="FO59" i="30" s="1"/>
  <c r="FP44" i="30"/>
  <c r="FP43" i="30" s="1"/>
  <c r="FP59" i="30" s="1"/>
  <c r="FQ44" i="30"/>
  <c r="FQ43" i="30" s="1"/>
  <c r="FQ59" i="30" s="1"/>
  <c r="FR44" i="30"/>
  <c r="FR43" i="30" s="1"/>
  <c r="FR59" i="30" s="1"/>
  <c r="FS44" i="30"/>
  <c r="FS43" i="30" s="1"/>
  <c r="FS59" i="30" s="1"/>
  <c r="FT44" i="30"/>
  <c r="FT43" i="30" s="1"/>
  <c r="FT59" i="30" s="1"/>
  <c r="FU44" i="30"/>
  <c r="FU43" i="30" s="1"/>
  <c r="FU59" i="30" s="1"/>
  <c r="FV44" i="30"/>
  <c r="FV43" i="30" s="1"/>
  <c r="FV59" i="30" s="1"/>
  <c r="FW44" i="30"/>
  <c r="FW43" i="30" s="1"/>
  <c r="FW59" i="30" s="1"/>
  <c r="FX44" i="30"/>
  <c r="FX43" i="30" s="1"/>
  <c r="FX59" i="30" s="1"/>
  <c r="FY44" i="30"/>
  <c r="FY43" i="30" s="1"/>
  <c r="FY59" i="30" s="1"/>
  <c r="FZ44" i="30"/>
  <c r="FZ43" i="30" s="1"/>
  <c r="FZ59" i="30" s="1"/>
  <c r="GA44" i="30"/>
  <c r="GA43" i="30" s="1"/>
  <c r="GA59" i="30" s="1"/>
  <c r="GB44" i="30"/>
  <c r="GB43" i="30" s="1"/>
  <c r="GB59" i="30" s="1"/>
  <c r="GC44" i="30"/>
  <c r="GC43" i="30" s="1"/>
  <c r="GC59" i="30" s="1"/>
  <c r="GD44" i="30"/>
  <c r="GD43" i="30" s="1"/>
  <c r="GD59" i="30" s="1"/>
  <c r="GE44" i="30"/>
  <c r="GE43" i="30" s="1"/>
  <c r="GE59" i="30" s="1"/>
  <c r="GF44" i="30"/>
  <c r="GF43" i="30" s="1"/>
  <c r="GF59" i="30" s="1"/>
  <c r="GG44" i="30"/>
  <c r="GG43" i="30" s="1"/>
  <c r="GG59" i="30" s="1"/>
  <c r="GH44" i="30"/>
  <c r="GH43" i="30" s="1"/>
  <c r="GH59" i="30" s="1"/>
  <c r="GI44" i="30"/>
  <c r="GI43" i="30" s="1"/>
  <c r="GI59" i="30" s="1"/>
  <c r="GJ44" i="30"/>
  <c r="GJ43" i="30" s="1"/>
  <c r="GJ59" i="30" s="1"/>
  <c r="GK44" i="30"/>
  <c r="GK43" i="30" s="1"/>
  <c r="GK59" i="30" s="1"/>
  <c r="GL44" i="30"/>
  <c r="GL43" i="30" s="1"/>
  <c r="GL59" i="30" s="1"/>
  <c r="GM44" i="30"/>
  <c r="GM43" i="30" s="1"/>
  <c r="GM59" i="30" s="1"/>
  <c r="GN44" i="30"/>
  <c r="GN43" i="30" s="1"/>
  <c r="GN59" i="30" s="1"/>
  <c r="GO44" i="30"/>
  <c r="GO43" i="30" s="1"/>
  <c r="GO59" i="30" s="1"/>
  <c r="GP44" i="30"/>
  <c r="GP43" i="30" s="1"/>
  <c r="GP59" i="30" s="1"/>
  <c r="GQ44" i="30"/>
  <c r="GQ43" i="30" s="1"/>
  <c r="GQ59" i="30" s="1"/>
  <c r="GR44" i="30"/>
  <c r="GR43" i="30" s="1"/>
  <c r="GR59" i="30" s="1"/>
  <c r="GS44" i="30"/>
  <c r="GS43" i="30" s="1"/>
  <c r="GS59" i="30" s="1"/>
  <c r="GT44" i="30"/>
  <c r="GT43" i="30" s="1"/>
  <c r="GT59" i="30" s="1"/>
  <c r="GU44" i="30"/>
  <c r="GU43" i="30" s="1"/>
  <c r="GU59" i="30" s="1"/>
  <c r="GV44" i="30"/>
  <c r="GV43" i="30" s="1"/>
  <c r="GV59" i="30" s="1"/>
  <c r="GW44" i="30"/>
  <c r="GW43" i="30" s="1"/>
  <c r="GW59" i="30" s="1"/>
  <c r="GX44" i="30"/>
  <c r="GX43" i="30" s="1"/>
  <c r="GX59" i="30" s="1"/>
  <c r="GY44" i="30"/>
  <c r="GY43" i="30" s="1"/>
  <c r="GY59" i="30" s="1"/>
  <c r="GZ44" i="30"/>
  <c r="GZ43" i="30" s="1"/>
  <c r="GZ59" i="30" s="1"/>
  <c r="HA44" i="30"/>
  <c r="HA43" i="30" s="1"/>
  <c r="HA59" i="30" s="1"/>
  <c r="HB44" i="30"/>
  <c r="HB43" i="30" s="1"/>
  <c r="HB59" i="30" s="1"/>
  <c r="HC44" i="30"/>
  <c r="HC43" i="30" s="1"/>
  <c r="HC59" i="30" s="1"/>
  <c r="HD44" i="30"/>
  <c r="HD43" i="30" s="1"/>
  <c r="HD59" i="30" s="1"/>
  <c r="HE44" i="30"/>
  <c r="HE43" i="30" s="1"/>
  <c r="HE59" i="30" s="1"/>
  <c r="HF44" i="30"/>
  <c r="HF43" i="30" s="1"/>
  <c r="HF59" i="30" s="1"/>
  <c r="HG44" i="30"/>
  <c r="HG43" i="30" s="1"/>
  <c r="HG59" i="30" s="1"/>
  <c r="HH44" i="30"/>
  <c r="HH43" i="30" s="1"/>
  <c r="HH59" i="30" s="1"/>
  <c r="HI44" i="30"/>
  <c r="HI43" i="30" s="1"/>
  <c r="HI59" i="30" s="1"/>
  <c r="HJ44" i="30"/>
  <c r="HJ43" i="30" s="1"/>
  <c r="HJ59" i="30" s="1"/>
  <c r="HK44" i="30"/>
  <c r="HK43" i="30" s="1"/>
  <c r="HK59" i="30" s="1"/>
  <c r="HL44" i="30"/>
  <c r="HL43" i="30" s="1"/>
  <c r="HL59" i="30" s="1"/>
  <c r="HM44" i="30"/>
  <c r="HM43" i="30" s="1"/>
  <c r="HM59" i="30" s="1"/>
  <c r="HN44" i="30"/>
  <c r="HN43" i="30" s="1"/>
  <c r="HN59" i="30" s="1"/>
  <c r="HO44" i="30"/>
  <c r="HO43" i="30" s="1"/>
  <c r="HO59" i="30" s="1"/>
  <c r="HP44" i="30"/>
  <c r="HP43" i="30" s="1"/>
  <c r="HP59" i="30" s="1"/>
  <c r="HQ44" i="30"/>
  <c r="HQ43" i="30" s="1"/>
  <c r="HQ59" i="30" s="1"/>
  <c r="HR44" i="30"/>
  <c r="HR43" i="30" s="1"/>
  <c r="HR59" i="30" s="1"/>
  <c r="HS44" i="30"/>
  <c r="HS43" i="30" s="1"/>
  <c r="HS59" i="30" s="1"/>
  <c r="HT44" i="30"/>
  <c r="HT43" i="30" s="1"/>
  <c r="HT59" i="30" s="1"/>
  <c r="HU44" i="30"/>
  <c r="HU43" i="30" s="1"/>
  <c r="HU59" i="30" s="1"/>
  <c r="HV44" i="30"/>
  <c r="HV43" i="30" s="1"/>
  <c r="HV59" i="30" s="1"/>
  <c r="HW44" i="30"/>
  <c r="HW43" i="30" s="1"/>
  <c r="HW59" i="30" s="1"/>
  <c r="HX44" i="30"/>
  <c r="HX43" i="30" s="1"/>
  <c r="HX59" i="30" s="1"/>
  <c r="HY44" i="30"/>
  <c r="HY43" i="30" s="1"/>
  <c r="HY59" i="30" s="1"/>
  <c r="HZ44" i="30"/>
  <c r="HZ43" i="30" s="1"/>
  <c r="HZ59" i="30" s="1"/>
  <c r="IA44" i="30"/>
  <c r="IA43" i="30" s="1"/>
  <c r="IA59" i="30" s="1"/>
  <c r="IB44" i="30"/>
  <c r="IB43" i="30" s="1"/>
  <c r="IB59" i="30" s="1"/>
  <c r="IC44" i="30"/>
  <c r="IC43" i="30" s="1"/>
  <c r="IC59" i="30" s="1"/>
  <c r="ID44" i="30"/>
  <c r="ID43" i="30" s="1"/>
  <c r="ID59" i="30" s="1"/>
  <c r="IE44" i="30"/>
  <c r="IE43" i="30" s="1"/>
  <c r="IE59" i="30" s="1"/>
  <c r="IF44" i="30"/>
  <c r="IF43" i="30" s="1"/>
  <c r="IF59" i="30" s="1"/>
  <c r="IG44" i="30"/>
  <c r="IG43" i="30" s="1"/>
  <c r="IG59" i="30" s="1"/>
  <c r="IH44" i="30"/>
  <c r="IH43" i="30" s="1"/>
  <c r="IH59" i="30" s="1"/>
  <c r="II44" i="30"/>
  <c r="II43" i="30" s="1"/>
  <c r="II59" i="30" s="1"/>
  <c r="IJ44" i="30"/>
  <c r="IJ43" i="30" s="1"/>
  <c r="IJ59" i="30" s="1"/>
  <c r="IK44" i="30"/>
  <c r="IK43" i="30" s="1"/>
  <c r="IK59" i="30" s="1"/>
  <c r="IL44" i="30"/>
  <c r="IL43" i="30" s="1"/>
  <c r="IL59" i="30" s="1"/>
  <c r="IM44" i="30"/>
  <c r="IM43" i="30" s="1"/>
  <c r="IM59" i="30" s="1"/>
  <c r="IN44" i="30"/>
  <c r="IN43" i="30" s="1"/>
  <c r="IN59" i="30" s="1"/>
  <c r="IO44" i="30"/>
  <c r="IO43" i="30" s="1"/>
  <c r="IO59" i="30" s="1"/>
  <c r="IP44" i="30"/>
  <c r="IP43" i="30" s="1"/>
  <c r="IP59" i="30" s="1"/>
  <c r="IQ44" i="30"/>
  <c r="IQ43" i="30" s="1"/>
  <c r="IQ59" i="30" s="1"/>
  <c r="IR44" i="30"/>
  <c r="IR43" i="30" s="1"/>
  <c r="IR59" i="30" s="1"/>
  <c r="IS44" i="30"/>
  <c r="IS43" i="30" s="1"/>
  <c r="IS59" i="30" s="1"/>
  <c r="IT44" i="30"/>
  <c r="IT43" i="30" s="1"/>
  <c r="IT59" i="30" s="1"/>
  <c r="IU44" i="30"/>
  <c r="IU43" i="30" s="1"/>
  <c r="IU59" i="30" s="1"/>
  <c r="IV44" i="30"/>
  <c r="IV43" i="30" s="1"/>
  <c r="IV59" i="30" s="1"/>
  <c r="IW44" i="30"/>
  <c r="IW43" i="30" s="1"/>
  <c r="IW59" i="30" s="1"/>
  <c r="IX44" i="30"/>
  <c r="IX43" i="30" s="1"/>
  <c r="IX59" i="30" s="1"/>
  <c r="IY44" i="30"/>
  <c r="IY43" i="30" s="1"/>
  <c r="IY59" i="30" s="1"/>
  <c r="IZ44" i="30"/>
  <c r="IZ43" i="30" s="1"/>
  <c r="IZ59" i="30" s="1"/>
  <c r="JA44" i="30"/>
  <c r="JA43" i="30" s="1"/>
  <c r="JA59" i="30" s="1"/>
  <c r="JB44" i="30"/>
  <c r="JB43" i="30" s="1"/>
  <c r="JB59" i="30" s="1"/>
  <c r="JC44" i="30"/>
  <c r="JC43" i="30" s="1"/>
  <c r="JC59" i="30" s="1"/>
  <c r="JD44" i="30"/>
  <c r="JD43" i="30" s="1"/>
  <c r="JD59" i="30" s="1"/>
  <c r="JE44" i="30"/>
  <c r="JE43" i="30" s="1"/>
  <c r="JE59" i="30" s="1"/>
  <c r="JF44" i="30"/>
  <c r="JF43" i="30" s="1"/>
  <c r="JF59" i="30" s="1"/>
  <c r="JG44" i="30"/>
  <c r="JG43" i="30" s="1"/>
  <c r="JG59" i="30" s="1"/>
  <c r="JH44" i="30"/>
  <c r="JH43" i="30" s="1"/>
  <c r="JH59" i="30" s="1"/>
  <c r="JI44" i="30"/>
  <c r="JI43" i="30" s="1"/>
  <c r="JI59" i="30" s="1"/>
  <c r="JJ44" i="30"/>
  <c r="JJ43" i="30" s="1"/>
  <c r="JJ59" i="30" s="1"/>
  <c r="JK44" i="30"/>
  <c r="JK43" i="30" s="1"/>
  <c r="JK59" i="30" s="1"/>
  <c r="JL44" i="30"/>
  <c r="JL43" i="30" s="1"/>
  <c r="JL59" i="30" s="1"/>
  <c r="JM44" i="30"/>
  <c r="JM43" i="30" s="1"/>
  <c r="JM59" i="30" s="1"/>
  <c r="JN44" i="30"/>
  <c r="JN43" i="30" s="1"/>
  <c r="JN59" i="30" s="1"/>
  <c r="JO44" i="30"/>
  <c r="JO43" i="30" s="1"/>
  <c r="JO59" i="30" s="1"/>
  <c r="JP44" i="30"/>
  <c r="JP43" i="30" s="1"/>
  <c r="JP59" i="30" s="1"/>
  <c r="JQ44" i="30"/>
  <c r="JQ43" i="30" s="1"/>
  <c r="JQ59" i="30" s="1"/>
  <c r="JR44" i="30"/>
  <c r="JR43" i="30" s="1"/>
  <c r="JR59" i="30" s="1"/>
  <c r="JS44" i="30"/>
  <c r="JS43" i="30" s="1"/>
  <c r="JS59" i="30" s="1"/>
  <c r="JT44" i="30"/>
  <c r="JT43" i="30" s="1"/>
  <c r="JT59" i="30" s="1"/>
  <c r="JU44" i="30"/>
  <c r="JU43" i="30" s="1"/>
  <c r="JU59" i="30" s="1"/>
  <c r="JV44" i="30"/>
  <c r="JV43" i="30" s="1"/>
  <c r="JV59" i="30" s="1"/>
  <c r="JW44" i="30"/>
  <c r="JW43" i="30" s="1"/>
  <c r="JW59" i="30" s="1"/>
  <c r="JX44" i="30"/>
  <c r="JX43" i="30" s="1"/>
  <c r="JX59" i="30" s="1"/>
  <c r="JY44" i="30"/>
  <c r="JY43" i="30" s="1"/>
  <c r="JY59" i="30" s="1"/>
  <c r="JZ44" i="30"/>
  <c r="JZ43" i="30" s="1"/>
  <c r="JZ59" i="30" s="1"/>
  <c r="KA44" i="30"/>
  <c r="KA43" i="30" s="1"/>
  <c r="KA59" i="30" s="1"/>
  <c r="KB44" i="30"/>
  <c r="KB43" i="30" s="1"/>
  <c r="KB59" i="30" s="1"/>
  <c r="KC44" i="30"/>
  <c r="KC43" i="30" s="1"/>
  <c r="KC59" i="30" s="1"/>
  <c r="KD44" i="30"/>
  <c r="KD43" i="30" s="1"/>
  <c r="KD59" i="30" s="1"/>
  <c r="KE44" i="30"/>
  <c r="KE43" i="30" s="1"/>
  <c r="KE59" i="30" s="1"/>
  <c r="E49" i="30"/>
  <c r="E48" i="30" s="1"/>
  <c r="F49" i="30"/>
  <c r="F48" i="30" s="1"/>
  <c r="G49" i="30"/>
  <c r="G48" i="30" s="1"/>
  <c r="H49" i="30"/>
  <c r="H48" i="30" s="1"/>
  <c r="I49" i="30"/>
  <c r="I48" i="30" s="1"/>
  <c r="J49" i="30"/>
  <c r="J48" i="30" s="1"/>
  <c r="K49" i="30"/>
  <c r="K48" i="30" s="1"/>
  <c r="L49" i="30"/>
  <c r="L48" i="30" s="1"/>
  <c r="M49" i="30"/>
  <c r="M48" i="30" s="1"/>
  <c r="N49" i="30"/>
  <c r="N48" i="30" s="1"/>
  <c r="O49" i="30"/>
  <c r="O48" i="30" s="1"/>
  <c r="P49" i="30"/>
  <c r="P48" i="30" s="1"/>
  <c r="Q49" i="30"/>
  <c r="Q48" i="30" s="1"/>
  <c r="R49" i="30"/>
  <c r="R48" i="30" s="1"/>
  <c r="S49" i="30"/>
  <c r="S48" i="30" s="1"/>
  <c r="T49" i="30"/>
  <c r="T48" i="30" s="1"/>
  <c r="U49" i="30"/>
  <c r="U48" i="30" s="1"/>
  <c r="V49" i="30"/>
  <c r="V48" i="30" s="1"/>
  <c r="W49" i="30"/>
  <c r="W48" i="30" s="1"/>
  <c r="X49" i="30"/>
  <c r="X48" i="30" s="1"/>
  <c r="Y49" i="30"/>
  <c r="Y48" i="30" s="1"/>
  <c r="Z49" i="30"/>
  <c r="Z48" i="30" s="1"/>
  <c r="AA49" i="30"/>
  <c r="AA48" i="30" s="1"/>
  <c r="AB49" i="30"/>
  <c r="AB48" i="30" s="1"/>
  <c r="AC49" i="30"/>
  <c r="AC48" i="30" s="1"/>
  <c r="AD49" i="30"/>
  <c r="AD48" i="30" s="1"/>
  <c r="AE49" i="30"/>
  <c r="AE48" i="30" s="1"/>
  <c r="AF49" i="30"/>
  <c r="AF48" i="30" s="1"/>
  <c r="AG49" i="30"/>
  <c r="AG48" i="30" s="1"/>
  <c r="AH49" i="30"/>
  <c r="AH48" i="30" s="1"/>
  <c r="AI49" i="30"/>
  <c r="AI48" i="30" s="1"/>
  <c r="AJ49" i="30"/>
  <c r="AJ48" i="30" s="1"/>
  <c r="AK49" i="30"/>
  <c r="AK48" i="30" s="1"/>
  <c r="AL49" i="30"/>
  <c r="AL48" i="30" s="1"/>
  <c r="AM49" i="30"/>
  <c r="AM48" i="30" s="1"/>
  <c r="AN49" i="30"/>
  <c r="AN48" i="30" s="1"/>
  <c r="AO49" i="30"/>
  <c r="AO48" i="30" s="1"/>
  <c r="AP49" i="30"/>
  <c r="AP48" i="30" s="1"/>
  <c r="AQ49" i="30"/>
  <c r="AQ48" i="30" s="1"/>
  <c r="AR49" i="30"/>
  <c r="AR48" i="30" s="1"/>
  <c r="AS49" i="30"/>
  <c r="AS48" i="30" s="1"/>
  <c r="AT49" i="30"/>
  <c r="AT48" i="30" s="1"/>
  <c r="AU49" i="30"/>
  <c r="AU48" i="30" s="1"/>
  <c r="AV49" i="30"/>
  <c r="AV48" i="30" s="1"/>
  <c r="AW49" i="30"/>
  <c r="AW48" i="30" s="1"/>
  <c r="AX49" i="30"/>
  <c r="AX48" i="30" s="1"/>
  <c r="AY49" i="30"/>
  <c r="AY48" i="30" s="1"/>
  <c r="AZ49" i="30"/>
  <c r="AZ48" i="30" s="1"/>
  <c r="BA49" i="30"/>
  <c r="BA48" i="30" s="1"/>
  <c r="BB49" i="30"/>
  <c r="BB48" i="30" s="1"/>
  <c r="BC49" i="30"/>
  <c r="BC48" i="30" s="1"/>
  <c r="BD49" i="30"/>
  <c r="BD48" i="30" s="1"/>
  <c r="BE49" i="30"/>
  <c r="BE48" i="30" s="1"/>
  <c r="BF49" i="30"/>
  <c r="BF48" i="30" s="1"/>
  <c r="BG49" i="30"/>
  <c r="BG48" i="30" s="1"/>
  <c r="BH49" i="30"/>
  <c r="BH48" i="30" s="1"/>
  <c r="BI49" i="30"/>
  <c r="BI48" i="30" s="1"/>
  <c r="BJ49" i="30"/>
  <c r="BJ48" i="30" s="1"/>
  <c r="BK49" i="30"/>
  <c r="BK48" i="30" s="1"/>
  <c r="BL49" i="30"/>
  <c r="BL48" i="30" s="1"/>
  <c r="BM49" i="30"/>
  <c r="BM48" i="30" s="1"/>
  <c r="BN49" i="30"/>
  <c r="BN48" i="30" s="1"/>
  <c r="BO49" i="30"/>
  <c r="BO48" i="30" s="1"/>
  <c r="BP49" i="30"/>
  <c r="BP48" i="30" s="1"/>
  <c r="BQ49" i="30"/>
  <c r="BQ48" i="30" s="1"/>
  <c r="BR49" i="30"/>
  <c r="BR48" i="30" s="1"/>
  <c r="BS49" i="30"/>
  <c r="BS48" i="30" s="1"/>
  <c r="BT49" i="30"/>
  <c r="BT48" i="30" s="1"/>
  <c r="BU49" i="30"/>
  <c r="BU48" i="30" s="1"/>
  <c r="BV49" i="30"/>
  <c r="BV48" i="30" s="1"/>
  <c r="BW49" i="30"/>
  <c r="BW48" i="30" s="1"/>
  <c r="BX49" i="30"/>
  <c r="BX48" i="30" s="1"/>
  <c r="BY49" i="30"/>
  <c r="BY48" i="30" s="1"/>
  <c r="BZ49" i="30"/>
  <c r="BZ48" i="30" s="1"/>
  <c r="CA49" i="30"/>
  <c r="CA48" i="30" s="1"/>
  <c r="CB49" i="30"/>
  <c r="CB48" i="30" s="1"/>
  <c r="CC49" i="30"/>
  <c r="CC48" i="30" s="1"/>
  <c r="CD49" i="30"/>
  <c r="CD48" i="30" s="1"/>
  <c r="CE49" i="30"/>
  <c r="CE48" i="30" s="1"/>
  <c r="CF49" i="30"/>
  <c r="CF48" i="30" s="1"/>
  <c r="CG49" i="30"/>
  <c r="CG48" i="30" s="1"/>
  <c r="CH49" i="30"/>
  <c r="CH48" i="30" s="1"/>
  <c r="CI49" i="30"/>
  <c r="CI48" i="30" s="1"/>
  <c r="CJ49" i="30"/>
  <c r="CJ48" i="30" s="1"/>
  <c r="CK49" i="30"/>
  <c r="CK48" i="30" s="1"/>
  <c r="CL49" i="30"/>
  <c r="CL48" i="30" s="1"/>
  <c r="CM49" i="30"/>
  <c r="CM48" i="30" s="1"/>
  <c r="CN49" i="30"/>
  <c r="CN48" i="30" s="1"/>
  <c r="CO49" i="30"/>
  <c r="CO48" i="30" s="1"/>
  <c r="CP49" i="30"/>
  <c r="CP48" i="30" s="1"/>
  <c r="CQ49" i="30"/>
  <c r="CQ48" i="30" s="1"/>
  <c r="CR49" i="30"/>
  <c r="CR48" i="30" s="1"/>
  <c r="CS49" i="30"/>
  <c r="CS48" i="30" s="1"/>
  <c r="CT49" i="30"/>
  <c r="CT48" i="30" s="1"/>
  <c r="CU49" i="30"/>
  <c r="CU48" i="30" s="1"/>
  <c r="CV49" i="30"/>
  <c r="CV48" i="30" s="1"/>
  <c r="CW49" i="30"/>
  <c r="CW48" i="30" s="1"/>
  <c r="CX49" i="30"/>
  <c r="CX48" i="30" s="1"/>
  <c r="CY49" i="30"/>
  <c r="CY48" i="30" s="1"/>
  <c r="CZ49" i="30"/>
  <c r="CZ48" i="30" s="1"/>
  <c r="DA49" i="30"/>
  <c r="DA48" i="30" s="1"/>
  <c r="DB49" i="30"/>
  <c r="DB48" i="30" s="1"/>
  <c r="DC49" i="30"/>
  <c r="DC48" i="30" s="1"/>
  <c r="DD49" i="30"/>
  <c r="DD48" i="30" s="1"/>
  <c r="DE49" i="30"/>
  <c r="DE48" i="30" s="1"/>
  <c r="DF49" i="30"/>
  <c r="DF48" i="30" s="1"/>
  <c r="DG49" i="30"/>
  <c r="DG48" i="30" s="1"/>
  <c r="DH49" i="30"/>
  <c r="DH48" i="30" s="1"/>
  <c r="DI49" i="30"/>
  <c r="DI48" i="30" s="1"/>
  <c r="DJ49" i="30"/>
  <c r="DJ48" i="30" s="1"/>
  <c r="DK49" i="30"/>
  <c r="DK48" i="30" s="1"/>
  <c r="DL49" i="30"/>
  <c r="DL48" i="30" s="1"/>
  <c r="DM49" i="30"/>
  <c r="DM48" i="30" s="1"/>
  <c r="DN49" i="30"/>
  <c r="DN48" i="30" s="1"/>
  <c r="DO49" i="30"/>
  <c r="DO48" i="30" s="1"/>
  <c r="DP49" i="30"/>
  <c r="DP48" i="30" s="1"/>
  <c r="DQ49" i="30"/>
  <c r="DQ48" i="30" s="1"/>
  <c r="DR49" i="30"/>
  <c r="DR48" i="30" s="1"/>
  <c r="DS49" i="30"/>
  <c r="DS48" i="30" s="1"/>
  <c r="DT49" i="30"/>
  <c r="DT48" i="30" s="1"/>
  <c r="DU49" i="30"/>
  <c r="DU48" i="30" s="1"/>
  <c r="DV49" i="30"/>
  <c r="DV48" i="30" s="1"/>
  <c r="DW49" i="30"/>
  <c r="DW48" i="30" s="1"/>
  <c r="DX49" i="30"/>
  <c r="DX48" i="30" s="1"/>
  <c r="DY49" i="30"/>
  <c r="DY48" i="30" s="1"/>
  <c r="DZ49" i="30"/>
  <c r="DZ48" i="30" s="1"/>
  <c r="EA49" i="30"/>
  <c r="EA48" i="30" s="1"/>
  <c r="EB49" i="30"/>
  <c r="EB48" i="30" s="1"/>
  <c r="EC49" i="30"/>
  <c r="EC48" i="30" s="1"/>
  <c r="ED49" i="30"/>
  <c r="ED48" i="30" s="1"/>
  <c r="EE49" i="30"/>
  <c r="EE48" i="30" s="1"/>
  <c r="EF49" i="30"/>
  <c r="EF48" i="30" s="1"/>
  <c r="EG49" i="30"/>
  <c r="EG48" i="30" s="1"/>
  <c r="EH49" i="30"/>
  <c r="EH48" i="30" s="1"/>
  <c r="EI49" i="30"/>
  <c r="EI48" i="30" s="1"/>
  <c r="EJ49" i="30"/>
  <c r="EJ48" i="30" s="1"/>
  <c r="EK49" i="30"/>
  <c r="EK48" i="30" s="1"/>
  <c r="EL49" i="30"/>
  <c r="EL48" i="30" s="1"/>
  <c r="EM49" i="30"/>
  <c r="EM48" i="30" s="1"/>
  <c r="EN49" i="30"/>
  <c r="EN48" i="30" s="1"/>
  <c r="EO49" i="30"/>
  <c r="EO48" i="30" s="1"/>
  <c r="EP49" i="30"/>
  <c r="EP48" i="30" s="1"/>
  <c r="EQ49" i="30"/>
  <c r="EQ48" i="30" s="1"/>
  <c r="ER49" i="30"/>
  <c r="ER48" i="30" s="1"/>
  <c r="ES49" i="30"/>
  <c r="ES48" i="30" s="1"/>
  <c r="ET49" i="30"/>
  <c r="ET48" i="30" s="1"/>
  <c r="EU49" i="30"/>
  <c r="EU48" i="30" s="1"/>
  <c r="EV49" i="30"/>
  <c r="EV48" i="30" s="1"/>
  <c r="EW49" i="30"/>
  <c r="EW48" i="30" s="1"/>
  <c r="EX49" i="30"/>
  <c r="EX48" i="30" s="1"/>
  <c r="EY49" i="30"/>
  <c r="EY48" i="30" s="1"/>
  <c r="EZ49" i="30"/>
  <c r="EZ48" i="30" s="1"/>
  <c r="FA49" i="30"/>
  <c r="FA48" i="30" s="1"/>
  <c r="FB49" i="30"/>
  <c r="FB48" i="30" s="1"/>
  <c r="FC49" i="30"/>
  <c r="FC48" i="30" s="1"/>
  <c r="FD49" i="30"/>
  <c r="FD48" i="30" s="1"/>
  <c r="FE49" i="30"/>
  <c r="FE48" i="30" s="1"/>
  <c r="FF49" i="30"/>
  <c r="FF48" i="30" s="1"/>
  <c r="FG49" i="30"/>
  <c r="FG48" i="30" s="1"/>
  <c r="FH49" i="30"/>
  <c r="FH48" i="30" s="1"/>
  <c r="FI49" i="30"/>
  <c r="FI48" i="30" s="1"/>
  <c r="FJ49" i="30"/>
  <c r="FJ48" i="30" s="1"/>
  <c r="FK49" i="30"/>
  <c r="FK48" i="30" s="1"/>
  <c r="FL49" i="30"/>
  <c r="FL48" i="30" s="1"/>
  <c r="FM49" i="30"/>
  <c r="FM48" i="30" s="1"/>
  <c r="FN49" i="30"/>
  <c r="FN48" i="30" s="1"/>
  <c r="FO49" i="30"/>
  <c r="FO48" i="30" s="1"/>
  <c r="FP49" i="30"/>
  <c r="FP48" i="30" s="1"/>
  <c r="FQ49" i="30"/>
  <c r="FQ48" i="30" s="1"/>
  <c r="FR49" i="30"/>
  <c r="FR48" i="30" s="1"/>
  <c r="FS49" i="30"/>
  <c r="FS48" i="30" s="1"/>
  <c r="FT49" i="30"/>
  <c r="FT48" i="30" s="1"/>
  <c r="FU49" i="30"/>
  <c r="FU48" i="30" s="1"/>
  <c r="FV49" i="30"/>
  <c r="FV48" i="30" s="1"/>
  <c r="FW49" i="30"/>
  <c r="FW48" i="30" s="1"/>
  <c r="FX49" i="30"/>
  <c r="FX48" i="30" s="1"/>
  <c r="FY49" i="30"/>
  <c r="FY48" i="30" s="1"/>
  <c r="FZ49" i="30"/>
  <c r="FZ48" i="30" s="1"/>
  <c r="GA49" i="30"/>
  <c r="GA48" i="30" s="1"/>
  <c r="GB49" i="30"/>
  <c r="GB48" i="30" s="1"/>
  <c r="GC49" i="30"/>
  <c r="GC48" i="30" s="1"/>
  <c r="GD49" i="30"/>
  <c r="GD48" i="30" s="1"/>
  <c r="GE49" i="30"/>
  <c r="GE48" i="30" s="1"/>
  <c r="GF49" i="30"/>
  <c r="GF48" i="30" s="1"/>
  <c r="GG49" i="30"/>
  <c r="GG48" i="30" s="1"/>
  <c r="GH49" i="30"/>
  <c r="GH48" i="30" s="1"/>
  <c r="GI49" i="30"/>
  <c r="GI48" i="30" s="1"/>
  <c r="GJ49" i="30"/>
  <c r="GJ48" i="30" s="1"/>
  <c r="GK49" i="30"/>
  <c r="GK48" i="30" s="1"/>
  <c r="GL49" i="30"/>
  <c r="GL48" i="30" s="1"/>
  <c r="GM49" i="30"/>
  <c r="GM48" i="30" s="1"/>
  <c r="GN49" i="30"/>
  <c r="GN48" i="30" s="1"/>
  <c r="GO49" i="30"/>
  <c r="GO48" i="30" s="1"/>
  <c r="GP49" i="30"/>
  <c r="GP48" i="30" s="1"/>
  <c r="GQ49" i="30"/>
  <c r="GQ48" i="30" s="1"/>
  <c r="GR49" i="30"/>
  <c r="GR48" i="30" s="1"/>
  <c r="GS49" i="30"/>
  <c r="GS48" i="30" s="1"/>
  <c r="GT49" i="30"/>
  <c r="GT48" i="30" s="1"/>
  <c r="GU49" i="30"/>
  <c r="GU48" i="30" s="1"/>
  <c r="GV49" i="30"/>
  <c r="GV48" i="30" s="1"/>
  <c r="GW49" i="30"/>
  <c r="GW48" i="30" s="1"/>
  <c r="GX49" i="30"/>
  <c r="GX48" i="30" s="1"/>
  <c r="GY49" i="30"/>
  <c r="GY48" i="30" s="1"/>
  <c r="GZ49" i="30"/>
  <c r="GZ48" i="30" s="1"/>
  <c r="HA49" i="30"/>
  <c r="HA48" i="30" s="1"/>
  <c r="HB49" i="30"/>
  <c r="HB48" i="30" s="1"/>
  <c r="HC49" i="30"/>
  <c r="HC48" i="30" s="1"/>
  <c r="HD49" i="30"/>
  <c r="HD48" i="30" s="1"/>
  <c r="HE49" i="30"/>
  <c r="HE48" i="30" s="1"/>
  <c r="HF49" i="30"/>
  <c r="HF48" i="30" s="1"/>
  <c r="HG49" i="30"/>
  <c r="HG48" i="30" s="1"/>
  <c r="HH49" i="30"/>
  <c r="HH48" i="30" s="1"/>
  <c r="HI49" i="30"/>
  <c r="HI48" i="30" s="1"/>
  <c r="HJ49" i="30"/>
  <c r="HJ48" i="30" s="1"/>
  <c r="HK49" i="30"/>
  <c r="HK48" i="30" s="1"/>
  <c r="HL49" i="30"/>
  <c r="HL48" i="30" s="1"/>
  <c r="HM49" i="30"/>
  <c r="HM48" i="30" s="1"/>
  <c r="HN49" i="30"/>
  <c r="HN48" i="30" s="1"/>
  <c r="HO49" i="30"/>
  <c r="HO48" i="30" s="1"/>
  <c r="HP49" i="30"/>
  <c r="HP48" i="30" s="1"/>
  <c r="HQ49" i="30"/>
  <c r="HQ48" i="30" s="1"/>
  <c r="HR49" i="30"/>
  <c r="HR48" i="30" s="1"/>
  <c r="HS49" i="30"/>
  <c r="HS48" i="30" s="1"/>
  <c r="HT49" i="30"/>
  <c r="HT48" i="30" s="1"/>
  <c r="HU49" i="30"/>
  <c r="HU48" i="30" s="1"/>
  <c r="HV49" i="30"/>
  <c r="HV48" i="30" s="1"/>
  <c r="HW49" i="30"/>
  <c r="HW48" i="30" s="1"/>
  <c r="HX49" i="30"/>
  <c r="HX48" i="30" s="1"/>
  <c r="HY49" i="30"/>
  <c r="HY48" i="30" s="1"/>
  <c r="HZ49" i="30"/>
  <c r="HZ48" i="30" s="1"/>
  <c r="IA49" i="30"/>
  <c r="IA48" i="30" s="1"/>
  <c r="IB49" i="30"/>
  <c r="IB48" i="30" s="1"/>
  <c r="IC49" i="30"/>
  <c r="IC48" i="30" s="1"/>
  <c r="ID49" i="30"/>
  <c r="ID48" i="30" s="1"/>
  <c r="IE49" i="30"/>
  <c r="IE48" i="30" s="1"/>
  <c r="IF49" i="30"/>
  <c r="IF48" i="30" s="1"/>
  <c r="IG49" i="30"/>
  <c r="IG48" i="30" s="1"/>
  <c r="IH49" i="30"/>
  <c r="IH48" i="30" s="1"/>
  <c r="II49" i="30"/>
  <c r="II48" i="30" s="1"/>
  <c r="IJ49" i="30"/>
  <c r="IJ48" i="30" s="1"/>
  <c r="IK49" i="30"/>
  <c r="IK48" i="30" s="1"/>
  <c r="IL49" i="30"/>
  <c r="IL48" i="30" s="1"/>
  <c r="IM49" i="30"/>
  <c r="IM48" i="30" s="1"/>
  <c r="IN49" i="30"/>
  <c r="IN48" i="30" s="1"/>
  <c r="IO49" i="30"/>
  <c r="IO48" i="30" s="1"/>
  <c r="IP49" i="30"/>
  <c r="IP48" i="30" s="1"/>
  <c r="IQ49" i="30"/>
  <c r="IQ48" i="30" s="1"/>
  <c r="IR49" i="30"/>
  <c r="IR48" i="30" s="1"/>
  <c r="IS49" i="30"/>
  <c r="IS48" i="30" s="1"/>
  <c r="IT49" i="30"/>
  <c r="IT48" i="30" s="1"/>
  <c r="IU49" i="30"/>
  <c r="IU48" i="30" s="1"/>
  <c r="IV49" i="30"/>
  <c r="IV48" i="30" s="1"/>
  <c r="IW49" i="30"/>
  <c r="IW48" i="30" s="1"/>
  <c r="IX49" i="30"/>
  <c r="IX48" i="30" s="1"/>
  <c r="IY49" i="30"/>
  <c r="IY48" i="30" s="1"/>
  <c r="IZ49" i="30"/>
  <c r="IZ48" i="30" s="1"/>
  <c r="JA49" i="30"/>
  <c r="JA48" i="30" s="1"/>
  <c r="JB49" i="30"/>
  <c r="JB48" i="30" s="1"/>
  <c r="JC49" i="30"/>
  <c r="JC48" i="30" s="1"/>
  <c r="JD49" i="30"/>
  <c r="JD48" i="30" s="1"/>
  <c r="JE49" i="30"/>
  <c r="JE48" i="30" s="1"/>
  <c r="JF49" i="30"/>
  <c r="JF48" i="30" s="1"/>
  <c r="JG49" i="30"/>
  <c r="JG48" i="30" s="1"/>
  <c r="JH49" i="30"/>
  <c r="JH48" i="30" s="1"/>
  <c r="JI49" i="30"/>
  <c r="JI48" i="30" s="1"/>
  <c r="JJ49" i="30"/>
  <c r="JJ48" i="30" s="1"/>
  <c r="JK49" i="30"/>
  <c r="JK48" i="30" s="1"/>
  <c r="JL49" i="30"/>
  <c r="JL48" i="30" s="1"/>
  <c r="JM49" i="30"/>
  <c r="JM48" i="30" s="1"/>
  <c r="JN49" i="30"/>
  <c r="JN48" i="30" s="1"/>
  <c r="JO49" i="30"/>
  <c r="JO48" i="30" s="1"/>
  <c r="JP49" i="30"/>
  <c r="JP48" i="30" s="1"/>
  <c r="JQ49" i="30"/>
  <c r="JQ48" i="30" s="1"/>
  <c r="JR49" i="30"/>
  <c r="JR48" i="30" s="1"/>
  <c r="JS49" i="30"/>
  <c r="JS48" i="30" s="1"/>
  <c r="JT49" i="30"/>
  <c r="JT48" i="30" s="1"/>
  <c r="JU49" i="30"/>
  <c r="JU48" i="30" s="1"/>
  <c r="JV49" i="30"/>
  <c r="JV48" i="30" s="1"/>
  <c r="JW49" i="30"/>
  <c r="JW48" i="30" s="1"/>
  <c r="JX49" i="30"/>
  <c r="JX48" i="30" s="1"/>
  <c r="JY49" i="30"/>
  <c r="JY48" i="30" s="1"/>
  <c r="JZ49" i="30"/>
  <c r="JZ48" i="30" s="1"/>
  <c r="KA49" i="30"/>
  <c r="KA48" i="30" s="1"/>
  <c r="KB49" i="30"/>
  <c r="KB48" i="30" s="1"/>
  <c r="KC49" i="30"/>
  <c r="KC48" i="30" s="1"/>
  <c r="KD49" i="30"/>
  <c r="KD48" i="30" s="1"/>
  <c r="KE49" i="30"/>
  <c r="KE48" i="30" s="1"/>
  <c r="D27" i="30"/>
  <c r="D26" i="30" s="1"/>
  <c r="D56" i="30" s="1"/>
  <c r="D48" i="30"/>
  <c r="D44" i="30"/>
  <c r="D34" i="30"/>
  <c r="D33" i="30" s="1"/>
  <c r="D57" i="30" s="1"/>
  <c r="D23" i="30"/>
  <c r="D22" i="30" s="1"/>
  <c r="D60" i="30" s="1"/>
  <c r="Q43" i="30" l="1"/>
  <c r="Q59" i="30" s="1"/>
  <c r="Q41" i="30"/>
  <c r="Q40" i="30" s="1"/>
  <c r="Q39" i="30" s="1"/>
  <c r="Q58" i="30" s="1"/>
  <c r="P43" i="30"/>
  <c r="P59" i="30" s="1"/>
  <c r="P41" i="30"/>
  <c r="P40" i="30" s="1"/>
  <c r="P39" i="30" s="1"/>
  <c r="P58" i="30" s="1"/>
  <c r="O43" i="30"/>
  <c r="O59" i="30" s="1"/>
  <c r="O41" i="30"/>
  <c r="O40" i="30" s="1"/>
  <c r="O39" i="30" s="1"/>
  <c r="O58" i="30" s="1"/>
  <c r="F43" i="30"/>
  <c r="F59" i="30" s="1"/>
  <c r="F41" i="30"/>
  <c r="F40" i="30" s="1"/>
  <c r="F39" i="30" s="1"/>
  <c r="F58" i="30" s="1"/>
  <c r="G43" i="30"/>
  <c r="G59" i="30" s="1"/>
  <c r="G41" i="30"/>
  <c r="G40" i="30" s="1"/>
  <c r="G39" i="30" s="1"/>
  <c r="G58" i="30" s="1"/>
  <c r="D43" i="30"/>
  <c r="D59" i="30" s="1"/>
  <c r="D41" i="30"/>
  <c r="D40" i="30" s="1"/>
  <c r="D39" i="30" s="1"/>
  <c r="D58" i="30" s="1"/>
  <c r="E43" i="30"/>
  <c r="E59" i="30" s="1"/>
  <c r="E41" i="30"/>
  <c r="E40" i="30" s="1"/>
  <c r="E39" i="30" s="1"/>
  <c r="E58" i="30" s="1"/>
  <c r="N43" i="30"/>
  <c r="N59" i="30" s="1"/>
  <c r="N41" i="30"/>
  <c r="N40" i="30" s="1"/>
  <c r="N39" i="30" s="1"/>
  <c r="N58" i="30" s="1"/>
  <c r="M43" i="30"/>
  <c r="M59" i="30" s="1"/>
  <c r="M41" i="30"/>
  <c r="M40" i="30" s="1"/>
  <c r="M39" i="30" s="1"/>
  <c r="M58" i="30" s="1"/>
  <c r="KA66" i="30"/>
  <c r="JS66" i="30"/>
  <c r="JK66" i="30"/>
  <c r="JC66" i="30"/>
  <c r="IU66" i="30"/>
  <c r="IM66" i="30"/>
  <c r="IE66" i="30"/>
  <c r="HW66" i="30"/>
  <c r="HO66" i="30"/>
  <c r="HG66" i="30"/>
  <c r="GY66" i="30"/>
  <c r="GQ66" i="30"/>
  <c r="GI66" i="30"/>
  <c r="GA66" i="30"/>
  <c r="FS66" i="30"/>
  <c r="FK66" i="30"/>
  <c r="FC66" i="30"/>
  <c r="EU66" i="30"/>
  <c r="EM66" i="30"/>
  <c r="EE66" i="30"/>
  <c r="DW66" i="30"/>
  <c r="DO66" i="30"/>
  <c r="DG66" i="30"/>
  <c r="CY66" i="30"/>
  <c r="CQ66" i="30"/>
  <c r="CI66" i="30"/>
  <c r="CA66" i="30"/>
  <c r="BS66" i="30"/>
  <c r="BK66" i="30"/>
  <c r="BC66" i="30"/>
  <c r="AU66" i="30"/>
  <c r="AM66" i="30"/>
  <c r="AE66" i="30"/>
  <c r="W66" i="30"/>
  <c r="JZ65" i="30"/>
  <c r="JR65" i="30"/>
  <c r="JJ65" i="30"/>
  <c r="JB65" i="30"/>
  <c r="IT65" i="30"/>
  <c r="IL65" i="30"/>
  <c r="ID65" i="30"/>
  <c r="HV65" i="30"/>
  <c r="HN65" i="30"/>
  <c r="HF65" i="30"/>
  <c r="GX65" i="30"/>
  <c r="GP65" i="30"/>
  <c r="GH65" i="30"/>
  <c r="FZ65" i="30"/>
  <c r="FR65" i="30"/>
  <c r="FJ65" i="30"/>
  <c r="FB65" i="30"/>
  <c r="ET65" i="30"/>
  <c r="EL65" i="30"/>
  <c r="ED65" i="30"/>
  <c r="DV65" i="30"/>
  <c r="DN65" i="30"/>
  <c r="DF65" i="30"/>
  <c r="CX65" i="30"/>
  <c r="CP65" i="30"/>
  <c r="CH65" i="30"/>
  <c r="BZ65" i="30"/>
  <c r="BR65" i="30"/>
  <c r="BJ65" i="30"/>
  <c r="BB65" i="30"/>
  <c r="AT65" i="30"/>
  <c r="AL65" i="30"/>
  <c r="AD65" i="30"/>
  <c r="V65" i="30"/>
  <c r="N65" i="30"/>
  <c r="JY64" i="30"/>
  <c r="JQ64" i="30"/>
  <c r="JI64" i="30"/>
  <c r="JA64" i="30"/>
  <c r="IS64" i="30"/>
  <c r="IK64" i="30"/>
  <c r="IC64" i="30"/>
  <c r="HU64" i="30"/>
  <c r="HM64" i="30"/>
  <c r="HE64" i="30"/>
  <c r="GW64" i="30"/>
  <c r="GO64" i="30"/>
  <c r="GG64" i="30"/>
  <c r="FY64" i="30"/>
  <c r="FQ64" i="30"/>
  <c r="FI64" i="30"/>
  <c r="FA64" i="30"/>
  <c r="ES64" i="30"/>
  <c r="EK64" i="30"/>
  <c r="EC64" i="30"/>
  <c r="DU64" i="30"/>
  <c r="DM64" i="30"/>
  <c r="DE64" i="30"/>
  <c r="CW64" i="30"/>
  <c r="CO64" i="30"/>
  <c r="CG64" i="30"/>
  <c r="BY64" i="30"/>
  <c r="BQ64" i="30"/>
  <c r="BI64" i="30"/>
  <c r="BA64" i="30"/>
  <c r="AS64" i="30"/>
  <c r="AK64" i="30"/>
  <c r="AC64" i="30"/>
  <c r="U64" i="30"/>
  <c r="M64" i="30"/>
  <c r="E64" i="30"/>
  <c r="JX63" i="30"/>
  <c r="JP63" i="30"/>
  <c r="JH63" i="30"/>
  <c r="IZ63" i="30"/>
  <c r="IR63" i="30"/>
  <c r="IJ63" i="30"/>
  <c r="IB63" i="30"/>
  <c r="HT63" i="30"/>
  <c r="HL63" i="30"/>
  <c r="HD63" i="30"/>
  <c r="GV63" i="30"/>
  <c r="GN63" i="30"/>
  <c r="GF63" i="30"/>
  <c r="FX63" i="30"/>
  <c r="FP63" i="30"/>
  <c r="FH63" i="30"/>
  <c r="EZ63" i="30"/>
  <c r="ER63" i="30"/>
  <c r="EJ63" i="30"/>
  <c r="EB63" i="30"/>
  <c r="DT63" i="30"/>
  <c r="DL63" i="30"/>
  <c r="DD63" i="30"/>
  <c r="CV63" i="30"/>
  <c r="CN63" i="30"/>
  <c r="CF63" i="30"/>
  <c r="BX63" i="30"/>
  <c r="BP63" i="30"/>
  <c r="BH63" i="30"/>
  <c r="AZ63" i="30"/>
  <c r="AR63" i="30"/>
  <c r="AJ63" i="30"/>
  <c r="AB63" i="30"/>
  <c r="T63" i="30"/>
  <c r="L63" i="30"/>
  <c r="JZ66" i="30"/>
  <c r="JR66" i="30"/>
  <c r="JJ66" i="30"/>
  <c r="JB66" i="30"/>
  <c r="IT66" i="30"/>
  <c r="IL66" i="30"/>
  <c r="ID66" i="30"/>
  <c r="HV66" i="30"/>
  <c r="HN66" i="30"/>
  <c r="HF66" i="30"/>
  <c r="GX66" i="30"/>
  <c r="GP66" i="30"/>
  <c r="GH66" i="30"/>
  <c r="FZ66" i="30"/>
  <c r="FR66" i="30"/>
  <c r="FJ66" i="30"/>
  <c r="FB66" i="30"/>
  <c r="ET66" i="30"/>
  <c r="EL66" i="30"/>
  <c r="ED66" i="30"/>
  <c r="DV66" i="30"/>
  <c r="DN66" i="30"/>
  <c r="DF66" i="30"/>
  <c r="CX66" i="30"/>
  <c r="CP66" i="30"/>
  <c r="CH66" i="30"/>
  <c r="BZ66" i="30"/>
  <c r="BR66" i="30"/>
  <c r="BJ66" i="30"/>
  <c r="BB66" i="30"/>
  <c r="AT66" i="30"/>
  <c r="AL66" i="30"/>
  <c r="AD66" i="30"/>
  <c r="V66" i="30"/>
  <c r="JY65" i="30"/>
  <c r="JQ65" i="30"/>
  <c r="JI65" i="30"/>
  <c r="JA65" i="30"/>
  <c r="IS65" i="30"/>
  <c r="IK65" i="30"/>
  <c r="IC65" i="30"/>
  <c r="HU65" i="30"/>
  <c r="HM65" i="30"/>
  <c r="HE65" i="30"/>
  <c r="GW65" i="30"/>
  <c r="GO65" i="30"/>
  <c r="GG65" i="30"/>
  <c r="FY65" i="30"/>
  <c r="FQ65" i="30"/>
  <c r="FI65" i="30"/>
  <c r="FA65" i="30"/>
  <c r="ES65" i="30"/>
  <c r="EK65" i="30"/>
  <c r="EC65" i="30"/>
  <c r="DU65" i="30"/>
  <c r="DM65" i="30"/>
  <c r="DE65" i="30"/>
  <c r="CW65" i="30"/>
  <c r="CO65" i="30"/>
  <c r="CG65" i="30"/>
  <c r="BY65" i="30"/>
  <c r="BQ65" i="30"/>
  <c r="BI65" i="30"/>
  <c r="BA65" i="30"/>
  <c r="AS65" i="30"/>
  <c r="AK65" i="30"/>
  <c r="AC65" i="30"/>
  <c r="U65" i="30"/>
  <c r="E65" i="30"/>
  <c r="JX64" i="30"/>
  <c r="JP64" i="30"/>
  <c r="JH64" i="30"/>
  <c r="IZ64" i="30"/>
  <c r="IR64" i="30"/>
  <c r="IJ64" i="30"/>
  <c r="IB64" i="30"/>
  <c r="HT64" i="30"/>
  <c r="HL64" i="30"/>
  <c r="HD64" i="30"/>
  <c r="GV64" i="30"/>
  <c r="GN64" i="30"/>
  <c r="GF64" i="30"/>
  <c r="FX64" i="30"/>
  <c r="FP64" i="30"/>
  <c r="FH64" i="30"/>
  <c r="EZ64" i="30"/>
  <c r="ER64" i="30"/>
  <c r="EJ64" i="30"/>
  <c r="EB64" i="30"/>
  <c r="DT64" i="30"/>
  <c r="DL64" i="30"/>
  <c r="DD64" i="30"/>
  <c r="CV64" i="30"/>
  <c r="CN64" i="30"/>
  <c r="CF64" i="30"/>
  <c r="BX64" i="30"/>
  <c r="BP64" i="30"/>
  <c r="BH64" i="30"/>
  <c r="AZ64" i="30"/>
  <c r="AR64" i="30"/>
  <c r="AJ64" i="30"/>
  <c r="AB64" i="30"/>
  <c r="T64" i="30"/>
  <c r="L64" i="30"/>
  <c r="KE63" i="30"/>
  <c r="JW63" i="30"/>
  <c r="JO63" i="30"/>
  <c r="JG63" i="30"/>
  <c r="IY63" i="30"/>
  <c r="IQ63" i="30"/>
  <c r="II63" i="30"/>
  <c r="IA63" i="30"/>
  <c r="HS63" i="30"/>
  <c r="HK63" i="30"/>
  <c r="HC63" i="30"/>
  <c r="GU63" i="30"/>
  <c r="GM63" i="30"/>
  <c r="GE63" i="30"/>
  <c r="FW63" i="30"/>
  <c r="FO63" i="30"/>
  <c r="FG63" i="30"/>
  <c r="EY63" i="30"/>
  <c r="EQ63" i="30"/>
  <c r="EI63" i="30"/>
  <c r="EA63" i="30"/>
  <c r="DS63" i="30"/>
  <c r="DK63" i="30"/>
  <c r="DC63" i="30"/>
  <c r="CU63" i="30"/>
  <c r="CM63" i="30"/>
  <c r="CE63" i="30"/>
  <c r="BW63" i="30"/>
  <c r="BO63" i="30"/>
  <c r="BG63" i="30"/>
  <c r="AY63" i="30"/>
  <c r="AQ63" i="30"/>
  <c r="AI63" i="30"/>
  <c r="AA63" i="30"/>
  <c r="S63" i="30"/>
  <c r="K63" i="30"/>
  <c r="D64" i="30"/>
  <c r="JY66" i="30"/>
  <c r="JQ66" i="30"/>
  <c r="JI66" i="30"/>
  <c r="JA66" i="30"/>
  <c r="IS66" i="30"/>
  <c r="IK66" i="30"/>
  <c r="IC66" i="30"/>
  <c r="HU66" i="30"/>
  <c r="HM66" i="30"/>
  <c r="HE66" i="30"/>
  <c r="GW66" i="30"/>
  <c r="GO66" i="30"/>
  <c r="GG66" i="30"/>
  <c r="FY66" i="30"/>
  <c r="FQ66" i="30"/>
  <c r="FI66" i="30"/>
  <c r="FA66" i="30"/>
  <c r="ES66" i="30"/>
  <c r="EK66" i="30"/>
  <c r="EC66" i="30"/>
  <c r="DU66" i="30"/>
  <c r="DM66" i="30"/>
  <c r="DE66" i="30"/>
  <c r="CW66" i="30"/>
  <c r="CO66" i="30"/>
  <c r="CG66" i="30"/>
  <c r="BY66" i="30"/>
  <c r="BQ66" i="30"/>
  <c r="BI66" i="30"/>
  <c r="BA66" i="30"/>
  <c r="AS66" i="30"/>
  <c r="AK66" i="30"/>
  <c r="AC66" i="30"/>
  <c r="U66" i="30"/>
  <c r="E66" i="30"/>
  <c r="JX65" i="30"/>
  <c r="JP65" i="30"/>
  <c r="JH65" i="30"/>
  <c r="IZ65" i="30"/>
  <c r="IR65" i="30"/>
  <c r="IJ65" i="30"/>
  <c r="IB65" i="30"/>
  <c r="HT65" i="30"/>
  <c r="HL65" i="30"/>
  <c r="HD65" i="30"/>
  <c r="GV65" i="30"/>
  <c r="GN65" i="30"/>
  <c r="GF65" i="30"/>
  <c r="FX65" i="30"/>
  <c r="FP65" i="30"/>
  <c r="FH65" i="30"/>
  <c r="EZ65" i="30"/>
  <c r="ER65" i="30"/>
  <c r="EJ65" i="30"/>
  <c r="EB65" i="30"/>
  <c r="DT65" i="30"/>
  <c r="DL65" i="30"/>
  <c r="DD65" i="30"/>
  <c r="CV65" i="30"/>
  <c r="CN65" i="30"/>
  <c r="CF65" i="30"/>
  <c r="BX65" i="30"/>
  <c r="BP65" i="30"/>
  <c r="BH65" i="30"/>
  <c r="AZ65" i="30"/>
  <c r="AR65" i="30"/>
  <c r="AJ65" i="30"/>
  <c r="AB65" i="30"/>
  <c r="T65" i="30"/>
  <c r="L65" i="30"/>
  <c r="KE64" i="30"/>
  <c r="JW64" i="30"/>
  <c r="JO64" i="30"/>
  <c r="JG64" i="30"/>
  <c r="IY64" i="30"/>
  <c r="IQ64" i="30"/>
  <c r="II64" i="30"/>
  <c r="IA64" i="30"/>
  <c r="HS64" i="30"/>
  <c r="HK64" i="30"/>
  <c r="HC64" i="30"/>
  <c r="GU64" i="30"/>
  <c r="GM64" i="30"/>
  <c r="GE64" i="30"/>
  <c r="FW64" i="30"/>
  <c r="FO64" i="30"/>
  <c r="FG64" i="30"/>
  <c r="EY64" i="30"/>
  <c r="EQ64" i="30"/>
  <c r="EI64" i="30"/>
  <c r="EA64" i="30"/>
  <c r="DS64" i="30"/>
  <c r="DK64" i="30"/>
  <c r="DC64" i="30"/>
  <c r="CU64" i="30"/>
  <c r="CM64" i="30"/>
  <c r="CE64" i="30"/>
  <c r="BW64" i="30"/>
  <c r="BO64" i="30"/>
  <c r="BG64" i="30"/>
  <c r="AY64" i="30"/>
  <c r="AQ64" i="30"/>
  <c r="AI64" i="30"/>
  <c r="AA64" i="30"/>
  <c r="S64" i="30"/>
  <c r="K64" i="30"/>
  <c r="KD63" i="30"/>
  <c r="JV63" i="30"/>
  <c r="JN63" i="30"/>
  <c r="JF63" i="30"/>
  <c r="IX63" i="30"/>
  <c r="IP63" i="30"/>
  <c r="IH63" i="30"/>
  <c r="HZ63" i="30"/>
  <c r="HR63" i="30"/>
  <c r="HJ63" i="30"/>
  <c r="HB63" i="30"/>
  <c r="GT63" i="30"/>
  <c r="GL63" i="30"/>
  <c r="GD63" i="30"/>
  <c r="FV63" i="30"/>
  <c r="FN63" i="30"/>
  <c r="FF63" i="30"/>
  <c r="EX63" i="30"/>
  <c r="EP63" i="30"/>
  <c r="EH63" i="30"/>
  <c r="DZ63" i="30"/>
  <c r="DR63" i="30"/>
  <c r="DJ63" i="30"/>
  <c r="DB63" i="30"/>
  <c r="CT63" i="30"/>
  <c r="CL63" i="30"/>
  <c r="CD63" i="30"/>
  <c r="BV63" i="30"/>
  <c r="BN63" i="30"/>
  <c r="BF63" i="30"/>
  <c r="AX63" i="30"/>
  <c r="AP63" i="30"/>
  <c r="AH63" i="30"/>
  <c r="Z63" i="30"/>
  <c r="R63" i="30"/>
  <c r="J63" i="30"/>
  <c r="JX66" i="30"/>
  <c r="JP66" i="30"/>
  <c r="JH66" i="30"/>
  <c r="IZ66" i="30"/>
  <c r="IR66" i="30"/>
  <c r="IJ66" i="30"/>
  <c r="IB66" i="30"/>
  <c r="HT66" i="30"/>
  <c r="HL66" i="30"/>
  <c r="HD66" i="30"/>
  <c r="GV66" i="30"/>
  <c r="GN66" i="30"/>
  <c r="GF66" i="30"/>
  <c r="FX66" i="30"/>
  <c r="FP66" i="30"/>
  <c r="FH66" i="30"/>
  <c r="EZ66" i="30"/>
  <c r="ER66" i="30"/>
  <c r="EJ66" i="30"/>
  <c r="EB66" i="30"/>
  <c r="DT66" i="30"/>
  <c r="DL66" i="30"/>
  <c r="DD66" i="30"/>
  <c r="CV66" i="30"/>
  <c r="CN66" i="30"/>
  <c r="CF66" i="30"/>
  <c r="BX66" i="30"/>
  <c r="BP66" i="30"/>
  <c r="BH66" i="30"/>
  <c r="AZ66" i="30"/>
  <c r="AR66" i="30"/>
  <c r="AJ66" i="30"/>
  <c r="AB66" i="30"/>
  <c r="T66" i="30"/>
  <c r="L66" i="30"/>
  <c r="KE65" i="30"/>
  <c r="JW65" i="30"/>
  <c r="JO65" i="30"/>
  <c r="JG65" i="30"/>
  <c r="IY65" i="30"/>
  <c r="IQ65" i="30"/>
  <c r="II65" i="30"/>
  <c r="IA65" i="30"/>
  <c r="HS65" i="30"/>
  <c r="HK65" i="30"/>
  <c r="HC65" i="30"/>
  <c r="GU65" i="30"/>
  <c r="GM65" i="30"/>
  <c r="GE65" i="30"/>
  <c r="FW65" i="30"/>
  <c r="FO65" i="30"/>
  <c r="FG65" i="30"/>
  <c r="EY65" i="30"/>
  <c r="EQ65" i="30"/>
  <c r="EI65" i="30"/>
  <c r="EA65" i="30"/>
  <c r="DS65" i="30"/>
  <c r="DK65" i="30"/>
  <c r="DC65" i="30"/>
  <c r="CU65" i="30"/>
  <c r="CM65" i="30"/>
  <c r="CE65" i="30"/>
  <c r="BW65" i="30"/>
  <c r="BO65" i="30"/>
  <c r="BG65" i="30"/>
  <c r="AY65" i="30"/>
  <c r="AQ65" i="30"/>
  <c r="AI65" i="30"/>
  <c r="AA65" i="30"/>
  <c r="S65" i="30"/>
  <c r="K65" i="30"/>
  <c r="KD64" i="30"/>
  <c r="JV64" i="30"/>
  <c r="JN64" i="30"/>
  <c r="JF64" i="30"/>
  <c r="IX64" i="30"/>
  <c r="IP64" i="30"/>
  <c r="IH64" i="30"/>
  <c r="HZ64" i="30"/>
  <c r="HR64" i="30"/>
  <c r="HJ64" i="30"/>
  <c r="HB64" i="30"/>
  <c r="GT64" i="30"/>
  <c r="GL64" i="30"/>
  <c r="GD64" i="30"/>
  <c r="FV64" i="30"/>
  <c r="FN64" i="30"/>
  <c r="FF64" i="30"/>
  <c r="EX64" i="30"/>
  <c r="EP64" i="30"/>
  <c r="EH64" i="30"/>
  <c r="DZ64" i="30"/>
  <c r="DR64" i="30"/>
  <c r="DJ64" i="30"/>
  <c r="DB64" i="30"/>
  <c r="CT64" i="30"/>
  <c r="CL64" i="30"/>
  <c r="CD64" i="30"/>
  <c r="BV64" i="30"/>
  <c r="BN64" i="30"/>
  <c r="BF64" i="30"/>
  <c r="AX64" i="30"/>
  <c r="AP64" i="30"/>
  <c r="AH64" i="30"/>
  <c r="Z64" i="30"/>
  <c r="R64" i="30"/>
  <c r="J64" i="30"/>
  <c r="KC63" i="30"/>
  <c r="JU63" i="30"/>
  <c r="JM63" i="30"/>
  <c r="JE63" i="30"/>
  <c r="IW63" i="30"/>
  <c r="IO63" i="30"/>
  <c r="IG63" i="30"/>
  <c r="HY63" i="30"/>
  <c r="HQ63" i="30"/>
  <c r="HI63" i="30"/>
  <c r="HA63" i="30"/>
  <c r="GS63" i="30"/>
  <c r="GK63" i="30"/>
  <c r="GC63" i="30"/>
  <c r="FU63" i="30"/>
  <c r="FM63" i="30"/>
  <c r="FE63" i="30"/>
  <c r="EW63" i="30"/>
  <c r="EO63" i="30"/>
  <c r="EG63" i="30"/>
  <c r="DY63" i="30"/>
  <c r="DQ63" i="30"/>
  <c r="DI63" i="30"/>
  <c r="DA63" i="30"/>
  <c r="CS63" i="30"/>
  <c r="CK63" i="30"/>
  <c r="CC63" i="30"/>
  <c r="BU63" i="30"/>
  <c r="BM63" i="30"/>
  <c r="BE63" i="30"/>
  <c r="AW63" i="30"/>
  <c r="AO63" i="30"/>
  <c r="AG63" i="30"/>
  <c r="Y63" i="30"/>
  <c r="Q63" i="30"/>
  <c r="I63" i="30"/>
  <c r="KE66" i="30"/>
  <c r="JW66" i="30"/>
  <c r="JO66" i="30"/>
  <c r="JG66" i="30"/>
  <c r="IY66" i="30"/>
  <c r="IQ66" i="30"/>
  <c r="II66" i="30"/>
  <c r="IA66" i="30"/>
  <c r="HS66" i="30"/>
  <c r="HK66" i="30"/>
  <c r="HC66" i="30"/>
  <c r="GU66" i="30"/>
  <c r="GM66" i="30"/>
  <c r="GE66" i="30"/>
  <c r="FW66" i="30"/>
  <c r="FO66" i="30"/>
  <c r="FG66" i="30"/>
  <c r="EY66" i="30"/>
  <c r="EQ66" i="30"/>
  <c r="EI66" i="30"/>
  <c r="EA66" i="30"/>
  <c r="DS66" i="30"/>
  <c r="DK66" i="30"/>
  <c r="DC66" i="30"/>
  <c r="CU66" i="30"/>
  <c r="CM66" i="30"/>
  <c r="CE66" i="30"/>
  <c r="BW66" i="30"/>
  <c r="BO66" i="30"/>
  <c r="BG66" i="30"/>
  <c r="AY66" i="30"/>
  <c r="AQ66" i="30"/>
  <c r="AI66" i="30"/>
  <c r="AA66" i="30"/>
  <c r="S66" i="30"/>
  <c r="K66" i="30"/>
  <c r="KD65" i="30"/>
  <c r="JV65" i="30"/>
  <c r="JN65" i="30"/>
  <c r="JF65" i="30"/>
  <c r="IX65" i="30"/>
  <c r="IP65" i="30"/>
  <c r="IH65" i="30"/>
  <c r="HZ65" i="30"/>
  <c r="HR65" i="30"/>
  <c r="HJ65" i="30"/>
  <c r="HB65" i="30"/>
  <c r="GT65" i="30"/>
  <c r="GL65" i="30"/>
  <c r="GD65" i="30"/>
  <c r="FV65" i="30"/>
  <c r="FN65" i="30"/>
  <c r="FF65" i="30"/>
  <c r="EX65" i="30"/>
  <c r="EP65" i="30"/>
  <c r="EH65" i="30"/>
  <c r="DZ65" i="30"/>
  <c r="DR65" i="30"/>
  <c r="DJ65" i="30"/>
  <c r="DB65" i="30"/>
  <c r="CT65" i="30"/>
  <c r="CL65" i="30"/>
  <c r="CD65" i="30"/>
  <c r="BV65" i="30"/>
  <c r="BN65" i="30"/>
  <c r="BF65" i="30"/>
  <c r="AX65" i="30"/>
  <c r="AP65" i="30"/>
  <c r="AH65" i="30"/>
  <c r="Z65" i="30"/>
  <c r="R65" i="30"/>
  <c r="J65" i="30"/>
  <c r="KC64" i="30"/>
  <c r="JU64" i="30"/>
  <c r="JM64" i="30"/>
  <c r="JE64" i="30"/>
  <c r="IW64" i="30"/>
  <c r="IO64" i="30"/>
  <c r="IG64" i="30"/>
  <c r="HY64" i="30"/>
  <c r="HQ64" i="30"/>
  <c r="HI64" i="30"/>
  <c r="HA64" i="30"/>
  <c r="GS64" i="30"/>
  <c r="GK64" i="30"/>
  <c r="GC64" i="30"/>
  <c r="FU64" i="30"/>
  <c r="FM64" i="30"/>
  <c r="FE64" i="30"/>
  <c r="EW64" i="30"/>
  <c r="EO64" i="30"/>
  <c r="EG64" i="30"/>
  <c r="DY64" i="30"/>
  <c r="DQ64" i="30"/>
  <c r="DI64" i="30"/>
  <c r="DA64" i="30"/>
  <c r="CS64" i="30"/>
  <c r="CK64" i="30"/>
  <c r="CC64" i="30"/>
  <c r="BU64" i="30"/>
  <c r="BM64" i="30"/>
  <c r="BE64" i="30"/>
  <c r="AW64" i="30"/>
  <c r="AO64" i="30"/>
  <c r="AG64" i="30"/>
  <c r="Y64" i="30"/>
  <c r="Q64" i="30"/>
  <c r="I64" i="30"/>
  <c r="KB63" i="30"/>
  <c r="JT63" i="30"/>
  <c r="JL63" i="30"/>
  <c r="JD63" i="30"/>
  <c r="IV63" i="30"/>
  <c r="IN63" i="30"/>
  <c r="IF63" i="30"/>
  <c r="HX63" i="30"/>
  <c r="HP63" i="30"/>
  <c r="HH63" i="30"/>
  <c r="GZ63" i="30"/>
  <c r="GR63" i="30"/>
  <c r="GJ63" i="30"/>
  <c r="GB63" i="30"/>
  <c r="FT63" i="30"/>
  <c r="FL63" i="30"/>
  <c r="FD63" i="30"/>
  <c r="EV63" i="30"/>
  <c r="EN63" i="30"/>
  <c r="EF63" i="30"/>
  <c r="DX63" i="30"/>
  <c r="DP63" i="30"/>
  <c r="DH63" i="30"/>
  <c r="CZ63" i="30"/>
  <c r="CR63" i="30"/>
  <c r="CJ63" i="30"/>
  <c r="CB63" i="30"/>
  <c r="BT63" i="30"/>
  <c r="BL63" i="30"/>
  <c r="BD63" i="30"/>
  <c r="AV63" i="30"/>
  <c r="AN63" i="30"/>
  <c r="AF63" i="30"/>
  <c r="X63" i="30"/>
  <c r="P63" i="30"/>
  <c r="H63" i="30"/>
  <c r="D63" i="30"/>
  <c r="KD66" i="30"/>
  <c r="JV66" i="30"/>
  <c r="JN66" i="30"/>
  <c r="JF66" i="30"/>
  <c r="IX66" i="30"/>
  <c r="IP66" i="30"/>
  <c r="IH66" i="30"/>
  <c r="HZ66" i="30"/>
  <c r="HR66" i="30"/>
  <c r="HJ66" i="30"/>
  <c r="HB66" i="30"/>
  <c r="GT66" i="30"/>
  <c r="GL66" i="30"/>
  <c r="GD66" i="30"/>
  <c r="FV66" i="30"/>
  <c r="FN66" i="30"/>
  <c r="FF66" i="30"/>
  <c r="EX66" i="30"/>
  <c r="EP66" i="30"/>
  <c r="EH66" i="30"/>
  <c r="DZ66" i="30"/>
  <c r="DR66" i="30"/>
  <c r="DJ66" i="30"/>
  <c r="DB66" i="30"/>
  <c r="CT66" i="30"/>
  <c r="CL66" i="30"/>
  <c r="CD66" i="30"/>
  <c r="BV66" i="30"/>
  <c r="BN66" i="30"/>
  <c r="BF66" i="30"/>
  <c r="AX66" i="30"/>
  <c r="AP66" i="30"/>
  <c r="AH66" i="30"/>
  <c r="Z66" i="30"/>
  <c r="R66" i="30"/>
  <c r="J66" i="30"/>
  <c r="KC65" i="30"/>
  <c r="JU65" i="30"/>
  <c r="JM65" i="30"/>
  <c r="JE65" i="30"/>
  <c r="IW65" i="30"/>
  <c r="IO65" i="30"/>
  <c r="IG65" i="30"/>
  <c r="HY65" i="30"/>
  <c r="HQ65" i="30"/>
  <c r="HI65" i="30"/>
  <c r="HA65" i="30"/>
  <c r="GS65" i="30"/>
  <c r="GK65" i="30"/>
  <c r="GC65" i="30"/>
  <c r="FU65" i="30"/>
  <c r="FM65" i="30"/>
  <c r="FE65" i="30"/>
  <c r="EW65" i="30"/>
  <c r="EO65" i="30"/>
  <c r="EG65" i="30"/>
  <c r="DY65" i="30"/>
  <c r="DQ65" i="30"/>
  <c r="DI65" i="30"/>
  <c r="DA65" i="30"/>
  <c r="CS65" i="30"/>
  <c r="CK65" i="30"/>
  <c r="CC65" i="30"/>
  <c r="BU65" i="30"/>
  <c r="BM65" i="30"/>
  <c r="BE65" i="30"/>
  <c r="AW65" i="30"/>
  <c r="AO65" i="30"/>
  <c r="AG65" i="30"/>
  <c r="Y65" i="30"/>
  <c r="Q65" i="30"/>
  <c r="I65" i="30"/>
  <c r="KB64" i="30"/>
  <c r="JT64" i="30"/>
  <c r="JL64" i="30"/>
  <c r="JD64" i="30"/>
  <c r="IV64" i="30"/>
  <c r="IN64" i="30"/>
  <c r="IF64" i="30"/>
  <c r="HX64" i="30"/>
  <c r="HP64" i="30"/>
  <c r="HH64" i="30"/>
  <c r="GZ64" i="30"/>
  <c r="GR64" i="30"/>
  <c r="GJ64" i="30"/>
  <c r="GB64" i="30"/>
  <c r="FT64" i="30"/>
  <c r="FL64" i="30"/>
  <c r="FD64" i="30"/>
  <c r="EV64" i="30"/>
  <c r="EN64" i="30"/>
  <c r="EF64" i="30"/>
  <c r="DX64" i="30"/>
  <c r="DP64" i="30"/>
  <c r="DH64" i="30"/>
  <c r="CZ64" i="30"/>
  <c r="CR64" i="30"/>
  <c r="CJ64" i="30"/>
  <c r="CB64" i="30"/>
  <c r="BT64" i="30"/>
  <c r="BL64" i="30"/>
  <c r="BD64" i="30"/>
  <c r="AV64" i="30"/>
  <c r="AN64" i="30"/>
  <c r="AF64" i="30"/>
  <c r="X64" i="30"/>
  <c r="P64" i="30"/>
  <c r="H64" i="30"/>
  <c r="KA63" i="30"/>
  <c r="JS63" i="30"/>
  <c r="JK63" i="30"/>
  <c r="JC63" i="30"/>
  <c r="IU63" i="30"/>
  <c r="IM63" i="30"/>
  <c r="IE63" i="30"/>
  <c r="HW63" i="30"/>
  <c r="HO63" i="30"/>
  <c r="HG63" i="30"/>
  <c r="GY63" i="30"/>
  <c r="GQ63" i="30"/>
  <c r="GI63" i="30"/>
  <c r="GA63" i="30"/>
  <c r="FS63" i="30"/>
  <c r="FK63" i="30"/>
  <c r="FC63" i="30"/>
  <c r="EU63" i="30"/>
  <c r="EM63" i="30"/>
  <c r="EE63" i="30"/>
  <c r="DW63" i="30"/>
  <c r="DO63" i="30"/>
  <c r="DG63" i="30"/>
  <c r="CY63" i="30"/>
  <c r="CQ63" i="30"/>
  <c r="CI63" i="30"/>
  <c r="CA63" i="30"/>
  <c r="BS63" i="30"/>
  <c r="BK63" i="30"/>
  <c r="BC63" i="30"/>
  <c r="AU63" i="30"/>
  <c r="AM63" i="30"/>
  <c r="AE63" i="30"/>
  <c r="W63" i="30"/>
  <c r="O63" i="30"/>
  <c r="G63" i="30"/>
  <c r="KC66" i="30"/>
  <c r="JU66" i="30"/>
  <c r="JM66" i="30"/>
  <c r="JE66" i="30"/>
  <c r="IW66" i="30"/>
  <c r="IO66" i="30"/>
  <c r="IG66" i="30"/>
  <c r="HY66" i="30"/>
  <c r="HQ66" i="30"/>
  <c r="HI66" i="30"/>
  <c r="HA66" i="30"/>
  <c r="GS66" i="30"/>
  <c r="GK66" i="30"/>
  <c r="GC66" i="30"/>
  <c r="FU66" i="30"/>
  <c r="FM66" i="30"/>
  <c r="FE66" i="30"/>
  <c r="EW66" i="30"/>
  <c r="EO66" i="30"/>
  <c r="EG66" i="30"/>
  <c r="DY66" i="30"/>
  <c r="DQ66" i="30"/>
  <c r="DI66" i="30"/>
  <c r="DA66" i="30"/>
  <c r="CS66" i="30"/>
  <c r="CK66" i="30"/>
  <c r="CC66" i="30"/>
  <c r="BU66" i="30"/>
  <c r="BM66" i="30"/>
  <c r="BE66" i="30"/>
  <c r="AW66" i="30"/>
  <c r="AO66" i="30"/>
  <c r="AG66" i="30"/>
  <c r="Y66" i="30"/>
  <c r="Q66" i="30"/>
  <c r="I66" i="30"/>
  <c r="KB65" i="30"/>
  <c r="JT65" i="30"/>
  <c r="JL65" i="30"/>
  <c r="JD65" i="30"/>
  <c r="IV65" i="30"/>
  <c r="IN65" i="30"/>
  <c r="IF65" i="30"/>
  <c r="HX65" i="30"/>
  <c r="HP65" i="30"/>
  <c r="HH65" i="30"/>
  <c r="GZ65" i="30"/>
  <c r="GR65" i="30"/>
  <c r="GJ65" i="30"/>
  <c r="GB65" i="30"/>
  <c r="FT65" i="30"/>
  <c r="FL65" i="30"/>
  <c r="FD65" i="30"/>
  <c r="EV65" i="30"/>
  <c r="EN65" i="30"/>
  <c r="EF65" i="30"/>
  <c r="DX65" i="30"/>
  <c r="DP65" i="30"/>
  <c r="DH65" i="30"/>
  <c r="CZ65" i="30"/>
  <c r="CR65" i="30"/>
  <c r="CJ65" i="30"/>
  <c r="CB65" i="30"/>
  <c r="BT65" i="30"/>
  <c r="BL65" i="30"/>
  <c r="BD65" i="30"/>
  <c r="AV65" i="30"/>
  <c r="AN65" i="30"/>
  <c r="AF65" i="30"/>
  <c r="X65" i="30"/>
  <c r="P65" i="30"/>
  <c r="H65" i="30"/>
  <c r="KA64" i="30"/>
  <c r="JS64" i="30"/>
  <c r="JK64" i="30"/>
  <c r="JC64" i="30"/>
  <c r="IU64" i="30"/>
  <c r="IM64" i="30"/>
  <c r="IE64" i="30"/>
  <c r="HW64" i="30"/>
  <c r="HO64" i="30"/>
  <c r="HG64" i="30"/>
  <c r="GY64" i="30"/>
  <c r="GQ64" i="30"/>
  <c r="GI64" i="30"/>
  <c r="GA64" i="30"/>
  <c r="FS64" i="30"/>
  <c r="FK64" i="30"/>
  <c r="FC64" i="30"/>
  <c r="EU64" i="30"/>
  <c r="EM64" i="30"/>
  <c r="EE64" i="30"/>
  <c r="DW64" i="30"/>
  <c r="DO64" i="30"/>
  <c r="DG64" i="30"/>
  <c r="CY64" i="30"/>
  <c r="CQ64" i="30"/>
  <c r="CI64" i="30"/>
  <c r="CA64" i="30"/>
  <c r="BS64" i="30"/>
  <c r="BK64" i="30"/>
  <c r="BC64" i="30"/>
  <c r="AU64" i="30"/>
  <c r="AM64" i="30"/>
  <c r="AE64" i="30"/>
  <c r="W64" i="30"/>
  <c r="O64" i="30"/>
  <c r="G64" i="30"/>
  <c r="JZ63" i="30"/>
  <c r="JR63" i="30"/>
  <c r="JJ63" i="30"/>
  <c r="JB63" i="30"/>
  <c r="IT63" i="30"/>
  <c r="IL63" i="30"/>
  <c r="ID63" i="30"/>
  <c r="HV63" i="30"/>
  <c r="HN63" i="30"/>
  <c r="HF63" i="30"/>
  <c r="GX63" i="30"/>
  <c r="GP63" i="30"/>
  <c r="GH63" i="30"/>
  <c r="FZ63" i="30"/>
  <c r="FR63" i="30"/>
  <c r="FJ63" i="30"/>
  <c r="FB63" i="30"/>
  <c r="ET63" i="30"/>
  <c r="EL63" i="30"/>
  <c r="ED63" i="30"/>
  <c r="DV63" i="30"/>
  <c r="DN63" i="30"/>
  <c r="DF63" i="30"/>
  <c r="CX63" i="30"/>
  <c r="CP63" i="30"/>
  <c r="CH63" i="30"/>
  <c r="BZ63" i="30"/>
  <c r="BR63" i="30"/>
  <c r="BJ63" i="30"/>
  <c r="BB63" i="30"/>
  <c r="AT63" i="30"/>
  <c r="AL63" i="30"/>
  <c r="AD63" i="30"/>
  <c r="V63" i="30"/>
  <c r="N63" i="30"/>
  <c r="F63" i="30"/>
  <c r="KB66" i="30"/>
  <c r="JT66" i="30"/>
  <c r="JL66" i="30"/>
  <c r="JD66" i="30"/>
  <c r="IV66" i="30"/>
  <c r="IN66" i="30"/>
  <c r="IF66" i="30"/>
  <c r="HX66" i="30"/>
  <c r="HP66" i="30"/>
  <c r="HH66" i="30"/>
  <c r="GZ66" i="30"/>
  <c r="GR66" i="30"/>
  <c r="GJ66" i="30"/>
  <c r="GB66" i="30"/>
  <c r="FT66" i="30"/>
  <c r="FL66" i="30"/>
  <c r="FD66" i="30"/>
  <c r="EV66" i="30"/>
  <c r="EN66" i="30"/>
  <c r="EF66" i="30"/>
  <c r="DX66" i="30"/>
  <c r="DP66" i="30"/>
  <c r="DH66" i="30"/>
  <c r="CZ66" i="30"/>
  <c r="CR66" i="30"/>
  <c r="CJ66" i="30"/>
  <c r="CB66" i="30"/>
  <c r="BT66" i="30"/>
  <c r="BL66" i="30"/>
  <c r="BD66" i="30"/>
  <c r="AV66" i="30"/>
  <c r="AN66" i="30"/>
  <c r="AF66" i="30"/>
  <c r="X66" i="30"/>
  <c r="P66" i="30"/>
  <c r="H66" i="30"/>
  <c r="KA65" i="30"/>
  <c r="JS65" i="30"/>
  <c r="JK65" i="30"/>
  <c r="JC65" i="30"/>
  <c r="IU65" i="30"/>
  <c r="IM65" i="30"/>
  <c r="IE65" i="30"/>
  <c r="HW65" i="30"/>
  <c r="HO65" i="30"/>
  <c r="HG65" i="30"/>
  <c r="GY65" i="30"/>
  <c r="GQ65" i="30"/>
  <c r="GI65" i="30"/>
  <c r="GA65" i="30"/>
  <c r="FS65" i="30"/>
  <c r="FK65" i="30"/>
  <c r="FC65" i="30"/>
  <c r="EU65" i="30"/>
  <c r="EM65" i="30"/>
  <c r="EE65" i="30"/>
  <c r="DW65" i="30"/>
  <c r="DO65" i="30"/>
  <c r="DG65" i="30"/>
  <c r="CY65" i="30"/>
  <c r="CQ65" i="30"/>
  <c r="CI65" i="30"/>
  <c r="CA65" i="30"/>
  <c r="BS65" i="30"/>
  <c r="BK65" i="30"/>
  <c r="BC65" i="30"/>
  <c r="AU65" i="30"/>
  <c r="AM65" i="30"/>
  <c r="AE65" i="30"/>
  <c r="W65" i="30"/>
  <c r="JZ64" i="30"/>
  <c r="JR64" i="30"/>
  <c r="JJ64" i="30"/>
  <c r="JB64" i="30"/>
  <c r="IT64" i="30"/>
  <c r="IL64" i="30"/>
  <c r="ID64" i="30"/>
  <c r="HV64" i="30"/>
  <c r="HN64" i="30"/>
  <c r="HF64" i="30"/>
  <c r="GX64" i="30"/>
  <c r="GP64" i="30"/>
  <c r="GH64" i="30"/>
  <c r="FZ64" i="30"/>
  <c r="FR64" i="30"/>
  <c r="FJ64" i="30"/>
  <c r="FB64" i="30"/>
  <c r="ET64" i="30"/>
  <c r="EL64" i="30"/>
  <c r="ED64" i="30"/>
  <c r="DV64" i="30"/>
  <c r="DN64" i="30"/>
  <c r="DF64" i="30"/>
  <c r="CX64" i="30"/>
  <c r="CP64" i="30"/>
  <c r="CH64" i="30"/>
  <c r="BZ64" i="30"/>
  <c r="BR64" i="30"/>
  <c r="BJ64" i="30"/>
  <c r="BB64" i="30"/>
  <c r="AT64" i="30"/>
  <c r="AL64" i="30"/>
  <c r="AD64" i="30"/>
  <c r="V64" i="30"/>
  <c r="N64" i="30"/>
  <c r="F64" i="30"/>
  <c r="JY63" i="30"/>
  <c r="JQ63" i="30"/>
  <c r="JQ55" i="30"/>
  <c r="JI63" i="30"/>
  <c r="JA63" i="30"/>
  <c r="IS63" i="30"/>
  <c r="IK63" i="30"/>
  <c r="IK55" i="30"/>
  <c r="IC63" i="30"/>
  <c r="HU63" i="30"/>
  <c r="HM63" i="30"/>
  <c r="HE63" i="30"/>
  <c r="HE55" i="30"/>
  <c r="GW63" i="30"/>
  <c r="GO63" i="30"/>
  <c r="GG63" i="30"/>
  <c r="FY63" i="30"/>
  <c r="FY55" i="30"/>
  <c r="FQ63" i="30"/>
  <c r="FI63" i="30"/>
  <c r="FA63" i="30"/>
  <c r="ES63" i="30"/>
  <c r="ES55" i="30"/>
  <c r="EK63" i="30"/>
  <c r="EC63" i="30"/>
  <c r="DU63" i="30"/>
  <c r="DM63" i="30"/>
  <c r="DM55" i="30"/>
  <c r="DE63" i="30"/>
  <c r="CW63" i="30"/>
  <c r="CO63" i="30"/>
  <c r="CG63" i="30"/>
  <c r="CG55" i="30"/>
  <c r="BY63" i="30"/>
  <c r="BQ63" i="30"/>
  <c r="BI63" i="30"/>
  <c r="BA63" i="30"/>
  <c r="BA55" i="30"/>
  <c r="AS63" i="30"/>
  <c r="AK63" i="30"/>
  <c r="AC63" i="30"/>
  <c r="U63" i="30"/>
  <c r="U55" i="30"/>
  <c r="M63" i="30"/>
  <c r="E63" i="30"/>
  <c r="C2" i="43"/>
  <c r="C2" i="42"/>
  <c r="C2" i="41"/>
  <c r="C2" i="38"/>
  <c r="C2" i="40"/>
  <c r="C2" i="39"/>
  <c r="C2" i="36"/>
  <c r="C2" i="37"/>
  <c r="C2" i="34"/>
  <c r="D16" i="30"/>
  <c r="D15" i="30" s="1"/>
  <c r="E16" i="30"/>
  <c r="E15" i="30" s="1"/>
  <c r="F16" i="30"/>
  <c r="F15" i="30" s="1"/>
  <c r="G16" i="30"/>
  <c r="G15" i="30" s="1"/>
  <c r="H16" i="30"/>
  <c r="H15" i="30" s="1"/>
  <c r="I16" i="30"/>
  <c r="I15" i="30" s="1"/>
  <c r="J16" i="30"/>
  <c r="J15" i="30" s="1"/>
  <c r="K16" i="30"/>
  <c r="K15" i="30" s="1"/>
  <c r="L16" i="30"/>
  <c r="L15" i="30" s="1"/>
  <c r="M16" i="30"/>
  <c r="M15" i="30" s="1"/>
  <c r="N16" i="30"/>
  <c r="N15" i="30" s="1"/>
  <c r="O16" i="30"/>
  <c r="O15" i="30" s="1"/>
  <c r="P16" i="30"/>
  <c r="P15" i="30" s="1"/>
  <c r="Q16" i="30"/>
  <c r="Q15" i="30" s="1"/>
  <c r="R16" i="30"/>
  <c r="R15" i="30" s="1"/>
  <c r="S16" i="30"/>
  <c r="S15" i="30" s="1"/>
  <c r="T16" i="30"/>
  <c r="T15" i="30" s="1"/>
  <c r="U16" i="30"/>
  <c r="U15" i="30" s="1"/>
  <c r="V16" i="30"/>
  <c r="V15" i="30" s="1"/>
  <c r="W16" i="30"/>
  <c r="W15" i="30" s="1"/>
  <c r="X16" i="30"/>
  <c r="X15" i="30" s="1"/>
  <c r="Y16" i="30"/>
  <c r="Y15" i="30" s="1"/>
  <c r="Z16" i="30"/>
  <c r="Z15" i="30" s="1"/>
  <c r="AA16" i="30"/>
  <c r="AA15" i="30" s="1"/>
  <c r="AB16" i="30"/>
  <c r="AB15" i="30" s="1"/>
  <c r="AC16" i="30"/>
  <c r="AC15" i="30" s="1"/>
  <c r="AD16" i="30"/>
  <c r="AD15" i="30" s="1"/>
  <c r="AE16" i="30"/>
  <c r="AE15" i="30" s="1"/>
  <c r="AF16" i="30"/>
  <c r="AF15" i="30" s="1"/>
  <c r="AG16" i="30"/>
  <c r="AG15" i="30" s="1"/>
  <c r="AH16" i="30"/>
  <c r="AH15" i="30" s="1"/>
  <c r="AI16" i="30"/>
  <c r="AI15" i="30" s="1"/>
  <c r="AJ16" i="30"/>
  <c r="AJ15" i="30" s="1"/>
  <c r="AK16" i="30"/>
  <c r="AK15" i="30" s="1"/>
  <c r="AL16" i="30"/>
  <c r="AL15" i="30" s="1"/>
  <c r="AM16" i="30"/>
  <c r="AM15" i="30" s="1"/>
  <c r="AN16" i="30"/>
  <c r="AN15" i="30" s="1"/>
  <c r="AO16" i="30"/>
  <c r="AO15" i="30" s="1"/>
  <c r="AP16" i="30"/>
  <c r="AP15" i="30" s="1"/>
  <c r="AQ16" i="30"/>
  <c r="AQ15" i="30" s="1"/>
  <c r="AR16" i="30"/>
  <c r="AR15" i="30" s="1"/>
  <c r="AS16" i="30"/>
  <c r="AS15" i="30" s="1"/>
  <c r="AT16" i="30"/>
  <c r="AT15" i="30" s="1"/>
  <c r="AU16" i="30"/>
  <c r="AU15" i="30" s="1"/>
  <c r="AV16" i="30"/>
  <c r="AV15" i="30" s="1"/>
  <c r="AW16" i="30"/>
  <c r="AW15" i="30" s="1"/>
  <c r="AX16" i="30"/>
  <c r="AX15" i="30" s="1"/>
  <c r="AY16" i="30"/>
  <c r="AY15" i="30" s="1"/>
  <c r="AZ16" i="30"/>
  <c r="AZ15" i="30" s="1"/>
  <c r="BA16" i="30"/>
  <c r="BA15" i="30" s="1"/>
  <c r="BB16" i="30"/>
  <c r="BB15" i="30" s="1"/>
  <c r="BC16" i="30"/>
  <c r="BC15" i="30" s="1"/>
  <c r="BD16" i="30"/>
  <c r="BD15" i="30" s="1"/>
  <c r="BE16" i="30"/>
  <c r="BE15" i="30" s="1"/>
  <c r="BF16" i="30"/>
  <c r="BF15" i="30" s="1"/>
  <c r="BG16" i="30"/>
  <c r="BG15" i="30" s="1"/>
  <c r="BH16" i="30"/>
  <c r="BH15" i="30" s="1"/>
  <c r="BI16" i="30"/>
  <c r="BI15" i="30" s="1"/>
  <c r="BJ16" i="30"/>
  <c r="BJ15" i="30" s="1"/>
  <c r="BK16" i="30"/>
  <c r="BK15" i="30" s="1"/>
  <c r="BL16" i="30"/>
  <c r="BL15" i="30" s="1"/>
  <c r="BM16" i="30"/>
  <c r="BM15" i="30" s="1"/>
  <c r="BN16" i="30"/>
  <c r="BN15" i="30" s="1"/>
  <c r="BO16" i="30"/>
  <c r="BO15" i="30" s="1"/>
  <c r="BP16" i="30"/>
  <c r="BP15" i="30" s="1"/>
  <c r="BQ16" i="30"/>
  <c r="BQ15" i="30" s="1"/>
  <c r="BR16" i="30"/>
  <c r="BR15" i="30" s="1"/>
  <c r="BS16" i="30"/>
  <c r="BS15" i="30" s="1"/>
  <c r="BT16" i="30"/>
  <c r="BT15" i="30" s="1"/>
  <c r="BU16" i="30"/>
  <c r="BU15" i="30" s="1"/>
  <c r="BV16" i="30"/>
  <c r="BV15" i="30" s="1"/>
  <c r="BW16" i="30"/>
  <c r="BW15" i="30" s="1"/>
  <c r="BX16" i="30"/>
  <c r="BX15" i="30" s="1"/>
  <c r="BY16" i="30"/>
  <c r="BY15" i="30" s="1"/>
  <c r="BZ16" i="30"/>
  <c r="BZ15" i="30" s="1"/>
  <c r="CA16" i="30"/>
  <c r="CA15" i="30" s="1"/>
  <c r="CB16" i="30"/>
  <c r="CB15" i="30" s="1"/>
  <c r="CC16" i="30"/>
  <c r="CC15" i="30" s="1"/>
  <c r="CD16" i="30"/>
  <c r="CD15" i="30" s="1"/>
  <c r="CE16" i="30"/>
  <c r="CE15" i="30" s="1"/>
  <c r="CF16" i="30"/>
  <c r="CF15" i="30" s="1"/>
  <c r="CG16" i="30"/>
  <c r="CG15" i="30" s="1"/>
  <c r="CH16" i="30"/>
  <c r="CH15" i="30" s="1"/>
  <c r="CI16" i="30"/>
  <c r="CI15" i="30" s="1"/>
  <c r="CJ16" i="30"/>
  <c r="CJ15" i="30" s="1"/>
  <c r="CK16" i="30"/>
  <c r="CK15" i="30" s="1"/>
  <c r="CL16" i="30"/>
  <c r="CL15" i="30" s="1"/>
  <c r="CM16" i="30"/>
  <c r="CM15" i="30" s="1"/>
  <c r="CN16" i="30"/>
  <c r="CN15" i="30" s="1"/>
  <c r="CO16" i="30"/>
  <c r="CO15" i="30" s="1"/>
  <c r="CP16" i="30"/>
  <c r="CP15" i="30" s="1"/>
  <c r="CQ16" i="30"/>
  <c r="CQ15" i="30" s="1"/>
  <c r="CR16" i="30"/>
  <c r="CR15" i="30" s="1"/>
  <c r="CS16" i="30"/>
  <c r="CS15" i="30" s="1"/>
  <c r="CT16" i="30"/>
  <c r="CT15" i="30" s="1"/>
  <c r="CU16" i="30"/>
  <c r="CU15" i="30" s="1"/>
  <c r="CV16" i="30"/>
  <c r="CV15" i="30" s="1"/>
  <c r="CW16" i="30"/>
  <c r="CW15" i="30" s="1"/>
  <c r="CX16" i="30"/>
  <c r="CX15" i="30" s="1"/>
  <c r="CY16" i="30"/>
  <c r="CY15" i="30" s="1"/>
  <c r="CZ16" i="30"/>
  <c r="CZ15" i="30" s="1"/>
  <c r="DA16" i="30"/>
  <c r="DA15" i="30" s="1"/>
  <c r="DB16" i="30"/>
  <c r="DB15" i="30" s="1"/>
  <c r="DC16" i="30"/>
  <c r="DC15" i="30" s="1"/>
  <c r="DD16" i="30"/>
  <c r="DD15" i="30" s="1"/>
  <c r="DE16" i="30"/>
  <c r="DE15" i="30" s="1"/>
  <c r="DF16" i="30"/>
  <c r="DF15" i="30" s="1"/>
  <c r="DG16" i="30"/>
  <c r="DG15" i="30" s="1"/>
  <c r="DH16" i="30"/>
  <c r="DH15" i="30" s="1"/>
  <c r="DI16" i="30"/>
  <c r="DI15" i="30" s="1"/>
  <c r="DJ16" i="30"/>
  <c r="DJ15" i="30" s="1"/>
  <c r="DK16" i="30"/>
  <c r="DK15" i="30" s="1"/>
  <c r="DL16" i="30"/>
  <c r="DL15" i="30" s="1"/>
  <c r="DM16" i="30"/>
  <c r="DM15" i="30" s="1"/>
  <c r="DN16" i="30"/>
  <c r="DN15" i="30" s="1"/>
  <c r="DO16" i="30"/>
  <c r="DO15" i="30" s="1"/>
  <c r="DP16" i="30"/>
  <c r="DP15" i="30" s="1"/>
  <c r="DQ16" i="30"/>
  <c r="DQ15" i="30" s="1"/>
  <c r="DR16" i="30"/>
  <c r="DR15" i="30" s="1"/>
  <c r="DS16" i="30"/>
  <c r="DS15" i="30" s="1"/>
  <c r="DT16" i="30"/>
  <c r="DT15" i="30" s="1"/>
  <c r="DU16" i="30"/>
  <c r="DU15" i="30" s="1"/>
  <c r="DV16" i="30"/>
  <c r="DV15" i="30" s="1"/>
  <c r="DW16" i="30"/>
  <c r="DW15" i="30" s="1"/>
  <c r="DX16" i="30"/>
  <c r="DX15" i="30" s="1"/>
  <c r="DY16" i="30"/>
  <c r="DY15" i="30" s="1"/>
  <c r="DZ16" i="30"/>
  <c r="DZ15" i="30" s="1"/>
  <c r="EA16" i="30"/>
  <c r="EA15" i="30" s="1"/>
  <c r="EB16" i="30"/>
  <c r="EB15" i="30" s="1"/>
  <c r="EC16" i="30"/>
  <c r="EC15" i="30" s="1"/>
  <c r="ED16" i="30"/>
  <c r="ED15" i="30" s="1"/>
  <c r="EE16" i="30"/>
  <c r="EE15" i="30" s="1"/>
  <c r="EF16" i="30"/>
  <c r="EF15" i="30" s="1"/>
  <c r="EG16" i="30"/>
  <c r="EG15" i="30" s="1"/>
  <c r="EH16" i="30"/>
  <c r="EH15" i="30" s="1"/>
  <c r="EI16" i="30"/>
  <c r="EI15" i="30" s="1"/>
  <c r="EJ16" i="30"/>
  <c r="EJ15" i="30" s="1"/>
  <c r="EK16" i="30"/>
  <c r="EK15" i="30" s="1"/>
  <c r="EL16" i="30"/>
  <c r="EL15" i="30" s="1"/>
  <c r="EM16" i="30"/>
  <c r="EM15" i="30" s="1"/>
  <c r="EN16" i="30"/>
  <c r="EN15" i="30" s="1"/>
  <c r="EO16" i="30"/>
  <c r="EO15" i="30" s="1"/>
  <c r="EP16" i="30"/>
  <c r="EP15" i="30" s="1"/>
  <c r="EQ16" i="30"/>
  <c r="EQ15" i="30" s="1"/>
  <c r="ER16" i="30"/>
  <c r="ER15" i="30" s="1"/>
  <c r="ES16" i="30"/>
  <c r="ES15" i="30" s="1"/>
  <c r="ET16" i="30"/>
  <c r="ET15" i="30" s="1"/>
  <c r="EU16" i="30"/>
  <c r="EU15" i="30" s="1"/>
  <c r="EV16" i="30"/>
  <c r="EV15" i="30" s="1"/>
  <c r="EW16" i="30"/>
  <c r="EW15" i="30" s="1"/>
  <c r="EX16" i="30"/>
  <c r="EX15" i="30" s="1"/>
  <c r="EY16" i="30"/>
  <c r="EY15" i="30" s="1"/>
  <c r="EZ16" i="30"/>
  <c r="EZ15" i="30" s="1"/>
  <c r="FA16" i="30"/>
  <c r="FA15" i="30" s="1"/>
  <c r="FB16" i="30"/>
  <c r="FB15" i="30" s="1"/>
  <c r="FC16" i="30"/>
  <c r="FC15" i="30" s="1"/>
  <c r="FD16" i="30"/>
  <c r="FD15" i="30" s="1"/>
  <c r="FE16" i="30"/>
  <c r="FE15" i="30" s="1"/>
  <c r="FF16" i="30"/>
  <c r="FF15" i="30" s="1"/>
  <c r="FG16" i="30"/>
  <c r="FG15" i="30" s="1"/>
  <c r="FH16" i="30"/>
  <c r="FH15" i="30" s="1"/>
  <c r="FI16" i="30"/>
  <c r="FI15" i="30" s="1"/>
  <c r="FJ16" i="30"/>
  <c r="FJ15" i="30" s="1"/>
  <c r="FK16" i="30"/>
  <c r="FK15" i="30" s="1"/>
  <c r="FL16" i="30"/>
  <c r="FL15" i="30" s="1"/>
  <c r="FM16" i="30"/>
  <c r="FM15" i="30" s="1"/>
  <c r="FN16" i="30"/>
  <c r="FN15" i="30" s="1"/>
  <c r="FO16" i="30"/>
  <c r="FO15" i="30" s="1"/>
  <c r="FP16" i="30"/>
  <c r="FP15" i="30" s="1"/>
  <c r="FQ16" i="30"/>
  <c r="FQ15" i="30" s="1"/>
  <c r="FR16" i="30"/>
  <c r="FR15" i="30" s="1"/>
  <c r="FS16" i="30"/>
  <c r="FS15" i="30" s="1"/>
  <c r="FT16" i="30"/>
  <c r="FT15" i="30" s="1"/>
  <c r="FU16" i="30"/>
  <c r="FU15" i="30" s="1"/>
  <c r="FV16" i="30"/>
  <c r="FV15" i="30" s="1"/>
  <c r="FW16" i="30"/>
  <c r="FW15" i="30" s="1"/>
  <c r="FX16" i="30"/>
  <c r="FX15" i="30" s="1"/>
  <c r="FY16" i="30"/>
  <c r="FY15" i="30" s="1"/>
  <c r="FZ16" i="30"/>
  <c r="FZ15" i="30" s="1"/>
  <c r="GA16" i="30"/>
  <c r="GA15" i="30" s="1"/>
  <c r="GB16" i="30"/>
  <c r="GB15" i="30" s="1"/>
  <c r="GC16" i="30"/>
  <c r="GC15" i="30" s="1"/>
  <c r="GD16" i="30"/>
  <c r="GD15" i="30" s="1"/>
  <c r="GE16" i="30"/>
  <c r="GE15" i="30" s="1"/>
  <c r="GF16" i="30"/>
  <c r="GF15" i="30" s="1"/>
  <c r="GG16" i="30"/>
  <c r="GG15" i="30" s="1"/>
  <c r="GH16" i="30"/>
  <c r="GH15" i="30" s="1"/>
  <c r="GI16" i="30"/>
  <c r="GI15" i="30" s="1"/>
  <c r="GJ16" i="30"/>
  <c r="GJ15" i="30" s="1"/>
  <c r="GK16" i="30"/>
  <c r="GK15" i="30" s="1"/>
  <c r="GL16" i="30"/>
  <c r="GL15" i="30" s="1"/>
  <c r="GM16" i="30"/>
  <c r="GM15" i="30" s="1"/>
  <c r="GN16" i="30"/>
  <c r="GN15" i="30" s="1"/>
  <c r="GO16" i="30"/>
  <c r="GO15" i="30" s="1"/>
  <c r="GP16" i="30"/>
  <c r="GP15" i="30" s="1"/>
  <c r="GQ16" i="30"/>
  <c r="GQ15" i="30" s="1"/>
  <c r="GR16" i="30"/>
  <c r="GR15" i="30" s="1"/>
  <c r="GS16" i="30"/>
  <c r="GS15" i="30" s="1"/>
  <c r="GT16" i="30"/>
  <c r="GT15" i="30" s="1"/>
  <c r="GU16" i="30"/>
  <c r="GU15" i="30" s="1"/>
  <c r="GV16" i="30"/>
  <c r="GV15" i="30" s="1"/>
  <c r="GW16" i="30"/>
  <c r="GW15" i="30" s="1"/>
  <c r="GX16" i="30"/>
  <c r="GX15" i="30" s="1"/>
  <c r="GY16" i="30"/>
  <c r="GY15" i="30" s="1"/>
  <c r="GZ16" i="30"/>
  <c r="GZ15" i="30" s="1"/>
  <c r="HA16" i="30"/>
  <c r="HA15" i="30" s="1"/>
  <c r="HB16" i="30"/>
  <c r="HB15" i="30" s="1"/>
  <c r="HC16" i="30"/>
  <c r="HC15" i="30" s="1"/>
  <c r="HD16" i="30"/>
  <c r="HD15" i="30" s="1"/>
  <c r="HE16" i="30"/>
  <c r="HE15" i="30" s="1"/>
  <c r="HF16" i="30"/>
  <c r="HF15" i="30" s="1"/>
  <c r="HG16" i="30"/>
  <c r="HG15" i="30" s="1"/>
  <c r="HH16" i="30"/>
  <c r="HH15" i="30" s="1"/>
  <c r="HI16" i="30"/>
  <c r="HI15" i="30" s="1"/>
  <c r="HJ16" i="30"/>
  <c r="HJ15" i="30" s="1"/>
  <c r="HK16" i="30"/>
  <c r="HK15" i="30" s="1"/>
  <c r="HL16" i="30"/>
  <c r="HL15" i="30" s="1"/>
  <c r="HM16" i="30"/>
  <c r="HM15" i="30" s="1"/>
  <c r="HN16" i="30"/>
  <c r="HN15" i="30" s="1"/>
  <c r="HO16" i="30"/>
  <c r="HO15" i="30" s="1"/>
  <c r="HP16" i="30"/>
  <c r="HP15" i="30" s="1"/>
  <c r="HQ16" i="30"/>
  <c r="HQ15" i="30" s="1"/>
  <c r="HR16" i="30"/>
  <c r="HR15" i="30" s="1"/>
  <c r="HS16" i="30"/>
  <c r="HS15" i="30" s="1"/>
  <c r="HT16" i="30"/>
  <c r="HT15" i="30" s="1"/>
  <c r="HU16" i="30"/>
  <c r="HU15" i="30" s="1"/>
  <c r="HV16" i="30"/>
  <c r="HV15" i="30" s="1"/>
  <c r="HW16" i="30"/>
  <c r="HW15" i="30" s="1"/>
  <c r="HX16" i="30"/>
  <c r="HX15" i="30" s="1"/>
  <c r="HY16" i="30"/>
  <c r="HY15" i="30" s="1"/>
  <c r="HZ16" i="30"/>
  <c r="HZ15" i="30" s="1"/>
  <c r="IA16" i="30"/>
  <c r="IA15" i="30" s="1"/>
  <c r="IB16" i="30"/>
  <c r="IB15" i="30" s="1"/>
  <c r="IC16" i="30"/>
  <c r="IC15" i="30" s="1"/>
  <c r="ID16" i="30"/>
  <c r="ID15" i="30" s="1"/>
  <c r="IE16" i="30"/>
  <c r="IE15" i="30" s="1"/>
  <c r="IF16" i="30"/>
  <c r="IF15" i="30" s="1"/>
  <c r="IG16" i="30"/>
  <c r="IG15" i="30" s="1"/>
  <c r="IH16" i="30"/>
  <c r="IH15" i="30" s="1"/>
  <c r="II16" i="30"/>
  <c r="II15" i="30" s="1"/>
  <c r="IJ16" i="30"/>
  <c r="IJ15" i="30" s="1"/>
  <c r="IK16" i="30"/>
  <c r="IK15" i="30" s="1"/>
  <c r="IL16" i="30"/>
  <c r="IL15" i="30" s="1"/>
  <c r="IM16" i="30"/>
  <c r="IM15" i="30" s="1"/>
  <c r="IN16" i="30"/>
  <c r="IN15" i="30" s="1"/>
  <c r="IO16" i="30"/>
  <c r="IO15" i="30" s="1"/>
  <c r="IP16" i="30"/>
  <c r="IP15" i="30" s="1"/>
  <c r="IQ16" i="30"/>
  <c r="IQ15" i="30" s="1"/>
  <c r="IR16" i="30"/>
  <c r="IR15" i="30" s="1"/>
  <c r="IS16" i="30"/>
  <c r="IS15" i="30" s="1"/>
  <c r="IT16" i="30"/>
  <c r="IT15" i="30" s="1"/>
  <c r="IU16" i="30"/>
  <c r="IU15" i="30" s="1"/>
  <c r="IV16" i="30"/>
  <c r="IV15" i="30" s="1"/>
  <c r="IW16" i="30"/>
  <c r="IW15" i="30" s="1"/>
  <c r="IX16" i="30"/>
  <c r="IX15" i="30" s="1"/>
  <c r="IY16" i="30"/>
  <c r="IY15" i="30" s="1"/>
  <c r="IZ16" i="30"/>
  <c r="IZ15" i="30" s="1"/>
  <c r="JA16" i="30"/>
  <c r="JA15" i="30" s="1"/>
  <c r="JB16" i="30"/>
  <c r="JB15" i="30" s="1"/>
  <c r="JC16" i="30"/>
  <c r="JC15" i="30" s="1"/>
  <c r="JD16" i="30"/>
  <c r="JD15" i="30" s="1"/>
  <c r="JE16" i="30"/>
  <c r="JE15" i="30" s="1"/>
  <c r="JF16" i="30"/>
  <c r="JF15" i="30" s="1"/>
  <c r="JG16" i="30"/>
  <c r="JG15" i="30" s="1"/>
  <c r="JH16" i="30"/>
  <c r="JH15" i="30" s="1"/>
  <c r="JI16" i="30"/>
  <c r="JI15" i="30" s="1"/>
  <c r="JJ16" i="30"/>
  <c r="JJ15" i="30" s="1"/>
  <c r="JK16" i="30"/>
  <c r="JK15" i="30" s="1"/>
  <c r="JL16" i="30"/>
  <c r="JL15" i="30" s="1"/>
  <c r="JM16" i="30"/>
  <c r="JM15" i="30" s="1"/>
  <c r="JN16" i="30"/>
  <c r="JN15" i="30" s="1"/>
  <c r="JO16" i="30"/>
  <c r="JO15" i="30" s="1"/>
  <c r="JP16" i="30"/>
  <c r="JP15" i="30" s="1"/>
  <c r="JQ16" i="30"/>
  <c r="JQ15" i="30" s="1"/>
  <c r="JR16" i="30"/>
  <c r="JR15" i="30" s="1"/>
  <c r="JS16" i="30"/>
  <c r="JS15" i="30" s="1"/>
  <c r="JT16" i="30"/>
  <c r="JT15" i="30" s="1"/>
  <c r="JU16" i="30"/>
  <c r="JU15" i="30" s="1"/>
  <c r="JV16" i="30"/>
  <c r="JV15" i="30" s="1"/>
  <c r="JW16" i="30"/>
  <c r="JW15" i="30" s="1"/>
  <c r="JX16" i="30"/>
  <c r="JX15" i="30" s="1"/>
  <c r="JY16" i="30"/>
  <c r="JY15" i="30" s="1"/>
  <c r="JZ16" i="30"/>
  <c r="JZ15" i="30" s="1"/>
  <c r="KA16" i="30"/>
  <c r="KA15" i="30" s="1"/>
  <c r="KB16" i="30"/>
  <c r="KB15" i="30" s="1"/>
  <c r="KC16" i="30"/>
  <c r="KC15" i="30" s="1"/>
  <c r="KD16" i="30"/>
  <c r="KD15" i="30" s="1"/>
  <c r="KE16" i="30"/>
  <c r="KE15" i="30" s="1"/>
  <c r="M66" i="30" l="1"/>
  <c r="N66" i="30"/>
  <c r="N62" i="30" s="1"/>
  <c r="IS62" i="30"/>
  <c r="HM62" i="30"/>
  <c r="F65" i="30"/>
  <c r="G66" i="30"/>
  <c r="G62" i="30" s="1"/>
  <c r="O65" i="30"/>
  <c r="M65" i="30"/>
  <c r="G65" i="30"/>
  <c r="O66" i="30"/>
  <c r="D66" i="30"/>
  <c r="F66" i="30"/>
  <c r="F62" i="30" s="1"/>
  <c r="D65" i="30"/>
  <c r="CO62" i="30"/>
  <c r="JY62" i="30"/>
  <c r="FA62" i="30"/>
  <c r="AC62" i="30"/>
  <c r="BI62" i="30"/>
  <c r="DU62" i="30"/>
  <c r="GG62" i="30"/>
  <c r="AC55" i="30"/>
  <c r="BI55" i="30"/>
  <c r="CO55" i="30"/>
  <c r="DU55" i="30"/>
  <c r="FA55" i="30"/>
  <c r="GG55" i="30"/>
  <c r="HM55" i="30"/>
  <c r="IS55" i="30"/>
  <c r="JY55" i="30"/>
  <c r="E55" i="30"/>
  <c r="AK55" i="30"/>
  <c r="BQ55" i="30"/>
  <c r="CW55" i="30"/>
  <c r="EC55" i="30"/>
  <c r="FI55" i="30"/>
  <c r="GO55" i="30"/>
  <c r="HU55" i="30"/>
  <c r="JA55" i="30"/>
  <c r="F55" i="30"/>
  <c r="AL55" i="30"/>
  <c r="BR55" i="30"/>
  <c r="CX55" i="30"/>
  <c r="ED55" i="30"/>
  <c r="FJ55" i="30"/>
  <c r="GP55" i="30"/>
  <c r="HV55" i="30"/>
  <c r="JB55" i="30"/>
  <c r="P55" i="30"/>
  <c r="AV55" i="30"/>
  <c r="CB55" i="30"/>
  <c r="DH55" i="30"/>
  <c r="EN55" i="30"/>
  <c r="FT55" i="30"/>
  <c r="GZ55" i="30"/>
  <c r="IF55" i="30"/>
  <c r="JL55" i="30"/>
  <c r="E62" i="30"/>
  <c r="AK62" i="30"/>
  <c r="BQ62" i="30"/>
  <c r="CW62" i="30"/>
  <c r="EC62" i="30"/>
  <c r="FI62" i="30"/>
  <c r="GO62" i="30"/>
  <c r="HU62" i="30"/>
  <c r="JA62" i="30"/>
  <c r="M55" i="30"/>
  <c r="AS55" i="30"/>
  <c r="BY55" i="30"/>
  <c r="DE55" i="30"/>
  <c r="EK55" i="30"/>
  <c r="FQ55" i="30"/>
  <c r="GW55" i="30"/>
  <c r="IC55" i="30"/>
  <c r="JI55" i="30"/>
  <c r="U62" i="30"/>
  <c r="BA62" i="30"/>
  <c r="CG62" i="30"/>
  <c r="DM62" i="30"/>
  <c r="ES62" i="30"/>
  <c r="FY62" i="30"/>
  <c r="HE62" i="30"/>
  <c r="IK62" i="30"/>
  <c r="JQ62" i="30"/>
  <c r="M62" i="30"/>
  <c r="AS62" i="30"/>
  <c r="BY62" i="30"/>
  <c r="DE62" i="30"/>
  <c r="EK62" i="30"/>
  <c r="FQ62" i="30"/>
  <c r="GW62" i="30"/>
  <c r="IC62" i="30"/>
  <c r="JI62" i="30"/>
  <c r="AT62" i="30"/>
  <c r="BZ62" i="30"/>
  <c r="DF62" i="30"/>
  <c r="EL62" i="30"/>
  <c r="FR62" i="30"/>
  <c r="GX62" i="30"/>
  <c r="ID62" i="30"/>
  <c r="JJ62" i="30"/>
  <c r="D55" i="30"/>
  <c r="D75" i="30" s="1"/>
  <c r="D76" i="30" s="1"/>
  <c r="AL62" i="30"/>
  <c r="BR62" i="30"/>
  <c r="CX62" i="30"/>
  <c r="ED62" i="30"/>
  <c r="FJ62" i="30"/>
  <c r="GP62" i="30"/>
  <c r="HV62" i="30"/>
  <c r="JB62" i="30"/>
  <c r="AE62" i="30"/>
  <c r="BK62" i="30"/>
  <c r="CQ62" i="30"/>
  <c r="DW62" i="30"/>
  <c r="FC62" i="30"/>
  <c r="GI62" i="30"/>
  <c r="HO62" i="30"/>
  <c r="IU62" i="30"/>
  <c r="KA62" i="30"/>
  <c r="V62" i="30"/>
  <c r="BB62" i="30"/>
  <c r="CH62" i="30"/>
  <c r="DN62" i="30"/>
  <c r="ET62" i="30"/>
  <c r="FZ62" i="30"/>
  <c r="HF62" i="30"/>
  <c r="IL62" i="30"/>
  <c r="JR62" i="30"/>
  <c r="AM62" i="30"/>
  <c r="BS62" i="30"/>
  <c r="CY62" i="30"/>
  <c r="EE62" i="30"/>
  <c r="FK62" i="30"/>
  <c r="GQ62" i="30"/>
  <c r="HW62" i="30"/>
  <c r="JC62" i="30"/>
  <c r="AD62" i="30"/>
  <c r="BJ62" i="30"/>
  <c r="CP62" i="30"/>
  <c r="DV62" i="30"/>
  <c r="FB62" i="30"/>
  <c r="GH62" i="30"/>
  <c r="HN62" i="30"/>
  <c r="IT62" i="30"/>
  <c r="JZ62" i="30"/>
  <c r="AU62" i="30"/>
  <c r="CA62" i="30"/>
  <c r="DG62" i="30"/>
  <c r="EM62" i="30"/>
  <c r="FS62" i="30"/>
  <c r="GY62" i="30"/>
  <c r="IE62" i="30"/>
  <c r="JK62" i="30"/>
  <c r="W62" i="30"/>
  <c r="BC62" i="30"/>
  <c r="CI62" i="30"/>
  <c r="DO62" i="30"/>
  <c r="EU62" i="30"/>
  <c r="GA62" i="30"/>
  <c r="HG62" i="30"/>
  <c r="IM62" i="30"/>
  <c r="JS62" i="30"/>
  <c r="P62" i="30"/>
  <c r="AV62" i="30"/>
  <c r="CB62" i="30"/>
  <c r="DH62" i="30"/>
  <c r="EN62" i="30"/>
  <c r="FT62" i="30"/>
  <c r="GZ62" i="30"/>
  <c r="IF62" i="30"/>
  <c r="JL62" i="30"/>
  <c r="Q62" i="30"/>
  <c r="AW62" i="30"/>
  <c r="CC62" i="30"/>
  <c r="DI62" i="30"/>
  <c r="EO62" i="30"/>
  <c r="FU62" i="30"/>
  <c r="HA62" i="30"/>
  <c r="IG62" i="30"/>
  <c r="JM62" i="30"/>
  <c r="R62" i="30"/>
  <c r="AX62" i="30"/>
  <c r="CD62" i="30"/>
  <c r="DJ62" i="30"/>
  <c r="EP62" i="30"/>
  <c r="FV62" i="30"/>
  <c r="HB62" i="30"/>
  <c r="IH62" i="30"/>
  <c r="JN62" i="30"/>
  <c r="X62" i="30"/>
  <c r="BD62" i="30"/>
  <c r="CJ62" i="30"/>
  <c r="DP62" i="30"/>
  <c r="EV62" i="30"/>
  <c r="GB62" i="30"/>
  <c r="HH62" i="30"/>
  <c r="IN62" i="30"/>
  <c r="JT62" i="30"/>
  <c r="Y62" i="30"/>
  <c r="BE62" i="30"/>
  <c r="CK62" i="30"/>
  <c r="DQ62" i="30"/>
  <c r="EW62" i="30"/>
  <c r="GC62" i="30"/>
  <c r="HI62" i="30"/>
  <c r="IO62" i="30"/>
  <c r="JU62" i="30"/>
  <c r="Z62" i="30"/>
  <c r="BF62" i="30"/>
  <c r="CL62" i="30"/>
  <c r="DR62" i="30"/>
  <c r="EX62" i="30"/>
  <c r="GD62" i="30"/>
  <c r="HJ62" i="30"/>
  <c r="IP62" i="30"/>
  <c r="JV62" i="30"/>
  <c r="AF62" i="30"/>
  <c r="BL62" i="30"/>
  <c r="CR62" i="30"/>
  <c r="DX62" i="30"/>
  <c r="FD62" i="30"/>
  <c r="GJ62" i="30"/>
  <c r="HP62" i="30"/>
  <c r="IV62" i="30"/>
  <c r="KB62" i="30"/>
  <c r="AG62" i="30"/>
  <c r="BM62" i="30"/>
  <c r="CS62" i="30"/>
  <c r="DY62" i="30"/>
  <c r="FE62" i="30"/>
  <c r="GK62" i="30"/>
  <c r="HQ62" i="30"/>
  <c r="IW62" i="30"/>
  <c r="KC62" i="30"/>
  <c r="AH62" i="30"/>
  <c r="BN62" i="30"/>
  <c r="CT62" i="30"/>
  <c r="DZ62" i="30"/>
  <c r="FF62" i="30"/>
  <c r="GL62" i="30"/>
  <c r="HR62" i="30"/>
  <c r="IX62" i="30"/>
  <c r="KD62" i="30"/>
  <c r="H62" i="30"/>
  <c r="AN62" i="30"/>
  <c r="BT62" i="30"/>
  <c r="CZ62" i="30"/>
  <c r="EF62" i="30"/>
  <c r="FL62" i="30"/>
  <c r="GR62" i="30"/>
  <c r="HX62" i="30"/>
  <c r="JD62" i="30"/>
  <c r="I62" i="30"/>
  <c r="AO62" i="30"/>
  <c r="BU62" i="30"/>
  <c r="DA62" i="30"/>
  <c r="EG62" i="30"/>
  <c r="FM62" i="30"/>
  <c r="GS62" i="30"/>
  <c r="HY62" i="30"/>
  <c r="JE62" i="30"/>
  <c r="AI62" i="30"/>
  <c r="BO62" i="30"/>
  <c r="CU62" i="30"/>
  <c r="EA62" i="30"/>
  <c r="FG62" i="30"/>
  <c r="GM62" i="30"/>
  <c r="HS62" i="30"/>
  <c r="IY62" i="30"/>
  <c r="KE62" i="30"/>
  <c r="AB62" i="30"/>
  <c r="BH62" i="30"/>
  <c r="CN62" i="30"/>
  <c r="DT62" i="30"/>
  <c r="EZ62" i="30"/>
  <c r="GF62" i="30"/>
  <c r="HL62" i="30"/>
  <c r="IR62" i="30"/>
  <c r="JX62" i="30"/>
  <c r="K62" i="30"/>
  <c r="AQ62" i="30"/>
  <c r="BW62" i="30"/>
  <c r="DC62" i="30"/>
  <c r="EI62" i="30"/>
  <c r="FO62" i="30"/>
  <c r="GU62" i="30"/>
  <c r="IA62" i="30"/>
  <c r="JG62" i="30"/>
  <c r="AJ62" i="30"/>
  <c r="BP62" i="30"/>
  <c r="CV62" i="30"/>
  <c r="EB62" i="30"/>
  <c r="FH62" i="30"/>
  <c r="GN62" i="30"/>
  <c r="HT62" i="30"/>
  <c r="IZ62" i="30"/>
  <c r="S62" i="30"/>
  <c r="AY62" i="30"/>
  <c r="CE62" i="30"/>
  <c r="DK62" i="30"/>
  <c r="EQ62" i="30"/>
  <c r="FW62" i="30"/>
  <c r="HC62" i="30"/>
  <c r="II62" i="30"/>
  <c r="JO62" i="30"/>
  <c r="L62" i="30"/>
  <c r="AR62" i="30"/>
  <c r="BX62" i="30"/>
  <c r="DD62" i="30"/>
  <c r="EJ62" i="30"/>
  <c r="FP62" i="30"/>
  <c r="GV62" i="30"/>
  <c r="IB62" i="30"/>
  <c r="JH62" i="30"/>
  <c r="J62" i="30"/>
  <c r="AP62" i="30"/>
  <c r="BV62" i="30"/>
  <c r="DB62" i="30"/>
  <c r="EH62" i="30"/>
  <c r="FN62" i="30"/>
  <c r="GT62" i="30"/>
  <c r="HZ62" i="30"/>
  <c r="JF62" i="30"/>
  <c r="AA62" i="30"/>
  <c r="BG62" i="30"/>
  <c r="CM62" i="30"/>
  <c r="DS62" i="30"/>
  <c r="EY62" i="30"/>
  <c r="GE62" i="30"/>
  <c r="HK62" i="30"/>
  <c r="IQ62" i="30"/>
  <c r="JW62" i="30"/>
  <c r="T62" i="30"/>
  <c r="AZ62" i="30"/>
  <c r="CF62" i="30"/>
  <c r="DL62" i="30"/>
  <c r="ER62" i="30"/>
  <c r="FX62" i="30"/>
  <c r="HD62" i="30"/>
  <c r="IJ62" i="30"/>
  <c r="JP62" i="30"/>
  <c r="GA55" i="30"/>
  <c r="EU55" i="30"/>
  <c r="N55" i="30"/>
  <c r="AT55" i="30"/>
  <c r="BZ55" i="30"/>
  <c r="DF55" i="30"/>
  <c r="EL55" i="30"/>
  <c r="FR55" i="30"/>
  <c r="GX55" i="30"/>
  <c r="ID55" i="30"/>
  <c r="JJ55" i="30"/>
  <c r="AE55" i="30"/>
  <c r="BK55" i="30"/>
  <c r="CQ55" i="30"/>
  <c r="DW55" i="30"/>
  <c r="FC55" i="30"/>
  <c r="GI55" i="30"/>
  <c r="HO55" i="30"/>
  <c r="IU55" i="30"/>
  <c r="KA55" i="30"/>
  <c r="BC55" i="30"/>
  <c r="JS55" i="30"/>
  <c r="HG55" i="30"/>
  <c r="V55" i="30"/>
  <c r="BB55" i="30"/>
  <c r="CH55" i="30"/>
  <c r="DN55" i="30"/>
  <c r="ET55" i="30"/>
  <c r="FZ55" i="30"/>
  <c r="HF55" i="30"/>
  <c r="IL55" i="30"/>
  <c r="JR55" i="30"/>
  <c r="G55" i="30"/>
  <c r="AM55" i="30"/>
  <c r="BS55" i="30"/>
  <c r="CY55" i="30"/>
  <c r="EE55" i="30"/>
  <c r="FK55" i="30"/>
  <c r="GQ55" i="30"/>
  <c r="HW55" i="30"/>
  <c r="JC55" i="30"/>
  <c r="W55" i="30"/>
  <c r="IM55" i="30"/>
  <c r="DO55" i="30"/>
  <c r="AD55" i="30"/>
  <c r="BJ55" i="30"/>
  <c r="CP55" i="30"/>
  <c r="DV55" i="30"/>
  <c r="FB55" i="30"/>
  <c r="GH55" i="30"/>
  <c r="HN55" i="30"/>
  <c r="IT55" i="30"/>
  <c r="JZ55" i="30"/>
  <c r="O55" i="30"/>
  <c r="AU55" i="30"/>
  <c r="CA55" i="30"/>
  <c r="DG55" i="30"/>
  <c r="EM55" i="30"/>
  <c r="FS55" i="30"/>
  <c r="GY55" i="30"/>
  <c r="IE55" i="30"/>
  <c r="JK55" i="30"/>
  <c r="CI55" i="30"/>
  <c r="Q55" i="30"/>
  <c r="AW55" i="30"/>
  <c r="CC55" i="30"/>
  <c r="DI55" i="30"/>
  <c r="EO55" i="30"/>
  <c r="FU55" i="30"/>
  <c r="HA55" i="30"/>
  <c r="IG55" i="30"/>
  <c r="JM55" i="30"/>
  <c r="R55" i="30"/>
  <c r="AX55" i="30"/>
  <c r="CD55" i="30"/>
  <c r="DJ55" i="30"/>
  <c r="EP55" i="30"/>
  <c r="FV55" i="30"/>
  <c r="HB55" i="30"/>
  <c r="IH55" i="30"/>
  <c r="JN55" i="30"/>
  <c r="X55" i="30"/>
  <c r="BD55" i="30"/>
  <c r="CJ55" i="30"/>
  <c r="DP55" i="30"/>
  <c r="EV55" i="30"/>
  <c r="GB55" i="30"/>
  <c r="HH55" i="30"/>
  <c r="IN55" i="30"/>
  <c r="JT55" i="30"/>
  <c r="Y55" i="30"/>
  <c r="BE55" i="30"/>
  <c r="CK55" i="30"/>
  <c r="DQ55" i="30"/>
  <c r="EW55" i="30"/>
  <c r="GC55" i="30"/>
  <c r="HI55" i="30"/>
  <c r="IO55" i="30"/>
  <c r="JU55" i="30"/>
  <c r="Z55" i="30"/>
  <c r="BF55" i="30"/>
  <c r="CL55" i="30"/>
  <c r="DR55" i="30"/>
  <c r="EX55" i="30"/>
  <c r="GD55" i="30"/>
  <c r="HJ55" i="30"/>
  <c r="IP55" i="30"/>
  <c r="JV55" i="30"/>
  <c r="AF55" i="30"/>
  <c r="BL55" i="30"/>
  <c r="CR55" i="30"/>
  <c r="DX55" i="30"/>
  <c r="FD55" i="30"/>
  <c r="GJ55" i="30"/>
  <c r="HP55" i="30"/>
  <c r="IV55" i="30"/>
  <c r="KB55" i="30"/>
  <c r="AG55" i="30"/>
  <c r="BM55" i="30"/>
  <c r="CS55" i="30"/>
  <c r="DY55" i="30"/>
  <c r="FE55" i="30"/>
  <c r="GK55" i="30"/>
  <c r="HQ55" i="30"/>
  <c r="IW55" i="30"/>
  <c r="KC55" i="30"/>
  <c r="AH55" i="30"/>
  <c r="BN55" i="30"/>
  <c r="CT55" i="30"/>
  <c r="DZ55" i="30"/>
  <c r="FF55" i="30"/>
  <c r="GL55" i="30"/>
  <c r="HR55" i="30"/>
  <c r="IX55" i="30"/>
  <c r="KD55" i="30"/>
  <c r="H55" i="30"/>
  <c r="AN55" i="30"/>
  <c r="BT55" i="30"/>
  <c r="CZ55" i="30"/>
  <c r="EF55" i="30"/>
  <c r="FL55" i="30"/>
  <c r="GR55" i="30"/>
  <c r="HX55" i="30"/>
  <c r="JD55" i="30"/>
  <c r="I55" i="30"/>
  <c r="AO55" i="30"/>
  <c r="BU55" i="30"/>
  <c r="DA55" i="30"/>
  <c r="EG55" i="30"/>
  <c r="FM55" i="30"/>
  <c r="GS55" i="30"/>
  <c r="HY55" i="30"/>
  <c r="JE55" i="30"/>
  <c r="AI55" i="30"/>
  <c r="BO55" i="30"/>
  <c r="CU55" i="30"/>
  <c r="EA55" i="30"/>
  <c r="FG55" i="30"/>
  <c r="GM55" i="30"/>
  <c r="HS55" i="30"/>
  <c r="IY55" i="30"/>
  <c r="KE55" i="30"/>
  <c r="AB55" i="30"/>
  <c r="BH55" i="30"/>
  <c r="CN55" i="30"/>
  <c r="DT55" i="30"/>
  <c r="EZ55" i="30"/>
  <c r="GF55" i="30"/>
  <c r="HL55" i="30"/>
  <c r="IR55" i="30"/>
  <c r="JX55" i="30"/>
  <c r="K55" i="30"/>
  <c r="AQ55" i="30"/>
  <c r="BW55" i="30"/>
  <c r="DC55" i="30"/>
  <c r="EI55" i="30"/>
  <c r="FO55" i="30"/>
  <c r="GU55" i="30"/>
  <c r="IA55" i="30"/>
  <c r="JG55" i="30"/>
  <c r="AJ55" i="30"/>
  <c r="BP55" i="30"/>
  <c r="CV55" i="30"/>
  <c r="EB55" i="30"/>
  <c r="FH55" i="30"/>
  <c r="GN55" i="30"/>
  <c r="HT55" i="30"/>
  <c r="IZ55" i="30"/>
  <c r="S55" i="30"/>
  <c r="AY55" i="30"/>
  <c r="CE55" i="30"/>
  <c r="DK55" i="30"/>
  <c r="EQ55" i="30"/>
  <c r="FW55" i="30"/>
  <c r="HC55" i="30"/>
  <c r="II55" i="30"/>
  <c r="JO55" i="30"/>
  <c r="L55" i="30"/>
  <c r="AR55" i="30"/>
  <c r="BX55" i="30"/>
  <c r="DD55" i="30"/>
  <c r="EJ55" i="30"/>
  <c r="FP55" i="30"/>
  <c r="GV55" i="30"/>
  <c r="IB55" i="30"/>
  <c r="JH55" i="30"/>
  <c r="J55" i="30"/>
  <c r="AP55" i="30"/>
  <c r="BV55" i="30"/>
  <c r="DB55" i="30"/>
  <c r="EH55" i="30"/>
  <c r="FN55" i="30"/>
  <c r="GT55" i="30"/>
  <c r="HZ55" i="30"/>
  <c r="JF55" i="30"/>
  <c r="AA55" i="30"/>
  <c r="BG55" i="30"/>
  <c r="CM55" i="30"/>
  <c r="DS55" i="30"/>
  <c r="EY55" i="30"/>
  <c r="GE55" i="30"/>
  <c r="HK55" i="30"/>
  <c r="IQ55" i="30"/>
  <c r="JW55" i="30"/>
  <c r="T55" i="30"/>
  <c r="AZ55" i="30"/>
  <c r="CF55" i="30"/>
  <c r="DL55" i="30"/>
  <c r="ER55" i="30"/>
  <c r="FX55" i="30"/>
  <c r="HD55" i="30"/>
  <c r="IJ55" i="30"/>
  <c r="JP55" i="30"/>
  <c r="I2" i="30"/>
  <c r="D11" i="30"/>
  <c r="ER11" i="30" s="1"/>
  <c r="KF11" i="30" s="1"/>
  <c r="D62" i="30" l="1"/>
  <c r="O62" i="30"/>
  <c r="KF12" i="30"/>
  <c r="PT11" i="30"/>
  <c r="E75" i="30"/>
  <c r="E76" i="30" s="1"/>
  <c r="ER12" i="30"/>
  <c r="D12" i="30"/>
  <c r="PT12" i="30" l="1"/>
  <c r="VH11" i="30"/>
  <c r="KF13" i="30"/>
  <c r="KG13" i="30" s="1"/>
  <c r="KH13" i="30" s="1"/>
  <c r="KI13" i="30" s="1"/>
  <c r="KJ13" i="30" s="1"/>
  <c r="KK13" i="30" s="1"/>
  <c r="KL13" i="30" s="1"/>
  <c r="KM13" i="30" s="1"/>
  <c r="KN13" i="30" s="1"/>
  <c r="KO13" i="30" s="1"/>
  <c r="KP13" i="30" s="1"/>
  <c r="KQ13" i="30" s="1"/>
  <c r="KR13" i="30" s="1"/>
  <c r="KS13" i="30" s="1"/>
  <c r="KT13" i="30" s="1"/>
  <c r="KU13" i="30" s="1"/>
  <c r="KV13" i="30" s="1"/>
  <c r="KW13" i="30" s="1"/>
  <c r="KX13" i="30" s="1"/>
  <c r="KY13" i="30" s="1"/>
  <c r="KZ13" i="30" s="1"/>
  <c r="LA13" i="30" s="1"/>
  <c r="LB13" i="30" s="1"/>
  <c r="LC13" i="30" s="1"/>
  <c r="LD13" i="30" s="1"/>
  <c r="LE13" i="30" s="1"/>
  <c r="LF13" i="30" s="1"/>
  <c r="LG13" i="30" s="1"/>
  <c r="LH13" i="30" s="1"/>
  <c r="LI13" i="30" s="1"/>
  <c r="LJ13" i="30" s="1"/>
  <c r="LK13" i="30" s="1"/>
  <c r="LL13" i="30" s="1"/>
  <c r="LM13" i="30" s="1"/>
  <c r="LN13" i="30" s="1"/>
  <c r="LO13" i="30" s="1"/>
  <c r="LP13" i="30" s="1"/>
  <c r="LQ13" i="30" s="1"/>
  <c r="LR13" i="30" s="1"/>
  <c r="LS13" i="30" s="1"/>
  <c r="LT13" i="30" s="1"/>
  <c r="LU13" i="30" s="1"/>
  <c r="LV13" i="30" s="1"/>
  <c r="LW13" i="30" s="1"/>
  <c r="LX13" i="30" s="1"/>
  <c r="LY13" i="30" s="1"/>
  <c r="LZ13" i="30" s="1"/>
  <c r="MA13" i="30" s="1"/>
  <c r="MB13" i="30" s="1"/>
  <c r="MC13" i="30" s="1"/>
  <c r="MD13" i="30" s="1"/>
  <c r="ME13" i="30" s="1"/>
  <c r="MF13" i="30" s="1"/>
  <c r="MG13" i="30" s="1"/>
  <c r="MH13" i="30" s="1"/>
  <c r="MI13" i="30" s="1"/>
  <c r="MJ13" i="30" s="1"/>
  <c r="MK13" i="30" s="1"/>
  <c r="ML13" i="30" s="1"/>
  <c r="MM13" i="30" s="1"/>
  <c r="MN13" i="30" s="1"/>
  <c r="MO13" i="30" s="1"/>
  <c r="MP13" i="30" s="1"/>
  <c r="MQ13" i="30" s="1"/>
  <c r="MR13" i="30" s="1"/>
  <c r="MS13" i="30" s="1"/>
  <c r="MT13" i="30" s="1"/>
  <c r="MU13" i="30" s="1"/>
  <c r="MV13" i="30" s="1"/>
  <c r="MW13" i="30" s="1"/>
  <c r="MX13" i="30" s="1"/>
  <c r="MY13" i="30" s="1"/>
  <c r="MZ13" i="30" s="1"/>
  <c r="NA13" i="30" s="1"/>
  <c r="NB13" i="30" s="1"/>
  <c r="NC13" i="30" s="1"/>
  <c r="ND13" i="30" s="1"/>
  <c r="NE13" i="30" s="1"/>
  <c r="NF13" i="30" s="1"/>
  <c r="NG13" i="30" s="1"/>
  <c r="NH13" i="30" s="1"/>
  <c r="NI13" i="30" s="1"/>
  <c r="NJ13" i="30" s="1"/>
  <c r="NK13" i="30" s="1"/>
  <c r="NL13" i="30" s="1"/>
  <c r="NM13" i="30" s="1"/>
  <c r="NN13" i="30" s="1"/>
  <c r="NO13" i="30" s="1"/>
  <c r="NP13" i="30" s="1"/>
  <c r="NQ13" i="30" s="1"/>
  <c r="NR13" i="30" s="1"/>
  <c r="NS13" i="30" s="1"/>
  <c r="NT13" i="30" s="1"/>
  <c r="NU13" i="30" s="1"/>
  <c r="NV13" i="30" s="1"/>
  <c r="NW13" i="30" s="1"/>
  <c r="NX13" i="30" s="1"/>
  <c r="NY13" i="30" s="1"/>
  <c r="NZ13" i="30" s="1"/>
  <c r="OA13" i="30" s="1"/>
  <c r="OB13" i="30" s="1"/>
  <c r="OC13" i="30" s="1"/>
  <c r="OD13" i="30" s="1"/>
  <c r="OE13" i="30" s="1"/>
  <c r="OF13" i="30" s="1"/>
  <c r="OG13" i="30" s="1"/>
  <c r="OH13" i="30" s="1"/>
  <c r="OI13" i="30" s="1"/>
  <c r="OJ13" i="30" s="1"/>
  <c r="OK13" i="30" s="1"/>
  <c r="OL13" i="30" s="1"/>
  <c r="OM13" i="30" s="1"/>
  <c r="ON13" i="30" s="1"/>
  <c r="OO13" i="30" s="1"/>
  <c r="OP13" i="30" s="1"/>
  <c r="OQ13" i="30" s="1"/>
  <c r="OR13" i="30" s="1"/>
  <c r="OS13" i="30" s="1"/>
  <c r="OT13" i="30" s="1"/>
  <c r="OU13" i="30" s="1"/>
  <c r="OV13" i="30" s="1"/>
  <c r="OW13" i="30" s="1"/>
  <c r="OX13" i="30" s="1"/>
  <c r="OY13" i="30" s="1"/>
  <c r="OZ13" i="30" s="1"/>
  <c r="PA13" i="30" s="1"/>
  <c r="PB13" i="30" s="1"/>
  <c r="PC13" i="30" s="1"/>
  <c r="PD13" i="30" s="1"/>
  <c r="PE13" i="30" s="1"/>
  <c r="PF13" i="30" s="1"/>
  <c r="PG13" i="30" s="1"/>
  <c r="PH13" i="30" s="1"/>
  <c r="PI13" i="30" s="1"/>
  <c r="PJ13" i="30" s="1"/>
  <c r="PK13" i="30" s="1"/>
  <c r="PL13" i="30" s="1"/>
  <c r="PM13" i="30" s="1"/>
  <c r="PN13" i="30" s="1"/>
  <c r="PO13" i="30" s="1"/>
  <c r="PP13" i="30" s="1"/>
  <c r="PQ13" i="30" s="1"/>
  <c r="PR13" i="30" s="1"/>
  <c r="PS13" i="30" s="1"/>
  <c r="KL12" i="30"/>
  <c r="KR12" i="30" s="1"/>
  <c r="KX12" i="30" s="1"/>
  <c r="LD12" i="30" s="1"/>
  <c r="LJ12" i="30" s="1"/>
  <c r="LP12" i="30" s="1"/>
  <c r="LV12" i="30" s="1"/>
  <c r="MB12" i="30" s="1"/>
  <c r="MH12" i="30" s="1"/>
  <c r="MN12" i="30" s="1"/>
  <c r="MT12" i="30" s="1"/>
  <c r="MZ12" i="30" s="1"/>
  <c r="NF12" i="30" s="1"/>
  <c r="NL12" i="30" s="1"/>
  <c r="NR12" i="30" s="1"/>
  <c r="NX12" i="30" s="1"/>
  <c r="OD12" i="30" s="1"/>
  <c r="OJ12" i="30" s="1"/>
  <c r="OP12" i="30" s="1"/>
  <c r="OV12" i="30" s="1"/>
  <c r="PB12" i="30" s="1"/>
  <c r="PH12" i="30" s="1"/>
  <c r="PN12" i="30" s="1"/>
  <c r="F75" i="30"/>
  <c r="F76" i="30" s="1"/>
  <c r="EX12" i="30"/>
  <c r="FD12" i="30" s="1"/>
  <c r="FJ12" i="30" s="1"/>
  <c r="FP12" i="30" s="1"/>
  <c r="FV12" i="30" s="1"/>
  <c r="GB12" i="30" s="1"/>
  <c r="GH12" i="30" s="1"/>
  <c r="GN12" i="30" s="1"/>
  <c r="GT12" i="30" s="1"/>
  <c r="GZ12" i="30" s="1"/>
  <c r="HF12" i="30" s="1"/>
  <c r="HL12" i="30" s="1"/>
  <c r="HR12" i="30" s="1"/>
  <c r="HX12" i="30" s="1"/>
  <c r="ID12" i="30" s="1"/>
  <c r="IJ12" i="30" s="1"/>
  <c r="IP12" i="30" s="1"/>
  <c r="IV12" i="30" s="1"/>
  <c r="JB12" i="30" s="1"/>
  <c r="JH12" i="30" s="1"/>
  <c r="JN12" i="30" s="1"/>
  <c r="JT12" i="30" s="1"/>
  <c r="JZ12" i="30" s="1"/>
  <c r="ER13" i="30"/>
  <c r="ES13" i="30" s="1"/>
  <c r="ET13" i="30" s="1"/>
  <c r="EU13" i="30" s="1"/>
  <c r="EV13" i="30" s="1"/>
  <c r="EW13" i="30" s="1"/>
  <c r="EX13" i="30" s="1"/>
  <c r="EY13" i="30" s="1"/>
  <c r="EZ13" i="30" s="1"/>
  <c r="FA13" i="30" s="1"/>
  <c r="FB13" i="30" s="1"/>
  <c r="FC13" i="30" s="1"/>
  <c r="FD13" i="30" s="1"/>
  <c r="FE13" i="30" s="1"/>
  <c r="FF13" i="30" s="1"/>
  <c r="FG13" i="30" s="1"/>
  <c r="FH13" i="30" s="1"/>
  <c r="FI13" i="30" s="1"/>
  <c r="FJ13" i="30" s="1"/>
  <c r="FK13" i="30" s="1"/>
  <c r="FL13" i="30" s="1"/>
  <c r="FM13" i="30" s="1"/>
  <c r="FN13" i="30" s="1"/>
  <c r="FO13" i="30" s="1"/>
  <c r="FP13" i="30" s="1"/>
  <c r="FQ13" i="30" s="1"/>
  <c r="FR13" i="30" s="1"/>
  <c r="FS13" i="30" s="1"/>
  <c r="FT13" i="30" s="1"/>
  <c r="FU13" i="30" s="1"/>
  <c r="FV13" i="30" s="1"/>
  <c r="FW13" i="30" s="1"/>
  <c r="FX13" i="30" s="1"/>
  <c r="FY13" i="30" s="1"/>
  <c r="FZ13" i="30" s="1"/>
  <c r="GA13" i="30" s="1"/>
  <c r="GB13" i="30" s="1"/>
  <c r="GC13" i="30" s="1"/>
  <c r="GD13" i="30" s="1"/>
  <c r="GE13" i="30" s="1"/>
  <c r="GF13" i="30" s="1"/>
  <c r="GG13" i="30" s="1"/>
  <c r="GH13" i="30" s="1"/>
  <c r="GI13" i="30" s="1"/>
  <c r="GJ13" i="30" s="1"/>
  <c r="GK13" i="30" s="1"/>
  <c r="GL13" i="30" s="1"/>
  <c r="GM13" i="30" s="1"/>
  <c r="GN13" i="30" s="1"/>
  <c r="GO13" i="30" s="1"/>
  <c r="GP13" i="30" s="1"/>
  <c r="GQ13" i="30" s="1"/>
  <c r="GR13" i="30" s="1"/>
  <c r="GS13" i="30" s="1"/>
  <c r="GT13" i="30" s="1"/>
  <c r="GU13" i="30" s="1"/>
  <c r="GV13" i="30" s="1"/>
  <c r="GW13" i="30" s="1"/>
  <c r="GX13" i="30" s="1"/>
  <c r="GY13" i="30" s="1"/>
  <c r="GZ13" i="30" s="1"/>
  <c r="HA13" i="30" s="1"/>
  <c r="HB13" i="30" s="1"/>
  <c r="HC13" i="30" s="1"/>
  <c r="HD13" i="30" s="1"/>
  <c r="HE13" i="30" s="1"/>
  <c r="HF13" i="30" s="1"/>
  <c r="HG13" i="30" s="1"/>
  <c r="HH13" i="30" s="1"/>
  <c r="HI13" i="30" s="1"/>
  <c r="HJ13" i="30" s="1"/>
  <c r="HK13" i="30" s="1"/>
  <c r="HL13" i="30" s="1"/>
  <c r="HM13" i="30" s="1"/>
  <c r="HN13" i="30" s="1"/>
  <c r="HO13" i="30" s="1"/>
  <c r="HP13" i="30" s="1"/>
  <c r="HQ13" i="30" s="1"/>
  <c r="HR13" i="30" s="1"/>
  <c r="HS13" i="30" s="1"/>
  <c r="HT13" i="30" s="1"/>
  <c r="HU13" i="30" s="1"/>
  <c r="HV13" i="30" s="1"/>
  <c r="HW13" i="30" s="1"/>
  <c r="HX13" i="30" s="1"/>
  <c r="HY13" i="30" s="1"/>
  <c r="HZ13" i="30" s="1"/>
  <c r="IA13" i="30" s="1"/>
  <c r="IB13" i="30" s="1"/>
  <c r="IC13" i="30" s="1"/>
  <c r="ID13" i="30" s="1"/>
  <c r="IE13" i="30" s="1"/>
  <c r="IF13" i="30" s="1"/>
  <c r="IG13" i="30" s="1"/>
  <c r="IH13" i="30" s="1"/>
  <c r="II13" i="30" s="1"/>
  <c r="IJ13" i="30" s="1"/>
  <c r="IK13" i="30" s="1"/>
  <c r="IL13" i="30" s="1"/>
  <c r="IM13" i="30" s="1"/>
  <c r="IN13" i="30" s="1"/>
  <c r="IO13" i="30" s="1"/>
  <c r="IP13" i="30" s="1"/>
  <c r="IQ13" i="30" s="1"/>
  <c r="IR13" i="30" s="1"/>
  <c r="IS13" i="30" s="1"/>
  <c r="IT13" i="30" s="1"/>
  <c r="IU13" i="30" s="1"/>
  <c r="IV13" i="30" s="1"/>
  <c r="IW13" i="30" s="1"/>
  <c r="IX13" i="30" s="1"/>
  <c r="IY13" i="30" s="1"/>
  <c r="IZ13" i="30" s="1"/>
  <c r="JA13" i="30" s="1"/>
  <c r="JB13" i="30" s="1"/>
  <c r="JC13" i="30" s="1"/>
  <c r="JD13" i="30" s="1"/>
  <c r="JE13" i="30" s="1"/>
  <c r="JF13" i="30" s="1"/>
  <c r="JG13" i="30" s="1"/>
  <c r="JH13" i="30" s="1"/>
  <c r="JI13" i="30" s="1"/>
  <c r="JJ13" i="30" s="1"/>
  <c r="JK13" i="30" s="1"/>
  <c r="JL13" i="30" s="1"/>
  <c r="JM13" i="30" s="1"/>
  <c r="JN13" i="30" s="1"/>
  <c r="JO13" i="30" s="1"/>
  <c r="JP13" i="30" s="1"/>
  <c r="JQ13" i="30" s="1"/>
  <c r="JR13" i="30" s="1"/>
  <c r="JS13" i="30" s="1"/>
  <c r="JT13" i="30" s="1"/>
  <c r="JU13" i="30" s="1"/>
  <c r="JV13" i="30" s="1"/>
  <c r="JW13" i="30" s="1"/>
  <c r="JX13" i="30" s="1"/>
  <c r="JY13" i="30" s="1"/>
  <c r="JZ13" i="30" s="1"/>
  <c r="KA13" i="30" s="1"/>
  <c r="KB13" i="30" s="1"/>
  <c r="KC13" i="30" s="1"/>
  <c r="KD13" i="30" s="1"/>
  <c r="KE13" i="30" s="1"/>
  <c r="J12" i="30"/>
  <c r="P12" i="30" s="1"/>
  <c r="V12" i="30" s="1"/>
  <c r="AB12" i="30" s="1"/>
  <c r="AH12" i="30" s="1"/>
  <c r="AN12" i="30" s="1"/>
  <c r="AT12" i="30" s="1"/>
  <c r="AZ12" i="30" s="1"/>
  <c r="BF12" i="30" s="1"/>
  <c r="BL12" i="30" s="1"/>
  <c r="BR12" i="30" s="1"/>
  <c r="BX12" i="30" s="1"/>
  <c r="CD12" i="30" s="1"/>
  <c r="CJ12" i="30" s="1"/>
  <c r="CP12" i="30" s="1"/>
  <c r="CV12" i="30" s="1"/>
  <c r="DB12" i="30" s="1"/>
  <c r="DH12" i="30" s="1"/>
  <c r="DN12" i="30" s="1"/>
  <c r="DT12" i="30" s="1"/>
  <c r="DZ12" i="30" s="1"/>
  <c r="EF12" i="30" s="1"/>
  <c r="EL12" i="30" s="1"/>
  <c r="D13" i="30"/>
  <c r="VH12" i="30" l="1"/>
  <c r="AAV11" i="30"/>
  <c r="PT13" i="30"/>
  <c r="PU13" i="30" s="1"/>
  <c r="PV13" i="30" s="1"/>
  <c r="PW13" i="30" s="1"/>
  <c r="PX13" i="30" s="1"/>
  <c r="PY13" i="30" s="1"/>
  <c r="PZ13" i="30" s="1"/>
  <c r="QA13" i="30" s="1"/>
  <c r="QB13" i="30" s="1"/>
  <c r="QC13" i="30" s="1"/>
  <c r="QD13" i="30" s="1"/>
  <c r="QE13" i="30" s="1"/>
  <c r="QF13" i="30" s="1"/>
  <c r="QG13" i="30" s="1"/>
  <c r="QH13" i="30" s="1"/>
  <c r="QI13" i="30" s="1"/>
  <c r="QJ13" i="30" s="1"/>
  <c r="QK13" i="30" s="1"/>
  <c r="QL13" i="30" s="1"/>
  <c r="QM13" i="30" s="1"/>
  <c r="QN13" i="30" s="1"/>
  <c r="QO13" i="30" s="1"/>
  <c r="QP13" i="30" s="1"/>
  <c r="QQ13" i="30" s="1"/>
  <c r="QR13" i="30" s="1"/>
  <c r="QS13" i="30" s="1"/>
  <c r="QT13" i="30" s="1"/>
  <c r="QU13" i="30" s="1"/>
  <c r="QV13" i="30" s="1"/>
  <c r="QW13" i="30" s="1"/>
  <c r="QX13" i="30" s="1"/>
  <c r="QY13" i="30" s="1"/>
  <c r="QZ13" i="30" s="1"/>
  <c r="RA13" i="30" s="1"/>
  <c r="RB13" i="30" s="1"/>
  <c r="RC13" i="30" s="1"/>
  <c r="RD13" i="30" s="1"/>
  <c r="RE13" i="30" s="1"/>
  <c r="RF13" i="30" s="1"/>
  <c r="RG13" i="30" s="1"/>
  <c r="RH13" i="30" s="1"/>
  <c r="RI13" i="30" s="1"/>
  <c r="RJ13" i="30" s="1"/>
  <c r="RK13" i="30" s="1"/>
  <c r="RL13" i="30" s="1"/>
  <c r="RM13" i="30" s="1"/>
  <c r="RN13" i="30" s="1"/>
  <c r="RO13" i="30" s="1"/>
  <c r="RP13" i="30" s="1"/>
  <c r="RQ13" i="30" s="1"/>
  <c r="RR13" i="30" s="1"/>
  <c r="RS13" i="30" s="1"/>
  <c r="RT13" i="30" s="1"/>
  <c r="RU13" i="30" s="1"/>
  <c r="RV13" i="30" s="1"/>
  <c r="RW13" i="30" s="1"/>
  <c r="RX13" i="30" s="1"/>
  <c r="RY13" i="30" s="1"/>
  <c r="RZ13" i="30" s="1"/>
  <c r="SA13" i="30" s="1"/>
  <c r="SB13" i="30" s="1"/>
  <c r="SC13" i="30" s="1"/>
  <c r="SD13" i="30" s="1"/>
  <c r="SE13" i="30" s="1"/>
  <c r="SF13" i="30" s="1"/>
  <c r="SG13" i="30" s="1"/>
  <c r="SH13" i="30" s="1"/>
  <c r="SI13" i="30" s="1"/>
  <c r="SJ13" i="30" s="1"/>
  <c r="SK13" i="30" s="1"/>
  <c r="SL13" i="30" s="1"/>
  <c r="SM13" i="30" s="1"/>
  <c r="SN13" i="30" s="1"/>
  <c r="SO13" i="30" s="1"/>
  <c r="SP13" i="30" s="1"/>
  <c r="SQ13" i="30" s="1"/>
  <c r="SR13" i="30" s="1"/>
  <c r="SS13" i="30" s="1"/>
  <c r="ST13" i="30" s="1"/>
  <c r="SU13" i="30" s="1"/>
  <c r="SV13" i="30" s="1"/>
  <c r="SW13" i="30" s="1"/>
  <c r="SX13" i="30" s="1"/>
  <c r="SY13" i="30" s="1"/>
  <c r="SZ13" i="30" s="1"/>
  <c r="TA13" i="30" s="1"/>
  <c r="TB13" i="30" s="1"/>
  <c r="TC13" i="30" s="1"/>
  <c r="TD13" i="30" s="1"/>
  <c r="TE13" i="30" s="1"/>
  <c r="TF13" i="30" s="1"/>
  <c r="TG13" i="30" s="1"/>
  <c r="TH13" i="30" s="1"/>
  <c r="TI13" i="30" s="1"/>
  <c r="TJ13" i="30" s="1"/>
  <c r="TK13" i="30" s="1"/>
  <c r="TL13" i="30" s="1"/>
  <c r="TM13" i="30" s="1"/>
  <c r="TN13" i="30" s="1"/>
  <c r="TO13" i="30" s="1"/>
  <c r="TP13" i="30" s="1"/>
  <c r="TQ13" i="30" s="1"/>
  <c r="TR13" i="30" s="1"/>
  <c r="TS13" i="30" s="1"/>
  <c r="TT13" i="30" s="1"/>
  <c r="TU13" i="30" s="1"/>
  <c r="TV13" i="30" s="1"/>
  <c r="TW13" i="30" s="1"/>
  <c r="TX13" i="30" s="1"/>
  <c r="TY13" i="30" s="1"/>
  <c r="TZ13" i="30" s="1"/>
  <c r="UA13" i="30" s="1"/>
  <c r="UB13" i="30" s="1"/>
  <c r="UC13" i="30" s="1"/>
  <c r="UD13" i="30" s="1"/>
  <c r="UE13" i="30" s="1"/>
  <c r="UF13" i="30" s="1"/>
  <c r="UG13" i="30" s="1"/>
  <c r="UH13" i="30" s="1"/>
  <c r="UI13" i="30" s="1"/>
  <c r="UJ13" i="30" s="1"/>
  <c r="UK13" i="30" s="1"/>
  <c r="UL13" i="30" s="1"/>
  <c r="UM13" i="30" s="1"/>
  <c r="UN13" i="30" s="1"/>
  <c r="UO13" i="30" s="1"/>
  <c r="UP13" i="30" s="1"/>
  <c r="UQ13" i="30" s="1"/>
  <c r="UR13" i="30" s="1"/>
  <c r="US13" i="30" s="1"/>
  <c r="UT13" i="30" s="1"/>
  <c r="UU13" i="30" s="1"/>
  <c r="UV13" i="30" s="1"/>
  <c r="UW13" i="30" s="1"/>
  <c r="UX13" i="30" s="1"/>
  <c r="UY13" i="30" s="1"/>
  <c r="UZ13" i="30" s="1"/>
  <c r="VA13" i="30" s="1"/>
  <c r="VB13" i="30" s="1"/>
  <c r="VC13" i="30" s="1"/>
  <c r="VD13" i="30" s="1"/>
  <c r="VE13" i="30" s="1"/>
  <c r="VF13" i="30" s="1"/>
  <c r="VG13" i="30" s="1"/>
  <c r="PZ12" i="30"/>
  <c r="QF12" i="30" s="1"/>
  <c r="QL12" i="30" s="1"/>
  <c r="QR12" i="30" s="1"/>
  <c r="QX12" i="30" s="1"/>
  <c r="RD12" i="30" s="1"/>
  <c r="RJ12" i="30" s="1"/>
  <c r="RP12" i="30" s="1"/>
  <c r="RV12" i="30" s="1"/>
  <c r="SB12" i="30" s="1"/>
  <c r="SH12" i="30" s="1"/>
  <c r="SN12" i="30" s="1"/>
  <c r="ST12" i="30" s="1"/>
  <c r="SZ12" i="30" s="1"/>
  <c r="TF12" i="30" s="1"/>
  <c r="TL12" i="30" s="1"/>
  <c r="TR12" i="30" s="1"/>
  <c r="TX12" i="30" s="1"/>
  <c r="UD12" i="30" s="1"/>
  <c r="UJ12" i="30" s="1"/>
  <c r="UP12" i="30" s="1"/>
  <c r="UV12" i="30" s="1"/>
  <c r="VB12" i="30" s="1"/>
  <c r="G75" i="30"/>
  <c r="G76" i="30" s="1"/>
  <c r="E13" i="30"/>
  <c r="AGJ11" i="30" l="1"/>
  <c r="AAV12" i="30"/>
  <c r="VN12" i="30"/>
  <c r="VT12" i="30" s="1"/>
  <c r="VZ12" i="30" s="1"/>
  <c r="WF12" i="30" s="1"/>
  <c r="WL12" i="30" s="1"/>
  <c r="WR12" i="30" s="1"/>
  <c r="WX12" i="30" s="1"/>
  <c r="XD12" i="30" s="1"/>
  <c r="XJ12" i="30" s="1"/>
  <c r="XP12" i="30" s="1"/>
  <c r="XV12" i="30" s="1"/>
  <c r="YB12" i="30" s="1"/>
  <c r="YH12" i="30" s="1"/>
  <c r="YN12" i="30" s="1"/>
  <c r="YT12" i="30" s="1"/>
  <c r="YZ12" i="30" s="1"/>
  <c r="ZF12" i="30" s="1"/>
  <c r="ZL12" i="30" s="1"/>
  <c r="ZR12" i="30" s="1"/>
  <c r="ZX12" i="30" s="1"/>
  <c r="AAD12" i="30" s="1"/>
  <c r="AAJ12" i="30" s="1"/>
  <c r="AAP12" i="30" s="1"/>
  <c r="VH13" i="30"/>
  <c r="VI13" i="30" s="1"/>
  <c r="VJ13" i="30" s="1"/>
  <c r="VK13" i="30" s="1"/>
  <c r="VL13" i="30" s="1"/>
  <c r="VM13" i="30" s="1"/>
  <c r="VN13" i="30" s="1"/>
  <c r="VO13" i="30" s="1"/>
  <c r="VP13" i="30" s="1"/>
  <c r="VQ13" i="30" s="1"/>
  <c r="VR13" i="30" s="1"/>
  <c r="VS13" i="30" s="1"/>
  <c r="VT13" i="30" s="1"/>
  <c r="VU13" i="30" s="1"/>
  <c r="VV13" i="30" s="1"/>
  <c r="VW13" i="30" s="1"/>
  <c r="VX13" i="30" s="1"/>
  <c r="VY13" i="30" s="1"/>
  <c r="VZ13" i="30" s="1"/>
  <c r="WA13" i="30" s="1"/>
  <c r="WB13" i="30" s="1"/>
  <c r="WC13" i="30" s="1"/>
  <c r="WD13" i="30" s="1"/>
  <c r="WE13" i="30" s="1"/>
  <c r="WF13" i="30" s="1"/>
  <c r="WG13" i="30" s="1"/>
  <c r="WH13" i="30" s="1"/>
  <c r="WI13" i="30" s="1"/>
  <c r="WJ13" i="30" s="1"/>
  <c r="WK13" i="30" s="1"/>
  <c r="WL13" i="30" s="1"/>
  <c r="WM13" i="30" s="1"/>
  <c r="WN13" i="30" s="1"/>
  <c r="WO13" i="30" s="1"/>
  <c r="WP13" i="30" s="1"/>
  <c r="WQ13" i="30" s="1"/>
  <c r="WR13" i="30" s="1"/>
  <c r="WS13" i="30" s="1"/>
  <c r="WT13" i="30" s="1"/>
  <c r="WU13" i="30" s="1"/>
  <c r="WV13" i="30" s="1"/>
  <c r="WW13" i="30" s="1"/>
  <c r="WX13" i="30" s="1"/>
  <c r="WY13" i="30" s="1"/>
  <c r="WZ13" i="30" s="1"/>
  <c r="XA13" i="30" s="1"/>
  <c r="XB13" i="30" s="1"/>
  <c r="XC13" i="30" s="1"/>
  <c r="XD13" i="30" s="1"/>
  <c r="XE13" i="30" s="1"/>
  <c r="XF13" i="30" s="1"/>
  <c r="XG13" i="30" s="1"/>
  <c r="XH13" i="30" s="1"/>
  <c r="XI13" i="30" s="1"/>
  <c r="XJ13" i="30" s="1"/>
  <c r="XK13" i="30" s="1"/>
  <c r="XL13" i="30" s="1"/>
  <c r="XM13" i="30" s="1"/>
  <c r="XN13" i="30" s="1"/>
  <c r="XO13" i="30" s="1"/>
  <c r="XP13" i="30" s="1"/>
  <c r="XQ13" i="30" s="1"/>
  <c r="XR13" i="30" s="1"/>
  <c r="XS13" i="30" s="1"/>
  <c r="XT13" i="30" s="1"/>
  <c r="XU13" i="30" s="1"/>
  <c r="XV13" i="30" s="1"/>
  <c r="XW13" i="30" s="1"/>
  <c r="XX13" i="30" s="1"/>
  <c r="XY13" i="30" s="1"/>
  <c r="XZ13" i="30" s="1"/>
  <c r="YA13" i="30" s="1"/>
  <c r="YB13" i="30" s="1"/>
  <c r="YC13" i="30" s="1"/>
  <c r="YD13" i="30" s="1"/>
  <c r="YE13" i="30" s="1"/>
  <c r="YF13" i="30" s="1"/>
  <c r="YG13" i="30" s="1"/>
  <c r="YH13" i="30" s="1"/>
  <c r="YI13" i="30" s="1"/>
  <c r="YJ13" i="30" s="1"/>
  <c r="YK13" i="30" s="1"/>
  <c r="YL13" i="30" s="1"/>
  <c r="YM13" i="30" s="1"/>
  <c r="YN13" i="30" s="1"/>
  <c r="YO13" i="30" s="1"/>
  <c r="YP13" i="30" s="1"/>
  <c r="YQ13" i="30" s="1"/>
  <c r="YR13" i="30" s="1"/>
  <c r="YS13" i="30" s="1"/>
  <c r="YT13" i="30" s="1"/>
  <c r="YU13" i="30" s="1"/>
  <c r="YV13" i="30" s="1"/>
  <c r="YW13" i="30" s="1"/>
  <c r="YX13" i="30" s="1"/>
  <c r="YY13" i="30" s="1"/>
  <c r="YZ13" i="30" s="1"/>
  <c r="ZA13" i="30" s="1"/>
  <c r="ZB13" i="30" s="1"/>
  <c r="ZC13" i="30" s="1"/>
  <c r="ZD13" i="30" s="1"/>
  <c r="ZE13" i="30" s="1"/>
  <c r="ZF13" i="30" s="1"/>
  <c r="ZG13" i="30" s="1"/>
  <c r="ZH13" i="30" s="1"/>
  <c r="ZI13" i="30" s="1"/>
  <c r="ZJ13" i="30" s="1"/>
  <c r="ZK13" i="30" s="1"/>
  <c r="ZL13" i="30" s="1"/>
  <c r="ZM13" i="30" s="1"/>
  <c r="ZN13" i="30" s="1"/>
  <c r="ZO13" i="30" s="1"/>
  <c r="ZP13" i="30" s="1"/>
  <c r="ZQ13" i="30" s="1"/>
  <c r="ZR13" i="30" s="1"/>
  <c r="ZS13" i="30" s="1"/>
  <c r="ZT13" i="30" s="1"/>
  <c r="ZU13" i="30" s="1"/>
  <c r="ZV13" i="30" s="1"/>
  <c r="ZW13" i="30" s="1"/>
  <c r="ZX13" i="30" s="1"/>
  <c r="ZY13" i="30" s="1"/>
  <c r="ZZ13" i="30" s="1"/>
  <c r="AAA13" i="30" s="1"/>
  <c r="AAB13" i="30" s="1"/>
  <c r="AAC13" i="30" s="1"/>
  <c r="AAD13" i="30" s="1"/>
  <c r="AAE13" i="30" s="1"/>
  <c r="AAF13" i="30" s="1"/>
  <c r="AAG13" i="30" s="1"/>
  <c r="AAH13" i="30" s="1"/>
  <c r="AAI13" i="30" s="1"/>
  <c r="AAJ13" i="30" s="1"/>
  <c r="AAK13" i="30" s="1"/>
  <c r="AAL13" i="30" s="1"/>
  <c r="AAM13" i="30" s="1"/>
  <c r="AAN13" i="30" s="1"/>
  <c r="AAO13" i="30" s="1"/>
  <c r="AAP13" i="30" s="1"/>
  <c r="AAQ13" i="30" s="1"/>
  <c r="AAR13" i="30" s="1"/>
  <c r="AAS13" i="30" s="1"/>
  <c r="AAT13" i="30" s="1"/>
  <c r="AAU13" i="30" s="1"/>
  <c r="H75" i="30"/>
  <c r="H76" i="30" s="1"/>
  <c r="F13" i="30"/>
  <c r="ABB12" i="30" l="1"/>
  <c r="ABH12" i="30" s="1"/>
  <c r="ABN12" i="30" s="1"/>
  <c r="ABT12" i="30" s="1"/>
  <c r="ABZ12" i="30" s="1"/>
  <c r="ACF12" i="30" s="1"/>
  <c r="ACL12" i="30" s="1"/>
  <c r="ACR12" i="30" s="1"/>
  <c r="ACX12" i="30" s="1"/>
  <c r="ADD12" i="30" s="1"/>
  <c r="ADJ12" i="30" s="1"/>
  <c r="ADP12" i="30" s="1"/>
  <c r="ADV12" i="30" s="1"/>
  <c r="AEB12" i="30" s="1"/>
  <c r="AEH12" i="30" s="1"/>
  <c r="AEN12" i="30" s="1"/>
  <c r="AET12" i="30" s="1"/>
  <c r="AEZ12" i="30" s="1"/>
  <c r="AFF12" i="30" s="1"/>
  <c r="AFL12" i="30" s="1"/>
  <c r="AFR12" i="30" s="1"/>
  <c r="AFX12" i="30" s="1"/>
  <c r="AGD12" i="30" s="1"/>
  <c r="AAV13" i="30"/>
  <c r="AAW13" i="30" s="1"/>
  <c r="AAX13" i="30" s="1"/>
  <c r="AAY13" i="30" s="1"/>
  <c r="AAZ13" i="30" s="1"/>
  <c r="ABA13" i="30" s="1"/>
  <c r="ABB13" i="30" s="1"/>
  <c r="ABC13" i="30" s="1"/>
  <c r="ABD13" i="30" s="1"/>
  <c r="ABE13" i="30" s="1"/>
  <c r="ABF13" i="30" s="1"/>
  <c r="ABG13" i="30" s="1"/>
  <c r="ABH13" i="30" s="1"/>
  <c r="ABI13" i="30" s="1"/>
  <c r="ABJ13" i="30" s="1"/>
  <c r="ABK13" i="30" s="1"/>
  <c r="ABL13" i="30" s="1"/>
  <c r="ABM13" i="30" s="1"/>
  <c r="ABN13" i="30" s="1"/>
  <c r="ABO13" i="30" s="1"/>
  <c r="ABP13" i="30" s="1"/>
  <c r="ABQ13" i="30" s="1"/>
  <c r="ABR13" i="30" s="1"/>
  <c r="ABS13" i="30" s="1"/>
  <c r="ABT13" i="30" s="1"/>
  <c r="ABU13" i="30" s="1"/>
  <c r="ABV13" i="30" s="1"/>
  <c r="ABW13" i="30" s="1"/>
  <c r="ABX13" i="30" s="1"/>
  <c r="ABY13" i="30" s="1"/>
  <c r="ABZ13" i="30" s="1"/>
  <c r="ACA13" i="30" s="1"/>
  <c r="ACB13" i="30" s="1"/>
  <c r="ACC13" i="30" s="1"/>
  <c r="ACD13" i="30" s="1"/>
  <c r="ACE13" i="30" s="1"/>
  <c r="ACF13" i="30" s="1"/>
  <c r="ACG13" i="30" s="1"/>
  <c r="ACH13" i="30" s="1"/>
  <c r="ACI13" i="30" s="1"/>
  <c r="ACJ13" i="30" s="1"/>
  <c r="ACK13" i="30" s="1"/>
  <c r="ACL13" i="30" s="1"/>
  <c r="ACM13" i="30" s="1"/>
  <c r="ACN13" i="30" s="1"/>
  <c r="ACO13" i="30" s="1"/>
  <c r="ACP13" i="30" s="1"/>
  <c r="ACQ13" i="30" s="1"/>
  <c r="ACR13" i="30" s="1"/>
  <c r="ACS13" i="30" s="1"/>
  <c r="ACT13" i="30" s="1"/>
  <c r="ACU13" i="30" s="1"/>
  <c r="ACV13" i="30" s="1"/>
  <c r="ACW13" i="30" s="1"/>
  <c r="ACX13" i="30" s="1"/>
  <c r="ACY13" i="30" s="1"/>
  <c r="ACZ13" i="30" s="1"/>
  <c r="ADA13" i="30" s="1"/>
  <c r="ADB13" i="30" s="1"/>
  <c r="ADC13" i="30" s="1"/>
  <c r="ADD13" i="30" s="1"/>
  <c r="ADE13" i="30" s="1"/>
  <c r="ADF13" i="30" s="1"/>
  <c r="ADG13" i="30" s="1"/>
  <c r="ADH13" i="30" s="1"/>
  <c r="ADI13" i="30" s="1"/>
  <c r="ADJ13" i="30" s="1"/>
  <c r="ADK13" i="30" s="1"/>
  <c r="ADL13" i="30" s="1"/>
  <c r="ADM13" i="30" s="1"/>
  <c r="ADN13" i="30" s="1"/>
  <c r="ADO13" i="30" s="1"/>
  <c r="ADP13" i="30" s="1"/>
  <c r="ADQ13" i="30" s="1"/>
  <c r="ADR13" i="30" s="1"/>
  <c r="ADS13" i="30" s="1"/>
  <c r="ADT13" i="30" s="1"/>
  <c r="ADU13" i="30" s="1"/>
  <c r="ADV13" i="30" s="1"/>
  <c r="ADW13" i="30" s="1"/>
  <c r="ADX13" i="30" s="1"/>
  <c r="ADY13" i="30" s="1"/>
  <c r="ADZ13" i="30" s="1"/>
  <c r="AEA13" i="30" s="1"/>
  <c r="AEB13" i="30" s="1"/>
  <c r="AEC13" i="30" s="1"/>
  <c r="AED13" i="30" s="1"/>
  <c r="AEE13" i="30" s="1"/>
  <c r="AEF13" i="30" s="1"/>
  <c r="AEG13" i="30" s="1"/>
  <c r="AEH13" i="30" s="1"/>
  <c r="AEI13" i="30" s="1"/>
  <c r="AEJ13" i="30" s="1"/>
  <c r="AEK13" i="30" s="1"/>
  <c r="AEL13" i="30" s="1"/>
  <c r="AEM13" i="30" s="1"/>
  <c r="AEN13" i="30" s="1"/>
  <c r="AEO13" i="30" s="1"/>
  <c r="AEP13" i="30" s="1"/>
  <c r="AEQ13" i="30" s="1"/>
  <c r="AER13" i="30" s="1"/>
  <c r="AES13" i="30" s="1"/>
  <c r="AET13" i="30" s="1"/>
  <c r="AEU13" i="30" s="1"/>
  <c r="AEV13" i="30" s="1"/>
  <c r="AEW13" i="30" s="1"/>
  <c r="AEX13" i="30" s="1"/>
  <c r="AEY13" i="30" s="1"/>
  <c r="AEZ13" i="30" s="1"/>
  <c r="AFA13" i="30" s="1"/>
  <c r="AFB13" i="30" s="1"/>
  <c r="AFC13" i="30" s="1"/>
  <c r="AFD13" i="30" s="1"/>
  <c r="AFE13" i="30" s="1"/>
  <c r="AFF13" i="30" s="1"/>
  <c r="AFG13" i="30" s="1"/>
  <c r="AFH13" i="30" s="1"/>
  <c r="AFI13" i="30" s="1"/>
  <c r="AFJ13" i="30" s="1"/>
  <c r="AFK13" i="30" s="1"/>
  <c r="AFL13" i="30" s="1"/>
  <c r="AFM13" i="30" s="1"/>
  <c r="AFN13" i="30" s="1"/>
  <c r="AFO13" i="30" s="1"/>
  <c r="AFP13" i="30" s="1"/>
  <c r="AFQ13" i="30" s="1"/>
  <c r="AFR13" i="30" s="1"/>
  <c r="AFS13" i="30" s="1"/>
  <c r="AFT13" i="30" s="1"/>
  <c r="AFU13" i="30" s="1"/>
  <c r="AFV13" i="30" s="1"/>
  <c r="AFW13" i="30" s="1"/>
  <c r="AFX13" i="30" s="1"/>
  <c r="AFY13" i="30" s="1"/>
  <c r="AFZ13" i="30" s="1"/>
  <c r="AGA13" i="30" s="1"/>
  <c r="AGB13" i="30" s="1"/>
  <c r="AGC13" i="30" s="1"/>
  <c r="AGD13" i="30" s="1"/>
  <c r="AGE13" i="30" s="1"/>
  <c r="AGF13" i="30" s="1"/>
  <c r="AGG13" i="30" s="1"/>
  <c r="AGH13" i="30" s="1"/>
  <c r="AGI13" i="30" s="1"/>
  <c r="C4" i="30"/>
  <c r="AGJ12" i="30"/>
  <c r="I75" i="30"/>
  <c r="I76" i="30" s="1"/>
  <c r="G13" i="30"/>
  <c r="AGP12" i="30" l="1"/>
  <c r="AGV12" i="30" s="1"/>
  <c r="AHB12" i="30" s="1"/>
  <c r="AHH12" i="30" s="1"/>
  <c r="AHN12" i="30" s="1"/>
  <c r="AHT12" i="30" s="1"/>
  <c r="AHZ12" i="30" s="1"/>
  <c r="AIF12" i="30" s="1"/>
  <c r="AIL12" i="30" s="1"/>
  <c r="AIR12" i="30" s="1"/>
  <c r="AIX12" i="30" s="1"/>
  <c r="AJD12" i="30" s="1"/>
  <c r="AJJ12" i="30" s="1"/>
  <c r="AJP12" i="30" s="1"/>
  <c r="AJV12" i="30" s="1"/>
  <c r="AKB12" i="30" s="1"/>
  <c r="AKH12" i="30" s="1"/>
  <c r="AKN12" i="30" s="1"/>
  <c r="AKT12" i="30" s="1"/>
  <c r="AKZ12" i="30" s="1"/>
  <c r="ALF12" i="30" s="1"/>
  <c r="ALL12" i="30" s="1"/>
  <c r="ALR12" i="30" s="1"/>
  <c r="AGJ13" i="30"/>
  <c r="AGK13" i="30" s="1"/>
  <c r="AGL13" i="30" s="1"/>
  <c r="AGM13" i="30" s="1"/>
  <c r="AGN13" i="30" s="1"/>
  <c r="AGO13" i="30" s="1"/>
  <c r="AGP13" i="30" s="1"/>
  <c r="AGQ13" i="30" s="1"/>
  <c r="AGR13" i="30" s="1"/>
  <c r="AGS13" i="30" s="1"/>
  <c r="AGT13" i="30" s="1"/>
  <c r="AGU13" i="30" s="1"/>
  <c r="AGV13" i="30" s="1"/>
  <c r="AGW13" i="30" s="1"/>
  <c r="AGX13" i="30" s="1"/>
  <c r="AGY13" i="30" s="1"/>
  <c r="AGZ13" i="30" s="1"/>
  <c r="AHA13" i="30" s="1"/>
  <c r="AHB13" i="30" s="1"/>
  <c r="AHC13" i="30" s="1"/>
  <c r="AHD13" i="30" s="1"/>
  <c r="AHE13" i="30" s="1"/>
  <c r="AHF13" i="30" s="1"/>
  <c r="AHG13" i="30" s="1"/>
  <c r="AHH13" i="30" s="1"/>
  <c r="AHI13" i="30" s="1"/>
  <c r="AHJ13" i="30" s="1"/>
  <c r="AHK13" i="30" s="1"/>
  <c r="AHL13" i="30" s="1"/>
  <c r="AHM13" i="30" s="1"/>
  <c r="AHN13" i="30" s="1"/>
  <c r="AHO13" i="30" s="1"/>
  <c r="AHP13" i="30" s="1"/>
  <c r="AHQ13" i="30" s="1"/>
  <c r="AHR13" i="30" s="1"/>
  <c r="AHS13" i="30" s="1"/>
  <c r="AHT13" i="30" s="1"/>
  <c r="AHU13" i="30" s="1"/>
  <c r="AHV13" i="30" s="1"/>
  <c r="AHW13" i="30" s="1"/>
  <c r="AHX13" i="30" s="1"/>
  <c r="AHY13" i="30" s="1"/>
  <c r="AHZ13" i="30" s="1"/>
  <c r="AIA13" i="30" s="1"/>
  <c r="AIB13" i="30" s="1"/>
  <c r="AIC13" i="30" s="1"/>
  <c r="AID13" i="30" s="1"/>
  <c r="AIE13" i="30" s="1"/>
  <c r="AIF13" i="30" s="1"/>
  <c r="AIG13" i="30" s="1"/>
  <c r="AIH13" i="30" s="1"/>
  <c r="AII13" i="30" s="1"/>
  <c r="AIJ13" i="30" s="1"/>
  <c r="AIK13" i="30" s="1"/>
  <c r="AIL13" i="30" s="1"/>
  <c r="AIM13" i="30" s="1"/>
  <c r="AIN13" i="30" s="1"/>
  <c r="AIO13" i="30" s="1"/>
  <c r="AIP13" i="30" s="1"/>
  <c r="AIQ13" i="30" s="1"/>
  <c r="AIR13" i="30" s="1"/>
  <c r="AIS13" i="30" s="1"/>
  <c r="AIT13" i="30" s="1"/>
  <c r="AIU13" i="30" s="1"/>
  <c r="AIV13" i="30" s="1"/>
  <c r="AIW13" i="30" s="1"/>
  <c r="AIX13" i="30" s="1"/>
  <c r="AIY13" i="30" s="1"/>
  <c r="AIZ13" i="30" s="1"/>
  <c r="AJA13" i="30" s="1"/>
  <c r="AJB13" i="30" s="1"/>
  <c r="AJC13" i="30" s="1"/>
  <c r="AJD13" i="30" s="1"/>
  <c r="AJE13" i="30" s="1"/>
  <c r="AJF13" i="30" s="1"/>
  <c r="AJG13" i="30" s="1"/>
  <c r="AJH13" i="30" s="1"/>
  <c r="AJI13" i="30" s="1"/>
  <c r="AJJ13" i="30" s="1"/>
  <c r="AJK13" i="30" s="1"/>
  <c r="AJL13" i="30" s="1"/>
  <c r="AJM13" i="30" s="1"/>
  <c r="AJN13" i="30" s="1"/>
  <c r="AJO13" i="30" s="1"/>
  <c r="AJP13" i="30" s="1"/>
  <c r="AJQ13" i="30" s="1"/>
  <c r="AJR13" i="30" s="1"/>
  <c r="AJS13" i="30" s="1"/>
  <c r="AJT13" i="30" s="1"/>
  <c r="AJU13" i="30" s="1"/>
  <c r="AJV13" i="30" s="1"/>
  <c r="AJW13" i="30" s="1"/>
  <c r="AJX13" i="30" s="1"/>
  <c r="AJY13" i="30" s="1"/>
  <c r="AJZ13" i="30" s="1"/>
  <c r="AKA13" i="30" s="1"/>
  <c r="AKB13" i="30" s="1"/>
  <c r="AKC13" i="30" s="1"/>
  <c r="AKD13" i="30" s="1"/>
  <c r="AKE13" i="30" s="1"/>
  <c r="AKF13" i="30" s="1"/>
  <c r="AKG13" i="30" s="1"/>
  <c r="AKH13" i="30" s="1"/>
  <c r="AKI13" i="30" s="1"/>
  <c r="AKJ13" i="30" s="1"/>
  <c r="AKK13" i="30" s="1"/>
  <c r="AKL13" i="30" s="1"/>
  <c r="AKM13" i="30" s="1"/>
  <c r="AKN13" i="30" s="1"/>
  <c r="AKO13" i="30" s="1"/>
  <c r="AKP13" i="30" s="1"/>
  <c r="AKQ13" i="30" s="1"/>
  <c r="AKR13" i="30" s="1"/>
  <c r="AKS13" i="30" s="1"/>
  <c r="AKT13" i="30" s="1"/>
  <c r="AKU13" i="30" s="1"/>
  <c r="AKV13" i="30" s="1"/>
  <c r="AKW13" i="30" s="1"/>
  <c r="AKX13" i="30" s="1"/>
  <c r="AKY13" i="30" s="1"/>
  <c r="AKZ13" i="30" s="1"/>
  <c r="ALA13" i="30" s="1"/>
  <c r="ALB13" i="30" s="1"/>
  <c r="ALC13" i="30" s="1"/>
  <c r="ALD13" i="30" s="1"/>
  <c r="ALE13" i="30" s="1"/>
  <c r="ALF13" i="30" s="1"/>
  <c r="ALG13" i="30" s="1"/>
  <c r="ALH13" i="30" s="1"/>
  <c r="ALI13" i="30" s="1"/>
  <c r="ALJ13" i="30" s="1"/>
  <c r="ALK13" i="30" s="1"/>
  <c r="ALL13" i="30" s="1"/>
  <c r="ALM13" i="30" s="1"/>
  <c r="ALN13" i="30" s="1"/>
  <c r="ALO13" i="30" s="1"/>
  <c r="ALP13" i="30" s="1"/>
  <c r="ALQ13" i="30" s="1"/>
  <c r="ALR13" i="30" s="1"/>
  <c r="ALS13" i="30" s="1"/>
  <c r="ALT13" i="30" s="1"/>
  <c r="ALU13" i="30" s="1"/>
  <c r="ALV13" i="30" s="1"/>
  <c r="ALW13" i="30" s="1"/>
  <c r="J75" i="30"/>
  <c r="J76" i="30" s="1"/>
  <c r="H13" i="30"/>
  <c r="K75" i="30" l="1"/>
  <c r="K76" i="30" s="1"/>
  <c r="C4" i="43"/>
  <c r="C6" i="43" s="1"/>
  <c r="C4" i="42"/>
  <c r="C6" i="42" s="1"/>
  <c r="C4" i="34"/>
  <c r="C6" i="34" s="1"/>
  <c r="C4" i="39"/>
  <c r="C6" i="39" s="1"/>
  <c r="C4" i="40"/>
  <c r="C6" i="40" s="1"/>
  <c r="C4" i="41"/>
  <c r="C6" i="41" s="1"/>
  <c r="C4" i="38"/>
  <c r="C6" i="38" s="1"/>
  <c r="C4" i="37"/>
  <c r="C6" i="37" s="1"/>
  <c r="C4" i="36"/>
  <c r="C6" i="36" s="1"/>
  <c r="C6" i="30"/>
  <c r="I13" i="30"/>
  <c r="L75" i="30" l="1"/>
  <c r="L76" i="30" s="1"/>
  <c r="J13" i="30"/>
  <c r="M75" i="30" l="1"/>
  <c r="M76" i="30" s="1"/>
  <c r="K13" i="30"/>
  <c r="N75" i="30" l="1"/>
  <c r="N76" i="30" s="1"/>
  <c r="L13" i="30"/>
  <c r="O75" i="30" l="1"/>
  <c r="O76" i="30" s="1"/>
  <c r="M13" i="30"/>
  <c r="P75" i="30" l="1"/>
  <c r="P76" i="30" s="1"/>
  <c r="N13" i="30"/>
  <c r="Q75" i="30" l="1"/>
  <c r="Q76" i="30" s="1"/>
  <c r="O13" i="30"/>
  <c r="R75" i="30" l="1"/>
  <c r="R76" i="30" s="1"/>
  <c r="P13" i="30"/>
  <c r="S75" i="30" l="1"/>
  <c r="S76" i="30" s="1"/>
  <c r="Q13" i="30"/>
  <c r="T75" i="30" l="1"/>
  <c r="T76" i="30" s="1"/>
  <c r="R13" i="30"/>
  <c r="U75" i="30" l="1"/>
  <c r="U76" i="30" s="1"/>
  <c r="S13" i="30"/>
  <c r="V75" i="30" l="1"/>
  <c r="V76" i="30" s="1"/>
  <c r="T13" i="30"/>
  <c r="W75" i="30" l="1"/>
  <c r="W76" i="30" s="1"/>
  <c r="U13" i="30"/>
  <c r="X75" i="30" l="1"/>
  <c r="X76" i="30" s="1"/>
  <c r="V13" i="30"/>
  <c r="Y75" i="30" l="1"/>
  <c r="Y76" i="30" s="1"/>
  <c r="W13" i="30"/>
  <c r="Z75" i="30" l="1"/>
  <c r="Z76" i="30" s="1"/>
  <c r="X13" i="30"/>
  <c r="AA75" i="30" l="1"/>
  <c r="AA76" i="30" s="1"/>
  <c r="Y13" i="30"/>
  <c r="AB75" i="30" l="1"/>
  <c r="AB76" i="30" s="1"/>
  <c r="Z13" i="30"/>
  <c r="AC75" i="30" l="1"/>
  <c r="AC76" i="30" s="1"/>
  <c r="AA13" i="30"/>
  <c r="AD75" i="30" l="1"/>
  <c r="AD76" i="30" s="1"/>
  <c r="AB13" i="30"/>
  <c r="AE75" i="30" l="1"/>
  <c r="AE76" i="30" s="1"/>
  <c r="AC13" i="30"/>
  <c r="AF75" i="30" l="1"/>
  <c r="AF76" i="30" s="1"/>
  <c r="AD13" i="30"/>
  <c r="AG75" i="30" l="1"/>
  <c r="AG76" i="30" s="1"/>
  <c r="AE13" i="30"/>
  <c r="AH75" i="30" l="1"/>
  <c r="AH76" i="30" s="1"/>
  <c r="AF13" i="30"/>
  <c r="AI75" i="30" l="1"/>
  <c r="AI76" i="30" s="1"/>
  <c r="AG13" i="30"/>
  <c r="AJ75" i="30" l="1"/>
  <c r="AJ76" i="30" s="1"/>
  <c r="AH13" i="30"/>
  <c r="AK75" i="30" l="1"/>
  <c r="AK76" i="30" s="1"/>
  <c r="AI13" i="30"/>
  <c r="AL75" i="30" l="1"/>
  <c r="AL76" i="30" s="1"/>
  <c r="AJ13" i="30"/>
  <c r="AM75" i="30" l="1"/>
  <c r="AM76" i="30" s="1"/>
  <c r="AK13" i="30"/>
  <c r="AN75" i="30" l="1"/>
  <c r="AN76" i="30" s="1"/>
  <c r="AL13" i="30"/>
  <c r="AO75" i="30" l="1"/>
  <c r="AO76" i="30" s="1"/>
  <c r="AM13" i="30"/>
  <c r="AP75" i="30" l="1"/>
  <c r="AP76" i="30" s="1"/>
  <c r="AN13" i="30"/>
  <c r="AQ75" i="30" l="1"/>
  <c r="AQ76" i="30" s="1"/>
  <c r="AO13" i="30"/>
  <c r="AR75" i="30" l="1"/>
  <c r="AR76" i="30" s="1"/>
  <c r="AP13" i="30"/>
  <c r="AS75" i="30" l="1"/>
  <c r="AS76" i="30" s="1"/>
  <c r="AQ13" i="30"/>
  <c r="AT75" i="30" l="1"/>
  <c r="AT76" i="30" s="1"/>
  <c r="AR13" i="30"/>
  <c r="AU75" i="30" l="1"/>
  <c r="AU76" i="30" s="1"/>
  <c r="AS13" i="30"/>
  <c r="AV75" i="30" l="1"/>
  <c r="AV76" i="30" s="1"/>
  <c r="AT13" i="30"/>
  <c r="AW75" i="30" l="1"/>
  <c r="AW76" i="30" s="1"/>
  <c r="AU13" i="30"/>
  <c r="AX75" i="30" l="1"/>
  <c r="AX76" i="30" s="1"/>
  <c r="AV13" i="30"/>
  <c r="AY75" i="30" l="1"/>
  <c r="AY76" i="30" s="1"/>
  <c r="AW13" i="30"/>
  <c r="AZ75" i="30" l="1"/>
  <c r="AZ76" i="30" s="1"/>
  <c r="AX13" i="30"/>
  <c r="BA75" i="30" l="1"/>
  <c r="BA76" i="30" s="1"/>
  <c r="AY13" i="30"/>
  <c r="BB75" i="30" l="1"/>
  <c r="BB76" i="30" s="1"/>
  <c r="AZ13" i="30"/>
  <c r="BC75" i="30" l="1"/>
  <c r="BC76" i="30" s="1"/>
  <c r="BA13" i="30"/>
  <c r="BD75" i="30" l="1"/>
  <c r="BD76" i="30" s="1"/>
  <c r="BB13" i="30"/>
  <c r="BE75" i="30" l="1"/>
  <c r="BE76" i="30" s="1"/>
  <c r="BC13" i="30"/>
  <c r="BF75" i="30" l="1"/>
  <c r="BF76" i="30" s="1"/>
  <c r="BD13" i="30"/>
  <c r="BG75" i="30" l="1"/>
  <c r="BG76" i="30" s="1"/>
  <c r="BE13" i="30"/>
  <c r="BH75" i="30" l="1"/>
  <c r="BH76" i="30" s="1"/>
  <c r="BF13" i="30"/>
  <c r="BI75" i="30" l="1"/>
  <c r="BI76" i="30" s="1"/>
  <c r="BG13" i="30"/>
  <c r="BJ75" i="30" l="1"/>
  <c r="BJ76" i="30" s="1"/>
  <c r="BH13" i="30"/>
  <c r="BK75" i="30" l="1"/>
  <c r="BK76" i="30" s="1"/>
  <c r="BI13" i="30"/>
  <c r="BL75" i="30" l="1"/>
  <c r="BL76" i="30" s="1"/>
  <c r="BJ13" i="30"/>
  <c r="BM75" i="30" l="1"/>
  <c r="BM76" i="30" s="1"/>
  <c r="BK13" i="30"/>
  <c r="BN75" i="30" l="1"/>
  <c r="BN76" i="30" s="1"/>
  <c r="BL13" i="30"/>
  <c r="BO75" i="30" l="1"/>
  <c r="BO76" i="30" s="1"/>
  <c r="BM13" i="30"/>
  <c r="BP75" i="30" l="1"/>
  <c r="BP76" i="30" s="1"/>
  <c r="BN13" i="30"/>
  <c r="BQ75" i="30" l="1"/>
  <c r="BQ76" i="30" s="1"/>
  <c r="BO13" i="30"/>
  <c r="BR75" i="30" l="1"/>
  <c r="BR76" i="30" s="1"/>
  <c r="BP13" i="30"/>
  <c r="BS75" i="30" l="1"/>
  <c r="BS76" i="30" s="1"/>
  <c r="BQ13" i="30"/>
  <c r="BT75" i="30" l="1"/>
  <c r="BT76" i="30" s="1"/>
  <c r="BR13" i="30"/>
  <c r="BU75" i="30" l="1"/>
  <c r="BU76" i="30" s="1"/>
  <c r="BS13" i="30"/>
  <c r="BV75" i="30" l="1"/>
  <c r="BV76" i="30" s="1"/>
  <c r="BT13" i="30"/>
  <c r="BW75" i="30" l="1"/>
  <c r="BW76" i="30" s="1"/>
  <c r="BU13" i="30"/>
  <c r="BX75" i="30" l="1"/>
  <c r="BX76" i="30" s="1"/>
  <c r="BV13" i="30"/>
  <c r="BY75" i="30" l="1"/>
  <c r="BY76" i="30" s="1"/>
  <c r="BW13" i="30"/>
  <c r="BZ75" i="30" l="1"/>
  <c r="BZ76" i="30" s="1"/>
  <c r="BX13" i="30"/>
  <c r="CA75" i="30" l="1"/>
  <c r="CA76" i="30" s="1"/>
  <c r="BY13" i="30"/>
  <c r="CB75" i="30" l="1"/>
  <c r="CB76" i="30" s="1"/>
  <c r="BZ13" i="30"/>
  <c r="CC75" i="30" l="1"/>
  <c r="CC76" i="30" s="1"/>
  <c r="CA13" i="30"/>
  <c r="CD75" i="30" l="1"/>
  <c r="CD76" i="30" s="1"/>
  <c r="CB13" i="30"/>
  <c r="CE75" i="30" l="1"/>
  <c r="CE76" i="30" s="1"/>
  <c r="CC13" i="30"/>
  <c r="CF75" i="30" l="1"/>
  <c r="CF76" i="30" s="1"/>
  <c r="CD13" i="30"/>
  <c r="CG75" i="30" l="1"/>
  <c r="CG76" i="30" s="1"/>
  <c r="CE13" i="30"/>
  <c r="CH75" i="30" l="1"/>
  <c r="CH76" i="30" s="1"/>
  <c r="CF13" i="30"/>
  <c r="CI75" i="30" l="1"/>
  <c r="CI76" i="30" s="1"/>
  <c r="CG13" i="30"/>
  <c r="CJ75" i="30" l="1"/>
  <c r="CJ76" i="30" s="1"/>
  <c r="CH13" i="30"/>
  <c r="CK75" i="30" l="1"/>
  <c r="CK76" i="30" s="1"/>
  <c r="CI13" i="30"/>
  <c r="CL75" i="30" l="1"/>
  <c r="CL76" i="30" s="1"/>
  <c r="CJ13" i="30"/>
  <c r="CM75" i="30" l="1"/>
  <c r="CM76" i="30" s="1"/>
  <c r="CK13" i="30"/>
  <c r="CN75" i="30" l="1"/>
  <c r="CN76" i="30" s="1"/>
  <c r="CL13" i="30"/>
  <c r="CO75" i="30" l="1"/>
  <c r="CO76" i="30" s="1"/>
  <c r="CM13" i="30"/>
  <c r="CP75" i="30" l="1"/>
  <c r="CP76" i="30" s="1"/>
  <c r="CN13" i="30"/>
  <c r="CQ75" i="30" l="1"/>
  <c r="CQ76" i="30" s="1"/>
  <c r="CO13" i="30"/>
  <c r="CR75" i="30" l="1"/>
  <c r="CR76" i="30" s="1"/>
  <c r="CP13" i="30"/>
  <c r="CS75" i="30" l="1"/>
  <c r="CS76" i="30" s="1"/>
  <c r="CQ13" i="30"/>
  <c r="CT75" i="30" l="1"/>
  <c r="CT76" i="30" s="1"/>
  <c r="CR13" i="30"/>
  <c r="CU75" i="30" l="1"/>
  <c r="CU76" i="30" s="1"/>
  <c r="CS13" i="30"/>
  <c r="CV75" i="30" l="1"/>
  <c r="CV76" i="30" s="1"/>
  <c r="CT13" i="30"/>
  <c r="CW75" i="30" l="1"/>
  <c r="CW76" i="30" s="1"/>
  <c r="CU13" i="30"/>
  <c r="CX75" i="30" l="1"/>
  <c r="CX76" i="30" s="1"/>
  <c r="CV13" i="30"/>
  <c r="CY75" i="30" l="1"/>
  <c r="CY76" i="30" s="1"/>
  <c r="CW13" i="30"/>
  <c r="CZ75" i="30" l="1"/>
  <c r="CZ76" i="30" s="1"/>
  <c r="CX13" i="30"/>
  <c r="DA75" i="30" l="1"/>
  <c r="DA76" i="30" s="1"/>
  <c r="CY13" i="30"/>
  <c r="DB75" i="30" l="1"/>
  <c r="DB76" i="30" s="1"/>
  <c r="CZ13" i="30"/>
  <c r="DC75" i="30" l="1"/>
  <c r="DC76" i="30" s="1"/>
  <c r="DA13" i="30"/>
  <c r="DD75" i="30" l="1"/>
  <c r="DD76" i="30" s="1"/>
  <c r="DB13" i="30"/>
  <c r="DE75" i="30" l="1"/>
  <c r="DE76" i="30" s="1"/>
  <c r="DC13" i="30"/>
  <c r="DF75" i="30" l="1"/>
  <c r="DF76" i="30" s="1"/>
  <c r="DD13" i="30"/>
  <c r="DG75" i="30" l="1"/>
  <c r="DG76" i="30" s="1"/>
  <c r="DE13" i="30"/>
  <c r="DH75" i="30" l="1"/>
  <c r="DH76" i="30" s="1"/>
  <c r="DF13" i="30"/>
  <c r="DI75" i="30" l="1"/>
  <c r="DI76" i="30" s="1"/>
  <c r="DG13" i="30"/>
  <c r="DJ75" i="30" l="1"/>
  <c r="DJ76" i="30" s="1"/>
  <c r="DH13" i="30"/>
  <c r="DK75" i="30" l="1"/>
  <c r="DK76" i="30" s="1"/>
  <c r="DI13" i="30"/>
  <c r="DL75" i="30" l="1"/>
  <c r="DL76" i="30" s="1"/>
  <c r="DJ13" i="30"/>
  <c r="DM75" i="30" l="1"/>
  <c r="DM76" i="30" s="1"/>
  <c r="DK13" i="30"/>
  <c r="DN75" i="30" l="1"/>
  <c r="DN76" i="30" s="1"/>
  <c r="DL13" i="30"/>
  <c r="DO75" i="30" l="1"/>
  <c r="DO76" i="30" s="1"/>
  <c r="DM13" i="30"/>
  <c r="DP75" i="30" l="1"/>
  <c r="DP76" i="30" s="1"/>
  <c r="DN13" i="30"/>
  <c r="DQ75" i="30" l="1"/>
  <c r="DQ76" i="30" s="1"/>
  <c r="DO13" i="30"/>
  <c r="DR75" i="30" l="1"/>
  <c r="DR76" i="30" s="1"/>
  <c r="DP13" i="30"/>
  <c r="DS75" i="30" l="1"/>
  <c r="DS76" i="30" s="1"/>
  <c r="DQ13" i="30"/>
  <c r="DT75" i="30" l="1"/>
  <c r="DT76" i="30" s="1"/>
  <c r="DR13" i="30"/>
  <c r="DU75" i="30" l="1"/>
  <c r="DU76" i="30" s="1"/>
  <c r="DS13" i="30"/>
  <c r="DV75" i="30" l="1"/>
  <c r="DV76" i="30" s="1"/>
  <c r="DT13" i="30"/>
  <c r="DW75" i="30" l="1"/>
  <c r="DW76" i="30" s="1"/>
  <c r="DU13" i="30"/>
  <c r="DX75" i="30" l="1"/>
  <c r="DX76" i="30" s="1"/>
  <c r="DV13" i="30"/>
  <c r="DY75" i="30" l="1"/>
  <c r="DY76" i="30" s="1"/>
  <c r="DW13" i="30"/>
  <c r="DZ75" i="30" l="1"/>
  <c r="DZ76" i="30" s="1"/>
  <c r="DX13" i="30"/>
  <c r="EA75" i="30" l="1"/>
  <c r="EA76" i="30" s="1"/>
  <c r="DY13" i="30"/>
  <c r="EB75" i="30" l="1"/>
  <c r="EB76" i="30" s="1"/>
  <c r="DZ13" i="30"/>
  <c r="EC75" i="30" l="1"/>
  <c r="EC76" i="30" s="1"/>
  <c r="EA13" i="30"/>
  <c r="ED75" i="30" l="1"/>
  <c r="ED76" i="30" s="1"/>
  <c r="EB13" i="30"/>
  <c r="EE75" i="30" l="1"/>
  <c r="EE76" i="30" s="1"/>
  <c r="EC13" i="30"/>
  <c r="EF75" i="30" l="1"/>
  <c r="EF76" i="30" s="1"/>
  <c r="ED13" i="30"/>
  <c r="EG75" i="30" l="1"/>
  <c r="EG76" i="30" s="1"/>
  <c r="EE13" i="30"/>
  <c r="EH75" i="30" l="1"/>
  <c r="EH76" i="30" s="1"/>
  <c r="EF13" i="30"/>
  <c r="EI75" i="30" l="1"/>
  <c r="EI76" i="30" s="1"/>
  <c r="EG13" i="30"/>
  <c r="EJ75" i="30" l="1"/>
  <c r="EJ76" i="30" s="1"/>
  <c r="EH13" i="30"/>
  <c r="EK75" i="30" l="1"/>
  <c r="EK76" i="30" s="1"/>
  <c r="EI13" i="30"/>
  <c r="EL75" i="30" l="1"/>
  <c r="EL76" i="30" s="1"/>
  <c r="EJ13" i="30"/>
  <c r="EM75" i="30" l="1"/>
  <c r="EM76" i="30" s="1"/>
  <c r="EK13" i="30"/>
  <c r="EN75" i="30" l="1"/>
  <c r="EN76" i="30" s="1"/>
  <c r="EL13" i="30"/>
  <c r="EO75" i="30" l="1"/>
  <c r="EO76" i="30" s="1"/>
  <c r="EM13" i="30"/>
  <c r="EP75" i="30" l="1"/>
  <c r="EP76" i="30" s="1"/>
  <c r="EN13" i="30"/>
  <c r="EQ75" i="30" l="1"/>
  <c r="EQ76" i="30" s="1"/>
  <c r="EO13" i="30"/>
  <c r="ER75" i="30" l="1"/>
  <c r="ER76" i="30" s="1"/>
  <c r="EP13" i="30"/>
  <c r="ES75" i="30" l="1"/>
  <c r="ES76" i="30" s="1"/>
  <c r="EQ13" i="30"/>
  <c r="ET75" i="30" l="1"/>
  <c r="ET76" i="30" s="1"/>
  <c r="EU75" i="30" l="1"/>
  <c r="EU76" i="30" s="1"/>
  <c r="EV75" i="30" l="1"/>
  <c r="EV76" i="30" s="1"/>
  <c r="EW75" i="30" l="1"/>
  <c r="EW76" i="30" s="1"/>
  <c r="EX75" i="30" l="1"/>
  <c r="EX76" i="30" s="1"/>
  <c r="EY75" i="30" l="1"/>
  <c r="EY76" i="30" s="1"/>
  <c r="EZ75" i="30" l="1"/>
  <c r="EZ76" i="30" s="1"/>
  <c r="FA75" i="30" l="1"/>
  <c r="FA76" i="30" s="1"/>
  <c r="FB75" i="30" l="1"/>
  <c r="FB76" i="30" s="1"/>
  <c r="FC75" i="30" l="1"/>
  <c r="FC76" i="30" s="1"/>
  <c r="FD75" i="30" l="1"/>
  <c r="FD76" i="30" s="1"/>
  <c r="FE75" i="30" l="1"/>
  <c r="FE76" i="30" s="1"/>
  <c r="FF75" i="30" l="1"/>
  <c r="FF76" i="30" s="1"/>
  <c r="FG75" i="30" l="1"/>
  <c r="FG76" i="30" s="1"/>
  <c r="FH75" i="30" l="1"/>
  <c r="FH76" i="30" s="1"/>
  <c r="FI75" i="30" l="1"/>
  <c r="FI76" i="30" s="1"/>
  <c r="FJ75" i="30" l="1"/>
  <c r="FJ76" i="30" s="1"/>
  <c r="FK75" i="30" l="1"/>
  <c r="FK76" i="30" s="1"/>
  <c r="FL75" i="30" l="1"/>
  <c r="FL76" i="30" s="1"/>
  <c r="FM75" i="30" l="1"/>
  <c r="FM76" i="30" s="1"/>
  <c r="FN75" i="30" l="1"/>
  <c r="FN76" i="30" s="1"/>
  <c r="FO75" i="30" l="1"/>
  <c r="FO76" i="30" s="1"/>
  <c r="FP75" i="30" l="1"/>
  <c r="FP76" i="30" s="1"/>
  <c r="FQ75" i="30" l="1"/>
  <c r="FQ76" i="30" s="1"/>
  <c r="FR75" i="30" l="1"/>
  <c r="FR76" i="30" s="1"/>
  <c r="FS75" i="30" l="1"/>
  <c r="FS76" i="30" s="1"/>
  <c r="FT75" i="30" l="1"/>
  <c r="FT76" i="30" s="1"/>
  <c r="FU75" i="30" l="1"/>
  <c r="FU76" i="30" s="1"/>
  <c r="FV75" i="30" l="1"/>
  <c r="FV76" i="30" s="1"/>
  <c r="FW75" i="30" l="1"/>
  <c r="FW76" i="30" s="1"/>
  <c r="FX75" i="30" l="1"/>
  <c r="FX76" i="30" s="1"/>
  <c r="FY75" i="30" l="1"/>
  <c r="FY76" i="30" s="1"/>
  <c r="FZ75" i="30" l="1"/>
  <c r="FZ76" i="30" s="1"/>
  <c r="GA75" i="30" l="1"/>
  <c r="GA76" i="30" s="1"/>
  <c r="GB75" i="30" l="1"/>
  <c r="GB76" i="30" s="1"/>
  <c r="GC75" i="30" l="1"/>
  <c r="GC76" i="30" s="1"/>
  <c r="GD75" i="30" l="1"/>
  <c r="GD76" i="30" s="1"/>
  <c r="GE75" i="30" l="1"/>
  <c r="GE76" i="30" s="1"/>
  <c r="GF75" i="30" l="1"/>
  <c r="GF76" i="30" s="1"/>
  <c r="GG75" i="30" l="1"/>
  <c r="GG76" i="30" s="1"/>
  <c r="GH75" i="30" l="1"/>
  <c r="GH76" i="30" s="1"/>
  <c r="GI75" i="30" l="1"/>
  <c r="GI76" i="30" s="1"/>
  <c r="GJ75" i="30" l="1"/>
  <c r="GJ76" i="30" s="1"/>
  <c r="GK75" i="30" l="1"/>
  <c r="GK76" i="30" s="1"/>
  <c r="GL75" i="30" l="1"/>
  <c r="GL76" i="30" s="1"/>
  <c r="GM75" i="30" l="1"/>
  <c r="GM76" i="30" s="1"/>
  <c r="GN75" i="30" l="1"/>
  <c r="GN76" i="30" s="1"/>
  <c r="GO75" i="30" l="1"/>
  <c r="GO76" i="30" s="1"/>
  <c r="GP75" i="30" l="1"/>
  <c r="GP76" i="30" s="1"/>
  <c r="GQ75" i="30" l="1"/>
  <c r="GQ76" i="30" s="1"/>
  <c r="GR75" i="30" l="1"/>
  <c r="GR76" i="30" s="1"/>
  <c r="GS75" i="30" l="1"/>
  <c r="GS76" i="30" s="1"/>
  <c r="GT75" i="30" l="1"/>
  <c r="GT76" i="30" s="1"/>
  <c r="GU75" i="30" l="1"/>
  <c r="GU76" i="30" s="1"/>
  <c r="GV75" i="30" l="1"/>
  <c r="GV76" i="30" s="1"/>
  <c r="GW75" i="30" l="1"/>
  <c r="GW76" i="30" s="1"/>
  <c r="GX75" i="30" l="1"/>
  <c r="GX76" i="30" s="1"/>
  <c r="GY75" i="30" l="1"/>
  <c r="GY76" i="30" s="1"/>
  <c r="GZ75" i="30" l="1"/>
  <c r="GZ76" i="30" s="1"/>
  <c r="HA75" i="30" l="1"/>
  <c r="HA76" i="30" s="1"/>
  <c r="HB75" i="30" l="1"/>
  <c r="HB76" i="30" s="1"/>
  <c r="HC75" i="30" l="1"/>
  <c r="HC76" i="30" s="1"/>
  <c r="HD75" i="30" l="1"/>
  <c r="HD76" i="30" s="1"/>
  <c r="HE75" i="30" l="1"/>
  <c r="HE76" i="30" s="1"/>
  <c r="HF75" i="30" l="1"/>
  <c r="HF76" i="30" s="1"/>
  <c r="HG75" i="30" l="1"/>
  <c r="HG76" i="30" s="1"/>
  <c r="HH75" i="30" l="1"/>
  <c r="HH76" i="30" s="1"/>
  <c r="HI75" i="30" l="1"/>
  <c r="HI76" i="30" s="1"/>
  <c r="HJ75" i="30" l="1"/>
  <c r="HJ76" i="30" s="1"/>
  <c r="HK75" i="30" l="1"/>
  <c r="HK76" i="30" s="1"/>
  <c r="HL75" i="30" l="1"/>
  <c r="HL76" i="30" s="1"/>
  <c r="HM75" i="30" l="1"/>
  <c r="HM76" i="30" s="1"/>
  <c r="HN75" i="30" l="1"/>
  <c r="HN76" i="30" s="1"/>
  <c r="HO75" i="30" l="1"/>
  <c r="HO76" i="30" s="1"/>
  <c r="HP75" i="30" l="1"/>
  <c r="HP76" i="30" s="1"/>
  <c r="HQ75" i="30" l="1"/>
  <c r="HQ76" i="30" s="1"/>
  <c r="HR75" i="30" l="1"/>
  <c r="HR76" i="30" s="1"/>
  <c r="HS75" i="30" l="1"/>
  <c r="HS76" i="30" s="1"/>
  <c r="HT75" i="30" l="1"/>
  <c r="HT76" i="30" s="1"/>
  <c r="HU75" i="30" l="1"/>
  <c r="HU76" i="30" s="1"/>
  <c r="HV75" i="30" l="1"/>
  <c r="HV76" i="30" s="1"/>
  <c r="HW75" i="30" l="1"/>
  <c r="HW76" i="30" s="1"/>
  <c r="HX75" i="30" l="1"/>
  <c r="HX76" i="30" s="1"/>
  <c r="HY75" i="30" l="1"/>
  <c r="HY76" i="30" s="1"/>
  <c r="HZ75" i="30" l="1"/>
  <c r="HZ76" i="30" s="1"/>
  <c r="IA75" i="30" l="1"/>
  <c r="IA76" i="30" s="1"/>
  <c r="IB75" i="30" l="1"/>
  <c r="IB76" i="30" s="1"/>
  <c r="IC75" i="30" l="1"/>
  <c r="IC76" i="30" s="1"/>
  <c r="ID75" i="30" l="1"/>
  <c r="ID76" i="30" s="1"/>
  <c r="IE75" i="30" l="1"/>
  <c r="IE76" i="30" s="1"/>
  <c r="IF75" i="30" l="1"/>
  <c r="IF76" i="30" s="1"/>
  <c r="IG75" i="30" l="1"/>
  <c r="IG76" i="30" s="1"/>
  <c r="IH75" i="30" l="1"/>
  <c r="IH76" i="30" s="1"/>
  <c r="II75" i="30" l="1"/>
  <c r="II76" i="30" s="1"/>
  <c r="IJ75" i="30" l="1"/>
  <c r="IJ76" i="30" s="1"/>
  <c r="IK75" i="30" l="1"/>
  <c r="IK76" i="30" s="1"/>
  <c r="IL75" i="30" l="1"/>
  <c r="IL76" i="30" s="1"/>
  <c r="IM75" i="30" l="1"/>
  <c r="IM76" i="30" s="1"/>
  <c r="IN75" i="30" l="1"/>
  <c r="IN76" i="30" s="1"/>
  <c r="IO75" i="30" l="1"/>
  <c r="IO76" i="30" s="1"/>
  <c r="IP75" i="30" l="1"/>
  <c r="IP76" i="30" s="1"/>
  <c r="IQ75" i="30" l="1"/>
  <c r="IQ76" i="30" s="1"/>
  <c r="IR75" i="30" l="1"/>
  <c r="IR76" i="30" s="1"/>
  <c r="IS75" i="30" l="1"/>
  <c r="IS76" i="30" s="1"/>
  <c r="IT75" i="30" l="1"/>
  <c r="IT76" i="30" s="1"/>
  <c r="IU75" i="30" l="1"/>
  <c r="IU76" i="30" s="1"/>
  <c r="IV75" i="30" l="1"/>
  <c r="IV76" i="30" s="1"/>
  <c r="IW75" i="30" l="1"/>
  <c r="IW76" i="30" s="1"/>
  <c r="IX75" i="30" l="1"/>
  <c r="IX76" i="30" s="1"/>
  <c r="IY75" i="30" l="1"/>
  <c r="IY76" i="30" s="1"/>
  <c r="IZ75" i="30" l="1"/>
  <c r="IZ76" i="30" s="1"/>
  <c r="JA75" i="30" l="1"/>
  <c r="JA76" i="30" s="1"/>
  <c r="JB75" i="30" l="1"/>
  <c r="JB76" i="30" s="1"/>
  <c r="JC75" i="30" l="1"/>
  <c r="JC76" i="30" s="1"/>
  <c r="JD75" i="30" l="1"/>
  <c r="JD76" i="30" s="1"/>
  <c r="JE75" i="30" l="1"/>
  <c r="JE76" i="30" s="1"/>
  <c r="JF75" i="30" l="1"/>
  <c r="JF76" i="30" s="1"/>
  <c r="JG75" i="30" l="1"/>
  <c r="JG76" i="30" s="1"/>
  <c r="JH75" i="30" l="1"/>
  <c r="JH76" i="30" s="1"/>
  <c r="JI75" i="30" l="1"/>
  <c r="JI76" i="30" s="1"/>
  <c r="JJ75" i="30" l="1"/>
  <c r="JJ76" i="30" s="1"/>
  <c r="JK75" i="30" l="1"/>
  <c r="JK76" i="30" s="1"/>
  <c r="JL75" i="30" l="1"/>
  <c r="JL76" i="30" s="1"/>
  <c r="JM75" i="30" l="1"/>
  <c r="JM76" i="30" s="1"/>
  <c r="JN75" i="30" l="1"/>
  <c r="JN76" i="30" s="1"/>
  <c r="JO75" i="30" l="1"/>
  <c r="JO76" i="30" s="1"/>
  <c r="JP75" i="30" l="1"/>
  <c r="JP76" i="30" s="1"/>
  <c r="JQ75" i="30" l="1"/>
  <c r="JQ76" i="30" s="1"/>
  <c r="JR75" i="30" l="1"/>
  <c r="JR76" i="30" s="1"/>
  <c r="JS75" i="30" l="1"/>
  <c r="JS76" i="30" s="1"/>
  <c r="JT75" i="30" l="1"/>
  <c r="JT76" i="30" s="1"/>
  <c r="JU75" i="30" l="1"/>
  <c r="JU76" i="30" s="1"/>
  <c r="JV75" i="30" l="1"/>
  <c r="JV76" i="30" s="1"/>
  <c r="JW75" i="30" l="1"/>
  <c r="JW76" i="30" s="1"/>
  <c r="JX75" i="30" l="1"/>
  <c r="JX76" i="30" s="1"/>
  <c r="JY75" i="30" l="1"/>
  <c r="JY76" i="30" s="1"/>
  <c r="JZ75" i="30" l="1"/>
  <c r="JZ76" i="30" s="1"/>
  <c r="KA75" i="30" l="1"/>
  <c r="KA76" i="30" s="1"/>
  <c r="KB75" i="30" l="1"/>
  <c r="KB76" i="30" s="1"/>
  <c r="KC75" i="30" l="1"/>
  <c r="KC76" i="30" s="1"/>
  <c r="KD75" i="30" l="1"/>
  <c r="KD76" i="30" s="1"/>
  <c r="KE75" i="30" l="1"/>
  <c r="KE76" i="30" l="1"/>
  <c r="KF75" i="30"/>
  <c r="KG75" i="30" l="1"/>
  <c r="KF76" i="30"/>
  <c r="KG76" i="30" l="1"/>
  <c r="KH75" i="30"/>
  <c r="KI75" i="30" l="1"/>
  <c r="KH76" i="30"/>
  <c r="KJ75" i="30" l="1"/>
  <c r="KI76" i="30"/>
  <c r="KK75" i="30" l="1"/>
  <c r="KJ76" i="30"/>
  <c r="KK76" i="30" l="1"/>
  <c r="KL75" i="30"/>
  <c r="KL76" i="30" l="1"/>
  <c r="KM75" i="30"/>
  <c r="KM76" i="30" l="1"/>
  <c r="KN75" i="30"/>
  <c r="KO75" i="30" l="1"/>
  <c r="KN76" i="30"/>
  <c r="KO76" i="30" l="1"/>
  <c r="KP75" i="30"/>
  <c r="KP76" i="30" l="1"/>
  <c r="KQ75" i="30"/>
  <c r="KR75" i="30" l="1"/>
  <c r="KQ76" i="30"/>
  <c r="KS75" i="30" l="1"/>
  <c r="KR76" i="30"/>
  <c r="KS76" i="30" l="1"/>
  <c r="KT75" i="30"/>
  <c r="KU75" i="30" l="1"/>
  <c r="KT76" i="30"/>
  <c r="KU76" i="30" l="1"/>
  <c r="KV75" i="30"/>
  <c r="KW75" i="30" l="1"/>
  <c r="KV76" i="30"/>
  <c r="KX75" i="30" l="1"/>
  <c r="KW76" i="30"/>
  <c r="KY75" i="30" l="1"/>
  <c r="KX76" i="30"/>
  <c r="KZ75" i="30" l="1"/>
  <c r="KY76" i="30"/>
  <c r="KZ76" i="30" l="1"/>
  <c r="LA75" i="30"/>
  <c r="LB75" i="30" l="1"/>
  <c r="LA76" i="30"/>
  <c r="LC75" i="30" l="1"/>
  <c r="LB76" i="30"/>
  <c r="LD75" i="30" l="1"/>
  <c r="LC76" i="30"/>
  <c r="LE75" i="30" l="1"/>
  <c r="LD76" i="30"/>
  <c r="LE76" i="30" l="1"/>
  <c r="LF75" i="30"/>
  <c r="LF76" i="30" l="1"/>
  <c r="LG75" i="30"/>
  <c r="LH75" i="30" l="1"/>
  <c r="LG76" i="30"/>
  <c r="LI75" i="30" l="1"/>
  <c r="LH76" i="30"/>
  <c r="LI76" i="30" l="1"/>
  <c r="LJ75" i="30"/>
  <c r="LJ76" i="30" l="1"/>
  <c r="LK75" i="30"/>
  <c r="LK76" i="30" l="1"/>
  <c r="LL75" i="30"/>
  <c r="LM75" i="30" l="1"/>
  <c r="LL76" i="30"/>
  <c r="LN75" i="30" l="1"/>
  <c r="LM76" i="30"/>
  <c r="LO75" i="30" l="1"/>
  <c r="LN76" i="30"/>
  <c r="LP75" i="30" l="1"/>
  <c r="LO76" i="30"/>
  <c r="LQ75" i="30" l="1"/>
  <c r="LP76" i="30"/>
  <c r="LQ76" i="30" l="1"/>
  <c r="LR75" i="30"/>
  <c r="LS75" i="30" l="1"/>
  <c r="LR76" i="30"/>
  <c r="LS76" i="30" l="1"/>
  <c r="LT75" i="30"/>
  <c r="LU75" i="30" l="1"/>
  <c r="LT76" i="30"/>
  <c r="LV75" i="30" l="1"/>
  <c r="LU76" i="30"/>
  <c r="LW75" i="30" l="1"/>
  <c r="LV76" i="30"/>
  <c r="LW76" i="30" l="1"/>
  <c r="LX75" i="30"/>
  <c r="LX76" i="30" l="1"/>
  <c r="LY75" i="30"/>
  <c r="LY76" i="30" l="1"/>
  <c r="LZ75" i="30"/>
  <c r="LZ76" i="30" l="1"/>
  <c r="MA75" i="30"/>
  <c r="MB75" i="30" l="1"/>
  <c r="MA76" i="30"/>
  <c r="MC75" i="30" l="1"/>
  <c r="MB76" i="30"/>
  <c r="MC76" i="30" l="1"/>
  <c r="MD75" i="30"/>
  <c r="ME75" i="30" l="1"/>
  <c r="MD76" i="30"/>
  <c r="MF75" i="30" l="1"/>
  <c r="ME76" i="30"/>
  <c r="MG75" i="30" l="1"/>
  <c r="MF76" i="30"/>
  <c r="MG76" i="30" l="1"/>
  <c r="MH75" i="30"/>
  <c r="MI75" i="30" l="1"/>
  <c r="MH76" i="30"/>
  <c r="MJ75" i="30" l="1"/>
  <c r="MI76" i="30"/>
  <c r="MK75" i="30" l="1"/>
  <c r="MJ76" i="30"/>
  <c r="MK76" i="30" l="1"/>
  <c r="ML75" i="30"/>
  <c r="ML76" i="30" l="1"/>
  <c r="MM75" i="30"/>
  <c r="MN75" i="30" l="1"/>
  <c r="MM76" i="30"/>
  <c r="MO75" i="30" l="1"/>
  <c r="MN76" i="30"/>
  <c r="MO76" i="30" l="1"/>
  <c r="MP75" i="30"/>
  <c r="MP76" i="30" l="1"/>
  <c r="MQ75" i="30"/>
  <c r="MQ76" i="30" l="1"/>
  <c r="MR75" i="30"/>
  <c r="MR76" i="30" l="1"/>
  <c r="MS75" i="30"/>
  <c r="MS76" i="30" l="1"/>
  <c r="MT75" i="30"/>
  <c r="MU75" i="30" l="1"/>
  <c r="MT76" i="30"/>
  <c r="MU76" i="30" l="1"/>
  <c r="MV75" i="30"/>
  <c r="MV76" i="30" l="1"/>
  <c r="MW75" i="30"/>
  <c r="MX75" i="30" l="1"/>
  <c r="MW76" i="30"/>
  <c r="MY75" i="30" l="1"/>
  <c r="MX76" i="30"/>
  <c r="MZ75" i="30" l="1"/>
  <c r="MY76" i="30"/>
  <c r="NA75" i="30" l="1"/>
  <c r="MZ76" i="30"/>
  <c r="NA76" i="30" l="1"/>
  <c r="NB75" i="30"/>
  <c r="NB76" i="30" l="1"/>
  <c r="NC75" i="30"/>
  <c r="ND75" i="30" l="1"/>
  <c r="NC76" i="30"/>
  <c r="NE75" i="30" l="1"/>
  <c r="ND76" i="30"/>
  <c r="NF75" i="30" l="1"/>
  <c r="NE76" i="30"/>
  <c r="NG75" i="30" l="1"/>
  <c r="NF76" i="30"/>
  <c r="NH75" i="30" l="1"/>
  <c r="NG76" i="30"/>
  <c r="NI75" i="30" l="1"/>
  <c r="NH76" i="30"/>
  <c r="NI76" i="30" l="1"/>
  <c r="NJ75" i="30"/>
  <c r="NJ76" i="30" l="1"/>
  <c r="NK75" i="30"/>
  <c r="NL75" i="30" l="1"/>
  <c r="NK76" i="30"/>
  <c r="NM75" i="30" l="1"/>
  <c r="NL76" i="30"/>
  <c r="NM76" i="30" l="1"/>
  <c r="NN75" i="30"/>
  <c r="NO75" i="30" l="1"/>
  <c r="NN76" i="30"/>
  <c r="NO76" i="30" l="1"/>
  <c r="NP75" i="30"/>
  <c r="NQ75" i="30" l="1"/>
  <c r="NP76" i="30"/>
  <c r="NQ76" i="30" l="1"/>
  <c r="NR75" i="30"/>
  <c r="NS75" i="30" l="1"/>
  <c r="NR76" i="30"/>
  <c r="NT75" i="30" l="1"/>
  <c r="NS76" i="30"/>
  <c r="NU75" i="30" l="1"/>
  <c r="NT76" i="30"/>
  <c r="NV75" i="30" l="1"/>
  <c r="NU76" i="30"/>
  <c r="NW75" i="30" l="1"/>
  <c r="NV76" i="30"/>
  <c r="NX75" i="30" l="1"/>
  <c r="NW76" i="30"/>
  <c r="NY75" i="30" l="1"/>
  <c r="NX76" i="30"/>
  <c r="NY76" i="30" l="1"/>
  <c r="NZ75" i="30"/>
  <c r="NZ76" i="30" l="1"/>
  <c r="OA75" i="30"/>
  <c r="OB75" i="30" l="1"/>
  <c r="OA76" i="30"/>
  <c r="OC75" i="30" l="1"/>
  <c r="OB76" i="30"/>
  <c r="OC76" i="30" l="1"/>
  <c r="OD75" i="30"/>
  <c r="OD76" i="30" l="1"/>
  <c r="OE75" i="30"/>
  <c r="OE76" i="30" l="1"/>
  <c r="OF75" i="30"/>
  <c r="OF76" i="30" l="1"/>
  <c r="OG75" i="30"/>
  <c r="OH75" i="30" l="1"/>
  <c r="OG76" i="30"/>
  <c r="OH76" i="30" l="1"/>
  <c r="OI75" i="30"/>
  <c r="OJ75" i="30" l="1"/>
  <c r="OI76" i="30"/>
  <c r="OK75" i="30" l="1"/>
  <c r="OJ76" i="30"/>
  <c r="OK76" i="30" l="1"/>
  <c r="OL75" i="30"/>
  <c r="OM75" i="30" l="1"/>
  <c r="OL76" i="30"/>
  <c r="OM76" i="30" l="1"/>
  <c r="ON75" i="30"/>
  <c r="OO75" i="30" l="1"/>
  <c r="ON76" i="30"/>
  <c r="OP75" i="30" l="1"/>
  <c r="OO76" i="30"/>
  <c r="OQ75" i="30" l="1"/>
  <c r="OP76" i="30"/>
  <c r="OQ76" i="30" l="1"/>
  <c r="OR75" i="30"/>
  <c r="OR76" i="30" l="1"/>
  <c r="OS75" i="30"/>
  <c r="OS76" i="30" l="1"/>
  <c r="OT75" i="30"/>
  <c r="OT76" i="30" l="1"/>
  <c r="OU75" i="30"/>
  <c r="OV75" i="30" l="1"/>
  <c r="OU76" i="30"/>
  <c r="OW75" i="30" l="1"/>
  <c r="OV76" i="30"/>
  <c r="OW76" i="30" l="1"/>
  <c r="OX75" i="30"/>
  <c r="OX76" i="30" l="1"/>
  <c r="OY75" i="30"/>
  <c r="OY76" i="30" l="1"/>
  <c r="OZ75" i="30"/>
  <c r="PA75" i="30" l="1"/>
  <c r="OZ76" i="30"/>
  <c r="PA76" i="30" l="1"/>
  <c r="PB75" i="30"/>
  <c r="PB76" i="30" l="1"/>
  <c r="PC75" i="30"/>
  <c r="PD75" i="30" l="1"/>
  <c r="PC76" i="30"/>
  <c r="PD76" i="30" l="1"/>
  <c r="PE75" i="30"/>
  <c r="PE76" i="30" l="1"/>
  <c r="PF75" i="30"/>
  <c r="PG75" i="30" l="1"/>
  <c r="PF76" i="30"/>
  <c r="PH75" i="30" l="1"/>
  <c r="PG76" i="30"/>
  <c r="PI75" i="30" l="1"/>
  <c r="PH76" i="30"/>
  <c r="PJ75" i="30" l="1"/>
  <c r="PI76" i="30"/>
  <c r="PJ76" i="30" l="1"/>
  <c r="PK75" i="30"/>
  <c r="PL75" i="30" l="1"/>
  <c r="PK76" i="30"/>
  <c r="PL76" i="30" l="1"/>
  <c r="PM75" i="30"/>
  <c r="PN75" i="30" l="1"/>
  <c r="PM76" i="30"/>
  <c r="PO75" i="30" l="1"/>
  <c r="PN76" i="30"/>
  <c r="PO76" i="30" l="1"/>
  <c r="PP75" i="30"/>
  <c r="PP76" i="30" l="1"/>
  <c r="PQ75" i="30"/>
  <c r="PR75" i="30" l="1"/>
  <c r="PQ76" i="30"/>
  <c r="PS75" i="30" l="1"/>
  <c r="PR76" i="30"/>
  <c r="PS76" i="30" l="1"/>
  <c r="PT75" i="30"/>
  <c r="PU75" i="30" l="1"/>
  <c r="PT76" i="30"/>
  <c r="PU76" i="30" l="1"/>
  <c r="PV75" i="30"/>
  <c r="PW75" i="30" l="1"/>
  <c r="PV76" i="30"/>
  <c r="PW76" i="30" l="1"/>
  <c r="PX75" i="30"/>
  <c r="PX76" i="30" l="1"/>
  <c r="PY75" i="30"/>
  <c r="PY76" i="30" l="1"/>
  <c r="PZ75" i="30"/>
  <c r="QA75" i="30" l="1"/>
  <c r="PZ76" i="30"/>
  <c r="QA76" i="30" l="1"/>
  <c r="QB75" i="30"/>
  <c r="QB76" i="30" l="1"/>
  <c r="QC75" i="30"/>
  <c r="QD75" i="30" l="1"/>
  <c r="QC76" i="30"/>
  <c r="QD76" i="30" l="1"/>
  <c r="QE75" i="30"/>
  <c r="QF75" i="30" l="1"/>
  <c r="QE76" i="30"/>
  <c r="QF76" i="30" l="1"/>
  <c r="QG75" i="30"/>
  <c r="QH75" i="30" l="1"/>
  <c r="QG76" i="30"/>
  <c r="QH76" i="30" l="1"/>
  <c r="QI75" i="30"/>
  <c r="QI76" i="30" l="1"/>
  <c r="QJ75" i="30"/>
  <c r="QJ76" i="30" l="1"/>
  <c r="QK75" i="30"/>
  <c r="QL75" i="30" l="1"/>
  <c r="QK76" i="30"/>
  <c r="QM75" i="30" l="1"/>
  <c r="QL76" i="30"/>
  <c r="QN75" i="30" l="1"/>
  <c r="QM76" i="30"/>
  <c r="QN76" i="30" l="1"/>
  <c r="QO75" i="30"/>
  <c r="QP75" i="30" l="1"/>
  <c r="QO76" i="30"/>
  <c r="QP76" i="30" l="1"/>
  <c r="QQ75" i="30"/>
  <c r="QR75" i="30" l="1"/>
  <c r="QQ76" i="30"/>
  <c r="QS75" i="30" l="1"/>
  <c r="QR76" i="30"/>
  <c r="QS76" i="30" l="1"/>
  <c r="QT75" i="30"/>
  <c r="QT76" i="30" l="1"/>
  <c r="QU75" i="30"/>
  <c r="QU76" i="30" l="1"/>
  <c r="QV75" i="30"/>
  <c r="QW75" i="30" l="1"/>
  <c r="QV76" i="30"/>
  <c r="QX75" i="30" l="1"/>
  <c r="QW76" i="30"/>
  <c r="QX76" i="30" l="1"/>
  <c r="QY75" i="30"/>
  <c r="QY76" i="30" l="1"/>
  <c r="QZ75" i="30"/>
  <c r="RA75" i="30" l="1"/>
  <c r="QZ76" i="30"/>
  <c r="RB75" i="30" l="1"/>
  <c r="RA76" i="30"/>
  <c r="RB76" i="30" l="1"/>
  <c r="RC75" i="30"/>
  <c r="RC76" i="30" l="1"/>
  <c r="RD75" i="30"/>
  <c r="RE75" i="30" l="1"/>
  <c r="RD76" i="30"/>
  <c r="RF75" i="30" l="1"/>
  <c r="RE76" i="30"/>
  <c r="RF76" i="30" l="1"/>
  <c r="RG75" i="30"/>
  <c r="RH75" i="30" l="1"/>
  <c r="RG76" i="30"/>
  <c r="RI75" i="30" l="1"/>
  <c r="RH76" i="30"/>
  <c r="RJ75" i="30" l="1"/>
  <c r="RI76" i="30"/>
  <c r="RJ76" i="30" l="1"/>
  <c r="RK75" i="30"/>
  <c r="RL75" i="30" l="1"/>
  <c r="RK76" i="30"/>
  <c r="RL76" i="30" l="1"/>
  <c r="RM75" i="30"/>
  <c r="RN75" i="30" l="1"/>
  <c r="RM76" i="30"/>
  <c r="RN76" i="30" l="1"/>
  <c r="RO75" i="30"/>
  <c r="RO76" i="30" l="1"/>
  <c r="RP75" i="30"/>
  <c r="RP76" i="30" l="1"/>
  <c r="RQ75" i="30"/>
  <c r="RR75" i="30" l="1"/>
  <c r="RQ76" i="30"/>
  <c r="RS75" i="30" l="1"/>
  <c r="RR76" i="30"/>
  <c r="RS76" i="30" l="1"/>
  <c r="RT75" i="30"/>
  <c r="RU75" i="30" l="1"/>
  <c r="RT76" i="30"/>
  <c r="RV75" i="30" l="1"/>
  <c r="RU76" i="30"/>
  <c r="RW75" i="30" l="1"/>
  <c r="RV76" i="30"/>
  <c r="RX75" i="30" l="1"/>
  <c r="RW76" i="30"/>
  <c r="RY75" i="30" l="1"/>
  <c r="RX76" i="30"/>
  <c r="RZ75" i="30" l="1"/>
  <c r="RY76" i="30"/>
  <c r="RZ76" i="30" l="1"/>
  <c r="SA75" i="30"/>
  <c r="SB75" i="30" l="1"/>
  <c r="SA76" i="30"/>
  <c r="SB76" i="30" l="1"/>
  <c r="SC75" i="30"/>
  <c r="SC76" i="30" l="1"/>
  <c r="SD75" i="30"/>
  <c r="SD76" i="30" l="1"/>
  <c r="SE75" i="30"/>
  <c r="SF75" i="30" l="1"/>
  <c r="SE76" i="30"/>
  <c r="SF76" i="30" l="1"/>
  <c r="SG75" i="30"/>
  <c r="SH75" i="30" l="1"/>
  <c r="SG76" i="30"/>
  <c r="SH76" i="30" l="1"/>
  <c r="SI75" i="30"/>
  <c r="SJ75" i="30" l="1"/>
  <c r="SI76" i="30"/>
  <c r="SJ76" i="30" l="1"/>
  <c r="SK75" i="30"/>
  <c r="SL75" i="30" l="1"/>
  <c r="SK76" i="30"/>
  <c r="SL76" i="30" l="1"/>
  <c r="SM75" i="30"/>
  <c r="SN75" i="30" l="1"/>
  <c r="SM76" i="30"/>
  <c r="SO75" i="30" l="1"/>
  <c r="SN76" i="30"/>
  <c r="SO76" i="30" l="1"/>
  <c r="SP75" i="30"/>
  <c r="SP76" i="30" l="1"/>
  <c r="SQ75" i="30"/>
  <c r="SR75" i="30" l="1"/>
  <c r="SQ76" i="30"/>
  <c r="SS75" i="30" l="1"/>
  <c r="SR76" i="30"/>
  <c r="SS76" i="30" l="1"/>
  <c r="ST75" i="30"/>
  <c r="ST76" i="30" l="1"/>
  <c r="SU75" i="30"/>
  <c r="SU76" i="30" l="1"/>
  <c r="SV75" i="30"/>
  <c r="SW75" i="30" l="1"/>
  <c r="SV76" i="30"/>
  <c r="SX75" i="30" l="1"/>
  <c r="SW76" i="30"/>
  <c r="SX76" i="30" l="1"/>
  <c r="SY75" i="30"/>
  <c r="SY76" i="30" l="1"/>
  <c r="SZ75" i="30"/>
  <c r="SZ76" i="30" l="1"/>
  <c r="TA75" i="30"/>
  <c r="TB75" i="30" l="1"/>
  <c r="TA76" i="30"/>
  <c r="TB76" i="30" l="1"/>
  <c r="TC75" i="30"/>
  <c r="TC76" i="30" l="1"/>
  <c r="TD75" i="30"/>
  <c r="TD76" i="30" l="1"/>
  <c r="TE75" i="30"/>
  <c r="TF75" i="30" l="1"/>
  <c r="TE76" i="30"/>
  <c r="TF76" i="30" l="1"/>
  <c r="TG75" i="30"/>
  <c r="TH75" i="30" l="1"/>
  <c r="TG76" i="30"/>
  <c r="TI75" i="30" l="1"/>
  <c r="TH76" i="30"/>
  <c r="TJ75" i="30" l="1"/>
  <c r="TI76" i="30"/>
  <c r="TJ76" i="30" l="1"/>
  <c r="TK75" i="30"/>
  <c r="TK76" i="30" l="1"/>
  <c r="TL75" i="30"/>
  <c r="TM75" i="30" l="1"/>
  <c r="TL76" i="30"/>
  <c r="TM76" i="30" l="1"/>
  <c r="TN75" i="30"/>
  <c r="TO75" i="30" l="1"/>
  <c r="TN76" i="30"/>
  <c r="TO76" i="30" l="1"/>
  <c r="TP75" i="30"/>
  <c r="TP76" i="30" l="1"/>
  <c r="TQ75" i="30"/>
  <c r="TQ76" i="30" l="1"/>
  <c r="TR75" i="30"/>
  <c r="TS75" i="30" l="1"/>
  <c r="TR76" i="30"/>
  <c r="TS76" i="30" l="1"/>
  <c r="TT75" i="30"/>
  <c r="TU75" i="30" l="1"/>
  <c r="TT76" i="30"/>
  <c r="TV75" i="30" l="1"/>
  <c r="TU76" i="30"/>
  <c r="TV76" i="30" l="1"/>
  <c r="TW75" i="30"/>
  <c r="TX75" i="30" l="1"/>
  <c r="TW76" i="30"/>
  <c r="TY75" i="30" l="1"/>
  <c r="TX76" i="30"/>
  <c r="TZ75" i="30" l="1"/>
  <c r="TY76" i="30"/>
  <c r="TZ76" i="30" l="1"/>
  <c r="UA75" i="30"/>
  <c r="UB75" i="30" l="1"/>
  <c r="UA76" i="30"/>
  <c r="UB76" i="30" l="1"/>
  <c r="UC75" i="30"/>
  <c r="UD75" i="30" l="1"/>
  <c r="UC76" i="30"/>
  <c r="UE75" i="30" l="1"/>
  <c r="UD76" i="30"/>
  <c r="UF75" i="30" l="1"/>
  <c r="UE76" i="30"/>
  <c r="UF76" i="30" l="1"/>
  <c r="UG75" i="30"/>
  <c r="UH75" i="30" l="1"/>
  <c r="UG76" i="30"/>
  <c r="UH76" i="30" l="1"/>
  <c r="UI75" i="30"/>
  <c r="UI76" i="30" l="1"/>
  <c r="UJ75" i="30"/>
  <c r="UJ76" i="30" l="1"/>
  <c r="UK75" i="30"/>
  <c r="UK76" i="30" l="1"/>
  <c r="UL75" i="30"/>
  <c r="UM75" i="30" l="1"/>
  <c r="UL76" i="30"/>
  <c r="UM76" i="30" l="1"/>
  <c r="UN75" i="30"/>
  <c r="UO75" i="30" l="1"/>
  <c r="UN76" i="30"/>
  <c r="UO76" i="30" l="1"/>
  <c r="UP75" i="30"/>
  <c r="UP76" i="30" l="1"/>
  <c r="UQ75" i="30"/>
  <c r="UR75" i="30" l="1"/>
  <c r="UQ76" i="30"/>
  <c r="US75" i="30" l="1"/>
  <c r="UR76" i="30"/>
  <c r="UT75" i="30" l="1"/>
  <c r="US76" i="30"/>
  <c r="UT76" i="30" l="1"/>
  <c r="UU75" i="30"/>
  <c r="UV75" i="30" l="1"/>
  <c r="UU76" i="30"/>
  <c r="UW75" i="30" l="1"/>
  <c r="UV76" i="30"/>
  <c r="UX75" i="30" l="1"/>
  <c r="UW76" i="30"/>
  <c r="UX76" i="30" l="1"/>
  <c r="UY75" i="30"/>
  <c r="UY76" i="30" l="1"/>
  <c r="UZ75" i="30"/>
  <c r="VA75" i="30" l="1"/>
  <c r="UZ76" i="30"/>
  <c r="VB75" i="30" l="1"/>
  <c r="VA76" i="30"/>
  <c r="VB76" i="30" l="1"/>
  <c r="VC75" i="30"/>
  <c r="VC76" i="30" l="1"/>
  <c r="VD75" i="30"/>
  <c r="VD76" i="30" l="1"/>
  <c r="VE75" i="30"/>
  <c r="VF75" i="30" l="1"/>
  <c r="VE76" i="30"/>
  <c r="VF76" i="30" l="1"/>
  <c r="VG75" i="30"/>
  <c r="VG76" i="30" l="1"/>
  <c r="VH75" i="30"/>
  <c r="VI75" i="30" l="1"/>
  <c r="VH76" i="30"/>
  <c r="VJ75" i="30" l="1"/>
  <c r="VI76" i="30"/>
  <c r="VK75" i="30" l="1"/>
  <c r="VJ76" i="30"/>
  <c r="VL75" i="30" l="1"/>
  <c r="VK76" i="30"/>
  <c r="VM75" i="30" l="1"/>
  <c r="VL76" i="30"/>
  <c r="VN75" i="30" l="1"/>
  <c r="VM76" i="30"/>
  <c r="VN76" i="30" l="1"/>
  <c r="VO75" i="30"/>
  <c r="VP75" i="30" l="1"/>
  <c r="VO76" i="30"/>
  <c r="VP76" i="30" l="1"/>
  <c r="VQ75" i="30"/>
  <c r="VR75" i="30" l="1"/>
  <c r="VQ76" i="30"/>
  <c r="VS75" i="30" l="1"/>
  <c r="VR76" i="30"/>
  <c r="VS76" i="30" l="1"/>
  <c r="VT75" i="30"/>
  <c r="VU75" i="30" l="1"/>
  <c r="VT76" i="30"/>
  <c r="VV75" i="30" l="1"/>
  <c r="VU76" i="30"/>
  <c r="VV76" i="30" l="1"/>
  <c r="VW75" i="30"/>
  <c r="VX75" i="30" l="1"/>
  <c r="VW76" i="30"/>
  <c r="VY75" i="30" l="1"/>
  <c r="VX76" i="30"/>
  <c r="VZ75" i="30" l="1"/>
  <c r="VY76" i="30"/>
  <c r="VZ76" i="30" l="1"/>
  <c r="WA75" i="30"/>
  <c r="WB75" i="30" l="1"/>
  <c r="WA76" i="30"/>
  <c r="WC75" i="30" l="1"/>
  <c r="WB76" i="30"/>
  <c r="WD75" i="30" l="1"/>
  <c r="WC76" i="30"/>
  <c r="WE75" i="30" l="1"/>
  <c r="WD76" i="30"/>
  <c r="WE76" i="30" l="1"/>
  <c r="WF75" i="30"/>
  <c r="WG75" i="30" l="1"/>
  <c r="WF76" i="30"/>
  <c r="WH75" i="30" l="1"/>
  <c r="WG76" i="30"/>
  <c r="WI75" i="30" l="1"/>
  <c r="WH76" i="30"/>
  <c r="WJ75" i="30" l="1"/>
  <c r="WI76" i="30"/>
  <c r="WK75" i="30" l="1"/>
  <c r="WJ76" i="30"/>
  <c r="WK76" i="30" l="1"/>
  <c r="WL75" i="30"/>
  <c r="WM75" i="30" l="1"/>
  <c r="WL76" i="30"/>
  <c r="WM76" i="30" l="1"/>
  <c r="WN75" i="30"/>
  <c r="WO75" i="30" l="1"/>
  <c r="WN76" i="30"/>
  <c r="WP75" i="30" l="1"/>
  <c r="WO76" i="30"/>
  <c r="WQ75" i="30" l="1"/>
  <c r="WP76" i="30"/>
  <c r="WQ76" i="30" l="1"/>
  <c r="WR75" i="30"/>
  <c r="WS75" i="30" l="1"/>
  <c r="WR76" i="30"/>
  <c r="WT75" i="30" l="1"/>
  <c r="WS76" i="30"/>
  <c r="WU75" i="30" l="1"/>
  <c r="WT76" i="30"/>
  <c r="WV75" i="30" l="1"/>
  <c r="WU76" i="30"/>
  <c r="WW75" i="30" l="1"/>
  <c r="WV76" i="30"/>
  <c r="WX75" i="30" l="1"/>
  <c r="WW76" i="30"/>
  <c r="WY75" i="30" l="1"/>
  <c r="WX76" i="30"/>
  <c r="WZ75" i="30" l="1"/>
  <c r="WY76" i="30"/>
  <c r="XA75" i="30" l="1"/>
  <c r="WZ76" i="30"/>
  <c r="XB75" i="30" l="1"/>
  <c r="XA76" i="30"/>
  <c r="XC75" i="30" l="1"/>
  <c r="XB76" i="30"/>
  <c r="XC76" i="30" l="1"/>
  <c r="XD75" i="30"/>
  <c r="XE75" i="30" l="1"/>
  <c r="XD76" i="30"/>
  <c r="XF75" i="30" l="1"/>
  <c r="XE76" i="30"/>
  <c r="XG75" i="30" l="1"/>
  <c r="XF76" i="30"/>
  <c r="XG76" i="30" l="1"/>
  <c r="XH75" i="30"/>
  <c r="XI75" i="30" l="1"/>
  <c r="XH76" i="30"/>
  <c r="XJ75" i="30" l="1"/>
  <c r="XI76" i="30"/>
  <c r="XK75" i="30" l="1"/>
  <c r="XJ76" i="30"/>
  <c r="XL75" i="30" l="1"/>
  <c r="XK76" i="30"/>
  <c r="XM75" i="30" l="1"/>
  <c r="XL76" i="30"/>
  <c r="XN75" i="30" l="1"/>
  <c r="XM76" i="30"/>
  <c r="XO75" i="30" l="1"/>
  <c r="XN76" i="30"/>
  <c r="XO76" i="30" l="1"/>
  <c r="XP75" i="30"/>
  <c r="XQ75" i="30" l="1"/>
  <c r="XP76" i="30"/>
  <c r="XR75" i="30" l="1"/>
  <c r="XQ76" i="30"/>
  <c r="XR76" i="30" l="1"/>
  <c r="XS75" i="30"/>
  <c r="XT75" i="30" l="1"/>
  <c r="XS76" i="30"/>
  <c r="XU75" i="30" l="1"/>
  <c r="XT76" i="30"/>
  <c r="XV75" i="30" l="1"/>
  <c r="XU76" i="30"/>
  <c r="XV76" i="30" l="1"/>
  <c r="XW75" i="30"/>
  <c r="XX75" i="30" l="1"/>
  <c r="XW76" i="30"/>
  <c r="XY75" i="30" l="1"/>
  <c r="XX76" i="30"/>
  <c r="XZ75" i="30" l="1"/>
  <c r="XY76" i="30"/>
  <c r="YA75" i="30" l="1"/>
  <c r="XZ76" i="30"/>
  <c r="YA76" i="30" l="1"/>
  <c r="YB75" i="30"/>
  <c r="YC75" i="30" l="1"/>
  <c r="YB76" i="30"/>
  <c r="YD75" i="30" l="1"/>
  <c r="YC76" i="30"/>
  <c r="YE75" i="30" l="1"/>
  <c r="YD76" i="30"/>
  <c r="YF75" i="30" l="1"/>
  <c r="YE76" i="30"/>
  <c r="YG75" i="30" l="1"/>
  <c r="YF76" i="30"/>
  <c r="YG76" i="30" l="1"/>
  <c r="YH75" i="30"/>
  <c r="YH76" i="30" l="1"/>
  <c r="YI75" i="30"/>
  <c r="YJ75" i="30" l="1"/>
  <c r="YI76" i="30"/>
  <c r="YK75" i="30" l="1"/>
  <c r="YJ76" i="30"/>
  <c r="YL75" i="30" l="1"/>
  <c r="YK76" i="30"/>
  <c r="YM75" i="30" l="1"/>
  <c r="YL76" i="30"/>
  <c r="YM76" i="30" l="1"/>
  <c r="YN75" i="30"/>
  <c r="YO75" i="30" l="1"/>
  <c r="YN76" i="30"/>
  <c r="YP75" i="30" l="1"/>
  <c r="YO76" i="30"/>
  <c r="YQ75" i="30" l="1"/>
  <c r="YP76" i="30"/>
  <c r="YR75" i="30" l="1"/>
  <c r="YQ76" i="30"/>
  <c r="YS75" i="30" l="1"/>
  <c r="YR76" i="30"/>
  <c r="YT75" i="30" l="1"/>
  <c r="YS76" i="30"/>
  <c r="YU75" i="30" l="1"/>
  <c r="YT76" i="30"/>
  <c r="YV75" i="30" l="1"/>
  <c r="YU76" i="30"/>
  <c r="YW75" i="30" l="1"/>
  <c r="YV76" i="30"/>
  <c r="YX75" i="30" l="1"/>
  <c r="YW76" i="30"/>
  <c r="YY75" i="30" l="1"/>
  <c r="YX76" i="30"/>
  <c r="YY76" i="30" l="1"/>
  <c r="YZ75" i="30"/>
  <c r="ZA75" i="30" l="1"/>
  <c r="YZ76" i="30"/>
  <c r="ZB75" i="30" l="1"/>
  <c r="ZA76" i="30"/>
  <c r="ZC75" i="30" l="1"/>
  <c r="ZB76" i="30"/>
  <c r="ZC76" i="30" l="1"/>
  <c r="ZD75" i="30"/>
  <c r="ZE75" i="30" l="1"/>
  <c r="ZD76" i="30"/>
  <c r="ZF75" i="30" l="1"/>
  <c r="ZE76" i="30"/>
  <c r="ZG75" i="30" l="1"/>
  <c r="ZF76" i="30"/>
  <c r="ZH75" i="30" l="1"/>
  <c r="ZG76" i="30"/>
  <c r="ZI75" i="30" l="1"/>
  <c r="ZH76" i="30"/>
  <c r="ZJ75" i="30" l="1"/>
  <c r="ZI76" i="30"/>
  <c r="ZK75" i="30" l="1"/>
  <c r="ZJ76" i="30"/>
  <c r="ZK76" i="30" l="1"/>
  <c r="ZL75" i="30"/>
  <c r="ZM75" i="30" l="1"/>
  <c r="ZL76" i="30"/>
  <c r="ZN75" i="30" l="1"/>
  <c r="ZM76" i="30"/>
  <c r="ZN76" i="30" l="1"/>
  <c r="ZO75" i="30"/>
  <c r="ZP75" i="30" l="1"/>
  <c r="ZO76" i="30"/>
  <c r="ZQ75" i="30" l="1"/>
  <c r="ZP76" i="30"/>
  <c r="ZR75" i="30" l="1"/>
  <c r="ZQ76" i="30"/>
  <c r="ZR76" i="30" l="1"/>
  <c r="ZS75" i="30"/>
  <c r="ZT75" i="30" l="1"/>
  <c r="ZS76" i="30"/>
  <c r="ZU75" i="30" l="1"/>
  <c r="ZT76" i="30"/>
  <c r="ZV75" i="30" l="1"/>
  <c r="ZU76" i="30"/>
  <c r="ZW75" i="30" l="1"/>
  <c r="ZV76" i="30"/>
  <c r="ZW76" i="30" l="1"/>
  <c r="ZX75" i="30"/>
  <c r="ZX76" i="30" l="1"/>
  <c r="ZY75" i="30"/>
  <c r="ZZ75" i="30" l="1"/>
  <c r="ZY76" i="30"/>
  <c r="AAA75" i="30" l="1"/>
  <c r="ZZ76" i="30"/>
  <c r="AAB75" i="30" l="1"/>
  <c r="AAA76" i="30"/>
  <c r="AAC75" i="30" l="1"/>
  <c r="AAB76" i="30"/>
  <c r="AAC76" i="30" l="1"/>
  <c r="AAD75" i="30"/>
  <c r="AAD76" i="30" l="1"/>
  <c r="AAE75" i="30"/>
  <c r="AAE76" i="30" l="1"/>
  <c r="AAF75" i="30"/>
  <c r="AAG75" i="30" l="1"/>
  <c r="AAF76" i="30"/>
  <c r="AAH75" i="30" l="1"/>
  <c r="AAG76" i="30"/>
  <c r="AAI75" i="30" l="1"/>
  <c r="AAH76" i="30"/>
  <c r="AAI76" i="30" l="1"/>
  <c r="AAJ75" i="30"/>
  <c r="AAJ76" i="30" l="1"/>
  <c r="AAK75" i="30"/>
  <c r="AAL75" i="30" l="1"/>
  <c r="AAK76" i="30"/>
  <c r="AAM75" i="30" l="1"/>
  <c r="AAL76" i="30"/>
  <c r="AAN75" i="30" l="1"/>
  <c r="AAM76" i="30"/>
  <c r="AAN76" i="30" l="1"/>
  <c r="AAO75" i="30"/>
  <c r="AAP75" i="30" l="1"/>
  <c r="AAO76" i="30"/>
  <c r="AAQ75" i="30" l="1"/>
  <c r="AAP76" i="30"/>
  <c r="AAR75" i="30" l="1"/>
  <c r="AAQ76" i="30"/>
  <c r="AAS75" i="30" l="1"/>
  <c r="AAR76" i="30"/>
  <c r="AAT75" i="30" l="1"/>
  <c r="AAS76" i="30"/>
  <c r="AAU75" i="30" l="1"/>
  <c r="AAT76" i="30"/>
  <c r="AAU76" i="30" l="1"/>
  <c r="AAV75" i="30"/>
  <c r="AAV76" i="30" l="1"/>
  <c r="AAW75" i="30"/>
  <c r="AAX75" i="30" l="1"/>
  <c r="AAW76" i="30"/>
  <c r="AAY75" i="30" l="1"/>
  <c r="AAX76" i="30"/>
  <c r="AAZ75" i="30" l="1"/>
  <c r="AAY76" i="30"/>
  <c r="ABA75" i="30" l="1"/>
  <c r="AAZ76" i="30"/>
  <c r="ABB75" i="30" l="1"/>
  <c r="ABA76" i="30"/>
  <c r="ABB76" i="30" l="1"/>
  <c r="ABC75" i="30"/>
  <c r="ABC76" i="30" l="1"/>
  <c r="ABD75" i="30"/>
  <c r="ABE75" i="30" l="1"/>
  <c r="ABD76" i="30"/>
  <c r="ABF75" i="30" l="1"/>
  <c r="ABE76" i="30"/>
  <c r="ABG75" i="30" l="1"/>
  <c r="ABF76" i="30"/>
  <c r="ABG76" i="30" l="1"/>
  <c r="ABH75" i="30"/>
  <c r="ABI75" i="30" l="1"/>
  <c r="ABH76" i="30"/>
  <c r="ABJ75" i="30" l="1"/>
  <c r="ABI76" i="30"/>
  <c r="ABJ76" i="30" l="1"/>
  <c r="ABK75" i="30"/>
  <c r="ABK76" i="30" l="1"/>
  <c r="ABL75" i="30"/>
  <c r="ABM75" i="30" l="1"/>
  <c r="ABL76" i="30"/>
  <c r="ABN75" i="30" l="1"/>
  <c r="ABM76" i="30"/>
  <c r="ABO75" i="30" l="1"/>
  <c r="ABN76" i="30"/>
  <c r="ABP75" i="30" l="1"/>
  <c r="ABO76" i="30"/>
  <c r="ABQ75" i="30" l="1"/>
  <c r="ABP76" i="30"/>
  <c r="ABR75" i="30" l="1"/>
  <c r="ABQ76" i="30"/>
  <c r="ABS75" i="30" l="1"/>
  <c r="ABR76" i="30"/>
  <c r="ABS76" i="30" l="1"/>
  <c r="ABT75" i="30"/>
  <c r="ABU75" i="30" l="1"/>
  <c r="ABT76" i="30"/>
  <c r="ABV75" i="30" l="1"/>
  <c r="ABU76" i="30"/>
  <c r="ABW75" i="30" l="1"/>
  <c r="ABV76" i="30"/>
  <c r="ABX75" i="30" l="1"/>
  <c r="ABW76" i="30"/>
  <c r="ABY75" i="30" l="1"/>
  <c r="ABX76" i="30"/>
  <c r="ABY76" i="30" l="1"/>
  <c r="ABZ75" i="30"/>
  <c r="ABZ76" i="30" l="1"/>
  <c r="ACA75" i="30"/>
  <c r="ACA76" i="30" l="1"/>
  <c r="ACB75" i="30"/>
  <c r="ACC75" i="30" l="1"/>
  <c r="ACB76" i="30"/>
  <c r="ACD75" i="30" l="1"/>
  <c r="ACC76" i="30"/>
  <c r="ACE75" i="30" l="1"/>
  <c r="ACD76" i="30"/>
  <c r="ACE76" i="30" l="1"/>
  <c r="ACF75" i="30"/>
  <c r="ACG75" i="30" l="1"/>
  <c r="ACF76" i="30"/>
  <c r="ACG76" i="30" l="1"/>
  <c r="ACH75" i="30"/>
  <c r="ACH76" i="30" l="1"/>
  <c r="ACI75" i="30"/>
  <c r="ACI76" i="30" l="1"/>
  <c r="ACJ75" i="30"/>
  <c r="ACK75" i="30" l="1"/>
  <c r="ACJ76" i="30"/>
  <c r="ACL75" i="30" l="1"/>
  <c r="ACK76" i="30"/>
  <c r="ACM75" i="30" l="1"/>
  <c r="ACL76" i="30"/>
  <c r="ACN75" i="30" l="1"/>
  <c r="ACM76" i="30"/>
  <c r="ACO75" i="30" l="1"/>
  <c r="ACN76" i="30"/>
  <c r="ACP75" i="30" l="1"/>
  <c r="ACO76" i="30"/>
  <c r="ACQ75" i="30" l="1"/>
  <c r="ACP76" i="30"/>
  <c r="ACQ76" i="30" l="1"/>
  <c r="ACR75" i="30"/>
  <c r="ACS75" i="30" l="1"/>
  <c r="ACR76" i="30"/>
  <c r="ACT75" i="30" l="1"/>
  <c r="ACS76" i="30"/>
  <c r="ACT76" i="30" l="1"/>
  <c r="ACU75" i="30"/>
  <c r="ACU76" i="30" l="1"/>
  <c r="ACV75" i="30"/>
  <c r="ACV76" i="30" l="1"/>
  <c r="ACW75" i="30"/>
  <c r="ACW76" i="30" l="1"/>
  <c r="ACX75" i="30"/>
  <c r="ACY75" i="30" l="1"/>
  <c r="ACX76" i="30"/>
  <c r="ACY76" i="30" l="1"/>
  <c r="ACZ75" i="30"/>
  <c r="ADA75" i="30" l="1"/>
  <c r="ACZ76" i="30"/>
  <c r="ADB75" i="30" l="1"/>
  <c r="ADA76" i="30"/>
  <c r="ADC75" i="30" l="1"/>
  <c r="ADB76" i="30"/>
  <c r="ADC76" i="30" l="1"/>
  <c r="ADD75" i="30"/>
  <c r="ADE75" i="30" l="1"/>
  <c r="ADD76" i="30"/>
  <c r="ADF75" i="30" l="1"/>
  <c r="ADE76" i="30"/>
  <c r="ADF76" i="30" l="1"/>
  <c r="ADG75" i="30"/>
  <c r="ADG76" i="30" l="1"/>
  <c r="ADH75" i="30"/>
  <c r="ADI75" i="30" l="1"/>
  <c r="ADH76" i="30"/>
  <c r="ADJ75" i="30" l="1"/>
  <c r="ADI76" i="30"/>
  <c r="ADK75" i="30" l="1"/>
  <c r="ADJ76" i="30"/>
  <c r="ADL75" i="30" l="1"/>
  <c r="ADK76" i="30"/>
  <c r="ADM75" i="30" l="1"/>
  <c r="ADL76" i="30"/>
  <c r="ADN75" i="30" l="1"/>
  <c r="ADM76" i="30"/>
  <c r="ADO75" i="30" l="1"/>
  <c r="ADN76" i="30"/>
  <c r="ADO76" i="30" l="1"/>
  <c r="ADP75" i="30"/>
  <c r="ADP76" i="30" l="1"/>
  <c r="ADQ75" i="30"/>
  <c r="ADQ76" i="30" l="1"/>
  <c r="ADR75" i="30"/>
  <c r="ADS75" i="30" l="1"/>
  <c r="ADR76" i="30"/>
  <c r="ADT75" i="30" l="1"/>
  <c r="ADS76" i="30"/>
  <c r="ADU75" i="30" l="1"/>
  <c r="ADT76" i="30"/>
  <c r="ADU76" i="30" l="1"/>
  <c r="ADV75" i="30"/>
  <c r="ADV76" i="30" l="1"/>
  <c r="ADW75" i="30"/>
  <c r="ADX75" i="30" l="1"/>
  <c r="ADW76" i="30"/>
  <c r="ADY75" i="30" l="1"/>
  <c r="ADX76" i="30"/>
  <c r="ADZ75" i="30" l="1"/>
  <c r="ADY76" i="30"/>
  <c r="AEA75" i="30" l="1"/>
  <c r="ADZ76" i="30"/>
  <c r="AEA76" i="30" l="1"/>
  <c r="AEB75" i="30"/>
  <c r="AEC75" i="30" l="1"/>
  <c r="AEB76" i="30"/>
  <c r="AED75" i="30" l="1"/>
  <c r="AEC76" i="30"/>
  <c r="AEE75" i="30" l="1"/>
  <c r="AED76" i="30"/>
  <c r="AEF75" i="30" l="1"/>
  <c r="AEE76" i="30"/>
  <c r="AEG75" i="30" l="1"/>
  <c r="AEF76" i="30"/>
  <c r="AEH75" i="30" l="1"/>
  <c r="AEG76" i="30"/>
  <c r="AEI75" i="30" l="1"/>
  <c r="AEH76" i="30"/>
  <c r="AEJ75" i="30" l="1"/>
  <c r="AEI76" i="30"/>
  <c r="AEK75" i="30" l="1"/>
  <c r="AEJ76" i="30"/>
  <c r="AEL75" i="30" l="1"/>
  <c r="AEK76" i="30"/>
  <c r="AEM75" i="30" l="1"/>
  <c r="AEL76" i="30"/>
  <c r="AEM76" i="30" l="1"/>
  <c r="AEN75" i="30"/>
  <c r="AEN76" i="30" l="1"/>
  <c r="AEO75" i="30"/>
  <c r="AEO76" i="30" l="1"/>
  <c r="AEP75" i="30"/>
  <c r="AEP76" i="30" l="1"/>
  <c r="AEQ75" i="30"/>
  <c r="AER75" i="30" l="1"/>
  <c r="AEQ76" i="30"/>
  <c r="AER76" i="30" l="1"/>
  <c r="AES75" i="30"/>
  <c r="AES76" i="30" l="1"/>
  <c r="AET75" i="30"/>
  <c r="AET76" i="30" l="1"/>
  <c r="AEU75" i="30"/>
  <c r="AEV75" i="30" l="1"/>
  <c r="AEU76" i="30"/>
  <c r="AEW75" i="30" l="1"/>
  <c r="AEV76" i="30"/>
  <c r="AEX75" i="30" l="1"/>
  <c r="AEW76" i="30"/>
  <c r="AEY75" i="30" l="1"/>
  <c r="AEX76" i="30"/>
  <c r="AEY76" i="30" l="1"/>
  <c r="AEZ75" i="30"/>
  <c r="AFA75" i="30" l="1"/>
  <c r="AEZ76" i="30"/>
  <c r="AFB75" i="30" l="1"/>
  <c r="AFA76" i="30"/>
  <c r="AFB76" i="30" l="1"/>
  <c r="AFC75" i="30"/>
  <c r="AFD75" i="30" l="1"/>
  <c r="AFC76" i="30"/>
  <c r="AFE75" i="30" l="1"/>
  <c r="AFD76" i="30"/>
  <c r="AFE76" i="30" l="1"/>
  <c r="AFF75" i="30"/>
  <c r="AFF76" i="30" l="1"/>
  <c r="AFG75" i="30"/>
  <c r="AFG76" i="30" l="1"/>
  <c r="AFH75" i="30"/>
  <c r="AFI75" i="30" l="1"/>
  <c r="AFH76" i="30"/>
  <c r="AFJ75" i="30" l="1"/>
  <c r="AFI76" i="30"/>
  <c r="AFK75" i="30" l="1"/>
  <c r="AFJ76" i="30"/>
  <c r="AFK76" i="30" l="1"/>
  <c r="AFL75" i="30"/>
  <c r="AFL76" i="30" l="1"/>
  <c r="AFM75" i="30"/>
  <c r="AFM76" i="30" l="1"/>
  <c r="AFN75" i="30"/>
  <c r="AFO75" i="30" l="1"/>
  <c r="AFN76" i="30"/>
  <c r="AFP75" i="30" l="1"/>
  <c r="AFO76" i="30"/>
  <c r="AFQ75" i="30" l="1"/>
  <c r="AFP76" i="30"/>
  <c r="AFQ76" i="30" l="1"/>
  <c r="AFR75" i="30"/>
  <c r="AFS75" i="30" l="1"/>
  <c r="AFR76" i="30"/>
  <c r="AFT75" i="30" l="1"/>
  <c r="AFS76" i="30"/>
  <c r="AFU75" i="30" l="1"/>
  <c r="AFT76" i="30"/>
  <c r="AFV75" i="30" l="1"/>
  <c r="AFU76" i="30"/>
  <c r="AFW75" i="30" l="1"/>
  <c r="AFV76" i="30"/>
  <c r="AFW76" i="30" l="1"/>
  <c r="AFX75" i="30"/>
  <c r="AFY75" i="30" l="1"/>
  <c r="AFX76" i="30"/>
  <c r="AFZ75" i="30" l="1"/>
  <c r="AFY76" i="30"/>
  <c r="AFZ76" i="30" l="1"/>
  <c r="AGA75" i="30"/>
  <c r="AGB75" i="30" l="1"/>
  <c r="AGA76" i="30"/>
  <c r="AGB76" i="30" l="1"/>
  <c r="AGC75" i="30"/>
  <c r="AGD75" i="30" l="1"/>
  <c r="AGC76" i="30"/>
  <c r="AGE75" i="30" l="1"/>
  <c r="AGD76" i="30"/>
  <c r="AGF75" i="30" l="1"/>
  <c r="AGE76" i="30"/>
  <c r="AGG75" i="30" l="1"/>
  <c r="AGF76" i="30"/>
  <c r="AGH75" i="30" l="1"/>
  <c r="AGG76" i="30"/>
  <c r="AGI75" i="30" l="1"/>
  <c r="AGH76" i="30"/>
  <c r="AGI76" i="30" l="1"/>
  <c r="AGJ75" i="30"/>
  <c r="AGJ76" i="30" l="1"/>
  <c r="AGK75" i="30"/>
  <c r="AGK76" i="30" l="1"/>
  <c r="AGL75" i="30"/>
  <c r="AGL76" i="30" l="1"/>
  <c r="AGM75" i="30"/>
  <c r="AGM76" i="30" l="1"/>
  <c r="AGN75" i="30"/>
  <c r="AGN76" i="30" l="1"/>
  <c r="AGO75" i="30"/>
  <c r="AGO76" i="30" l="1"/>
  <c r="AGP75" i="30"/>
  <c r="AGQ75" i="30" l="1"/>
  <c r="AGP76" i="30"/>
  <c r="AGR75" i="30" l="1"/>
  <c r="AGQ76" i="30"/>
  <c r="AGS75" i="30" l="1"/>
  <c r="AGR76" i="30"/>
  <c r="AGS76" i="30" l="1"/>
  <c r="AGT75" i="30"/>
  <c r="AGT76" i="30" l="1"/>
  <c r="AGU75" i="30"/>
  <c r="AGU76" i="30" l="1"/>
  <c r="AGV75" i="30"/>
  <c r="AGV76" i="30" l="1"/>
  <c r="AGW75" i="30"/>
  <c r="AGW76" i="30" l="1"/>
  <c r="AGX75" i="30"/>
  <c r="AGY75" i="30" l="1"/>
  <c r="AGX76" i="30"/>
  <c r="AGZ75" i="30" l="1"/>
  <c r="AGY76" i="30"/>
  <c r="AHA75" i="30" l="1"/>
  <c r="AGZ76" i="30"/>
  <c r="AHB75" i="30" l="1"/>
  <c r="AHA76" i="30"/>
  <c r="AHB76" i="30" l="1"/>
  <c r="AHC75" i="30"/>
  <c r="AHD75" i="30" l="1"/>
  <c r="AHC76" i="30"/>
  <c r="AHE75" i="30" l="1"/>
  <c r="AHD76" i="30"/>
  <c r="AHE76" i="30" l="1"/>
  <c r="AHF75" i="30"/>
  <c r="AHG75" i="30" l="1"/>
  <c r="AHF76" i="30"/>
  <c r="AHG76" i="30" l="1"/>
  <c r="AHH75" i="30"/>
  <c r="AHH76" i="30" l="1"/>
  <c r="AHI75" i="30"/>
  <c r="AHI76" i="30" l="1"/>
  <c r="AHJ75" i="30"/>
  <c r="AHJ76" i="30" l="1"/>
  <c r="AHK75" i="30"/>
  <c r="AHK76" i="30" l="1"/>
  <c r="AHL75" i="30"/>
  <c r="AHM75" i="30" l="1"/>
  <c r="AHL76" i="30"/>
  <c r="AHN75" i="30" l="1"/>
  <c r="AHM76" i="30"/>
  <c r="AHO75" i="30" l="1"/>
  <c r="AHN76" i="30"/>
  <c r="AHP75" i="30" l="1"/>
  <c r="AHO76" i="30"/>
  <c r="AHQ75" i="30" l="1"/>
  <c r="AHP76" i="30"/>
  <c r="AHQ76" i="30" l="1"/>
  <c r="AHR75" i="30"/>
  <c r="AHS75" i="30" l="1"/>
  <c r="AHR76" i="30"/>
  <c r="AHS76" i="30" l="1"/>
  <c r="AHT75" i="30"/>
  <c r="AHT76" i="30" l="1"/>
  <c r="AHU75" i="30"/>
  <c r="AHU76" i="30" l="1"/>
  <c r="AHV75" i="30"/>
  <c r="AHW75" i="30" l="1"/>
  <c r="AHV76" i="30"/>
  <c r="AHW76" i="30" l="1"/>
  <c r="AHX75" i="30"/>
  <c r="AHX76" i="30" l="1"/>
  <c r="AHY75" i="30"/>
  <c r="AHY76" i="30" l="1"/>
  <c r="AHZ75" i="30"/>
  <c r="AHZ76" i="30" l="1"/>
  <c r="AIA75" i="30"/>
  <c r="AIA76" i="30" l="1"/>
  <c r="AIB75" i="30"/>
  <c r="AIC75" i="30" l="1"/>
  <c r="AIB76" i="30"/>
  <c r="AIC76" i="30" l="1"/>
  <c r="AID75" i="30"/>
  <c r="AIE75" i="30" l="1"/>
  <c r="AID76" i="30"/>
  <c r="AIF75" i="30" l="1"/>
  <c r="AIE76" i="30"/>
  <c r="AIG75" i="30" l="1"/>
  <c r="AIF76" i="30"/>
  <c r="AIH75" i="30" l="1"/>
  <c r="AIG76" i="30"/>
  <c r="AII75" i="30" l="1"/>
  <c r="AIH76" i="30"/>
  <c r="AIJ75" i="30" l="1"/>
  <c r="AII76" i="30"/>
  <c r="AIK75" i="30" l="1"/>
  <c r="AIJ76" i="30"/>
  <c r="AIK76" i="30" l="1"/>
  <c r="AIL75" i="30"/>
  <c r="AIL76" i="30" l="1"/>
  <c r="AIM75" i="30"/>
  <c r="AIM76" i="30" l="1"/>
  <c r="AIN75" i="30"/>
  <c r="AIO75" i="30" l="1"/>
  <c r="AIN76" i="30"/>
  <c r="AIO76" i="30" l="1"/>
  <c r="AIP75" i="30"/>
  <c r="AIQ75" i="30" l="1"/>
  <c r="AIP76" i="30"/>
  <c r="AIQ76" i="30" l="1"/>
  <c r="AIR75" i="30"/>
  <c r="AIS75" i="30" l="1"/>
  <c r="AIR76" i="30"/>
  <c r="AIT75" i="30" l="1"/>
  <c r="AIS76" i="30"/>
  <c r="AIT76" i="30" l="1"/>
  <c r="AIU75" i="30"/>
  <c r="AIU76" i="30" l="1"/>
  <c r="AIV75" i="30"/>
  <c r="AIV76" i="30" l="1"/>
  <c r="AIW75" i="30"/>
  <c r="AIW76" i="30" l="1"/>
  <c r="AIX75" i="30"/>
  <c r="AIY75" i="30" l="1"/>
  <c r="AIX76" i="30"/>
  <c r="AIY76" i="30" l="1"/>
  <c r="AIZ75" i="30"/>
  <c r="AJA75" i="30" l="1"/>
  <c r="AIZ76" i="30"/>
  <c r="AJA76" i="30" l="1"/>
  <c r="AJB75" i="30"/>
  <c r="AJB76" i="30" l="1"/>
  <c r="AJC75" i="30"/>
  <c r="AJC76" i="30" l="1"/>
  <c r="AJD75" i="30"/>
  <c r="AJE75" i="30" l="1"/>
  <c r="AJD76" i="30"/>
  <c r="AJF75" i="30" l="1"/>
  <c r="AJE76" i="30"/>
  <c r="AJG75" i="30" l="1"/>
  <c r="AJF76" i="30"/>
  <c r="AJH75" i="30" l="1"/>
  <c r="AJG76" i="30"/>
  <c r="AJI75" i="30" l="1"/>
  <c r="AJH76" i="30"/>
  <c r="AJJ75" i="30" l="1"/>
  <c r="AJI76" i="30"/>
  <c r="AJJ76" i="30" l="1"/>
  <c r="AJK75" i="30"/>
  <c r="AJK76" i="30" l="1"/>
  <c r="AJL75" i="30"/>
  <c r="AJM75" i="30" l="1"/>
  <c r="AJL76" i="30"/>
  <c r="AJM76" i="30" l="1"/>
  <c r="AJN75" i="30"/>
  <c r="AJN76" i="30" l="1"/>
  <c r="AJO75" i="30"/>
  <c r="AJO76" i="30" l="1"/>
  <c r="AJP75" i="30"/>
  <c r="AJP76" i="30" l="1"/>
  <c r="AJQ75" i="30"/>
  <c r="AJQ76" i="30" l="1"/>
  <c r="AJR75" i="30"/>
  <c r="AJS75" i="30" l="1"/>
  <c r="AJR76" i="30"/>
  <c r="AJT75" i="30" l="1"/>
  <c r="AJS76" i="30"/>
  <c r="AJT76" i="30" l="1"/>
  <c r="AJU75" i="30"/>
  <c r="AJV75" i="30" l="1"/>
  <c r="AJU76" i="30"/>
  <c r="AJV76" i="30" l="1"/>
  <c r="AJW75" i="30"/>
  <c r="AJX75" i="30" l="1"/>
  <c r="AJW76" i="30"/>
  <c r="AJY75" i="30" l="1"/>
  <c r="AJX76" i="30"/>
  <c r="AJY76" i="30" l="1"/>
  <c r="AJZ75" i="30"/>
  <c r="AKA75" i="30" l="1"/>
  <c r="AJZ76" i="30"/>
  <c r="AKA76" i="30" l="1"/>
  <c r="AKB75" i="30"/>
  <c r="AKC75" i="30" l="1"/>
  <c r="AKB76" i="30"/>
  <c r="AKC76" i="30" l="1"/>
  <c r="AKD75" i="30"/>
  <c r="AKD76" i="30" l="1"/>
  <c r="AKE75" i="30"/>
  <c r="AKE76" i="30" l="1"/>
  <c r="AKF75" i="30"/>
  <c r="AKG75" i="30" l="1"/>
  <c r="AKF76" i="30"/>
  <c r="AKG76" i="30" l="1"/>
  <c r="AKH75" i="30"/>
  <c r="AKH76" i="30" l="1"/>
  <c r="AKI75" i="30"/>
  <c r="AKJ75" i="30" l="1"/>
  <c r="AKI76" i="30"/>
  <c r="AKK75" i="30" l="1"/>
  <c r="AKJ76" i="30"/>
  <c r="AKK76" i="30" l="1"/>
  <c r="AKL75" i="30"/>
  <c r="AKL76" i="30" l="1"/>
  <c r="AKM75" i="30"/>
  <c r="AKM76" i="30" l="1"/>
  <c r="AKN75" i="30"/>
  <c r="AKO75" i="30" l="1"/>
  <c r="AKN76" i="30"/>
  <c r="AKP75" i="30" l="1"/>
  <c r="AKO76" i="30"/>
  <c r="AKQ75" i="30" l="1"/>
  <c r="AKP76" i="30"/>
  <c r="AKQ76" i="30" l="1"/>
  <c r="AKR75" i="30"/>
  <c r="AKR76" i="30" l="1"/>
  <c r="AKS75" i="30"/>
  <c r="AKS76" i="30" l="1"/>
  <c r="AKT75" i="30"/>
  <c r="AKU75" i="30" l="1"/>
  <c r="AKT76" i="30"/>
  <c r="AKU76" i="30" l="1"/>
  <c r="AKV75" i="30"/>
  <c r="AKW75" i="30" l="1"/>
  <c r="AKV76" i="30"/>
  <c r="AKW76" i="30" l="1"/>
  <c r="AKX75" i="30"/>
  <c r="AKX76" i="30" l="1"/>
  <c r="AKY75" i="30"/>
  <c r="AKY76" i="30" l="1"/>
  <c r="AKZ75" i="30"/>
  <c r="AKZ76" i="30" l="1"/>
  <c r="ALA75" i="30"/>
  <c r="ALA76" i="30" l="1"/>
  <c r="ALB75" i="30"/>
  <c r="ALC75" i="30" l="1"/>
  <c r="ALB76" i="30"/>
  <c r="ALD75" i="30" l="1"/>
  <c r="ALC76" i="30"/>
  <c r="ALE75" i="30" l="1"/>
  <c r="ALD76" i="30"/>
  <c r="ALF75" i="30" l="1"/>
  <c r="ALE76" i="30"/>
  <c r="ALG75" i="30" l="1"/>
  <c r="ALF76" i="30"/>
  <c r="ALG76" i="30" l="1"/>
  <c r="ALH75" i="30"/>
  <c r="ALI75" i="30" l="1"/>
  <c r="ALH76" i="30"/>
  <c r="ALI76" i="30" l="1"/>
  <c r="ALJ75" i="30"/>
  <c r="ALK75" i="30" l="1"/>
  <c r="ALJ76" i="30"/>
  <c r="ALK76" i="30" l="1"/>
  <c r="ALL75" i="30"/>
  <c r="ALL76" i="30" l="1"/>
  <c r="ALM75" i="30"/>
  <c r="ALM76" i="30" l="1"/>
  <c r="ALN75" i="30"/>
  <c r="ALN76" i="30" l="1"/>
  <c r="ALO75" i="30"/>
  <c r="ALO76" i="30" l="1"/>
  <c r="ALP75" i="30"/>
  <c r="ALP76" i="30" l="1"/>
  <c r="ALQ75" i="30"/>
  <c r="ALQ76" i="30" l="1"/>
  <c r="ALR75" i="30"/>
  <c r="ALS75" i="30" l="1"/>
  <c r="ALR76" i="30"/>
  <c r="ALT75" i="30" l="1"/>
  <c r="ALS76" i="30"/>
  <c r="ALU75" i="30" l="1"/>
  <c r="ALT76" i="30"/>
  <c r="ALU76" i="30" l="1"/>
  <c r="ALV75" i="30"/>
  <c r="ALW75" i="30" l="1"/>
  <c r="ALW76" i="30" s="1"/>
  <c r="ALV76" i="30"/>
</calcChain>
</file>

<file path=xl/sharedStrings.xml><?xml version="1.0" encoding="utf-8"?>
<sst xmlns="http://schemas.openxmlformats.org/spreadsheetml/2006/main" count="2201" uniqueCount="71">
  <si>
    <t>Date de début du planning :</t>
  </si>
  <si>
    <t>jours</t>
  </si>
  <si>
    <t>heures</t>
  </si>
  <si>
    <t>minutes</t>
  </si>
  <si>
    <t>M1</t>
  </si>
  <si>
    <t>PASSAGES</t>
  </si>
  <si>
    <t>M0</t>
  </si>
  <si>
    <t>Date de fin du planning :</t>
  </si>
  <si>
    <t>Nombre de journées :</t>
  </si>
  <si>
    <t>Nombre de passages :</t>
  </si>
  <si>
    <t>Bande S</t>
  </si>
  <si>
    <t>SCOOP</t>
  </si>
  <si>
    <t>M2</t>
  </si>
  <si>
    <t>M3</t>
  </si>
  <si>
    <t>M4</t>
  </si>
  <si>
    <t>M5</t>
  </si>
  <si>
    <t>ALTO</t>
  </si>
  <si>
    <t>ELIOT</t>
  </si>
  <si>
    <t>CAMEO</t>
  </si>
  <si>
    <t>Périodes d'eclipses</t>
  </si>
  <si>
    <t>Début</t>
  </si>
  <si>
    <t>Fin</t>
  </si>
  <si>
    <t>Date de début (jj/mm/aaaa)</t>
  </si>
  <si>
    <t>Heure de début (hh:mm)</t>
  </si>
  <si>
    <t>Nombre de passages rentrés :</t>
  </si>
  <si>
    <t>Durée (hh:mm:ss)</t>
  </si>
  <si>
    <t>Nombre d'éclipses :</t>
  </si>
  <si>
    <t>Id Mode :</t>
  </si>
  <si>
    <t>Mode :</t>
  </si>
  <si>
    <t>Puissance instantanée (W) :</t>
  </si>
  <si>
    <t>Données (Mbits) :</t>
  </si>
  <si>
    <t>Off</t>
  </si>
  <si>
    <t>Boot</t>
  </si>
  <si>
    <t>Veille</t>
  </si>
  <si>
    <t>Heater</t>
  </si>
  <si>
    <t>Mesure</t>
  </si>
  <si>
    <t>Cooling</t>
  </si>
  <si>
    <t>Nombre de modes rentrés :</t>
  </si>
  <si>
    <t>Données rentrées :</t>
  </si>
  <si>
    <t>Données à modifier :</t>
  </si>
  <si>
    <t>Mode</t>
  </si>
  <si>
    <t>Pas de passage</t>
  </si>
  <si>
    <t>Passage antenne</t>
  </si>
  <si>
    <t>Pas d'éclipse</t>
  </si>
  <si>
    <t>Période d'éclipse</t>
  </si>
  <si>
    <t>Nombre d'éclipses rentrées :</t>
  </si>
  <si>
    <t>Cycle décharge/charge</t>
  </si>
  <si>
    <t>Préparation de veille</t>
  </si>
  <si>
    <t>Sortie de veille</t>
  </si>
  <si>
    <t>Données/10min :</t>
  </si>
  <si>
    <t xml:space="preserve">Écoute </t>
  </si>
  <si>
    <t>Prise de vue</t>
  </si>
  <si>
    <t>Traduction</t>
  </si>
  <si>
    <t>Backup</t>
  </si>
  <si>
    <t>Réception TM</t>
  </si>
  <si>
    <t>Envoi TC</t>
  </si>
  <si>
    <t>ODB ON</t>
  </si>
  <si>
    <t>PV</t>
  </si>
  <si>
    <t>Thermique</t>
  </si>
  <si>
    <t>État du satellite</t>
  </si>
  <si>
    <t>Données stockées</t>
  </si>
  <si>
    <t>Température</t>
  </si>
  <si>
    <t>*batterie pleine :</t>
  </si>
  <si>
    <t>Antenne associée</t>
  </si>
  <si>
    <t>Données (Mbits)</t>
  </si>
  <si>
    <t>Données/10min (Mbits) :</t>
  </si>
  <si>
    <t>Batterie (Wh)</t>
  </si>
  <si>
    <t>Batterie (%)</t>
  </si>
  <si>
    <t>Plateforme</t>
  </si>
  <si>
    <t>Énergie consommée (W)</t>
  </si>
  <si>
    <t>ICARE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</si>
</sst>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(* #,##0_);_(* \(#,##0\);_(* &quot;-&quot;_);_(@_)"/>
    <numFmt numFmtId="165" formatCode="_(* #,##0.00_);_(* \(#,##0.00\);_(* &quot;-&quot;??_);_(@_)"/>
    <numFmt numFmtId="166" formatCode="h:mm;@"/>
    <numFmt numFmtId="167" formatCode="[$-F800]dddd\,\ mmmm\ dd\,\ yyyy"/>
    <numFmt numFmtId="168" formatCode="d/m/yy\ h:mm;@"/>
    <numFmt numFmtId="169" formatCode="[$-F400]h:mm:ss\ AM/PM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3" tint="-0.24994659260841701"/>
      <name val="Calibri"/>
      <family val="2"/>
      <scheme val="major"/>
    </font>
    <font>
      <b/>
      <sz val="18"/>
      <color theme="4" tint="-0.24994659260841701"/>
      <name val="Calibri"/>
      <family val="2"/>
      <scheme val="minor"/>
    </font>
    <font>
      <b/>
      <sz val="26"/>
      <color theme="3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8E3E0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749992370372631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>
      <alignment horizontal="left" vertical="center"/>
    </xf>
    <xf numFmtId="0" fontId="6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0" fontId="5" fillId="2" borderId="0" applyNumberFormat="0" applyBorder="0" applyProtection="0">
      <alignment horizontal="center" vertical="center"/>
    </xf>
    <xf numFmtId="0" fontId="2" fillId="20" borderId="0" applyNumberFormat="0" applyProtection="0">
      <alignment horizontal="right" vertical="center" indent="1"/>
    </xf>
    <xf numFmtId="0" fontId="1" fillId="0" borderId="0" applyNumberFormat="0" applyFill="0" applyBorder="0" applyProtection="0">
      <alignment horizontal="left" vertical="center" indent="2"/>
    </xf>
    <xf numFmtId="0" fontId="3" fillId="3" borderId="0" applyNumberFormat="0" applyBorder="0" applyAlignment="0" applyProtection="0"/>
    <xf numFmtId="0" fontId="1" fillId="4" borderId="0" applyNumberFormat="0" applyBorder="0" applyProtection="0">
      <alignment horizontal="center" vertical="center"/>
    </xf>
    <xf numFmtId="0" fontId="2" fillId="9" borderId="0" applyNumberFormat="0" applyBorder="0" applyAlignment="0" applyProtection="0"/>
    <xf numFmtId="0" fontId="1" fillId="5" borderId="0" applyNumberFormat="0" applyBorder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2" fillId="15" borderId="0" applyNumberFormat="0" applyBorder="0" applyAlignment="0" applyProtection="0"/>
    <xf numFmtId="0" fontId="1" fillId="8" borderId="0" applyNumberFormat="0" applyBorder="0" applyAlignment="0" applyProtection="0"/>
    <xf numFmtId="0" fontId="3" fillId="15" borderId="0" applyNumberFormat="0" applyBorder="0" applyAlignment="0" applyProtection="0"/>
    <xf numFmtId="0" fontId="1" fillId="18" borderId="0" applyNumberFormat="0" applyBorder="0" applyAlignment="0" applyProtection="0"/>
    <xf numFmtId="0" fontId="2" fillId="17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2" fillId="10" borderId="0" applyNumberFormat="0" applyBorder="0" applyAlignment="0" applyProtection="0"/>
    <xf numFmtId="0" fontId="3" fillId="11" borderId="0" applyNumberFormat="0" applyBorder="0" applyAlignment="0" applyProtection="0"/>
    <xf numFmtId="0" fontId="1" fillId="2" borderId="0" applyNumberFormat="0" applyBorder="0" applyAlignment="0" applyProtection="0"/>
    <xf numFmtId="0" fontId="2" fillId="12" borderId="0" applyNumberFormat="0" applyBorder="0" applyProtection="0">
      <alignment horizontal="left" vertical="center" indent="1"/>
    </xf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1" fontId="1" fillId="0" borderId="0" applyFill="0" applyBorder="0" applyProtection="0">
      <alignment horizontal="center" vertical="center"/>
    </xf>
    <xf numFmtId="0" fontId="1" fillId="0" borderId="0" applyNumberFormat="0" applyFill="0" applyBorder="0">
      <alignment horizontal="left" vertical="center" wrapText="1" indent="2"/>
    </xf>
    <xf numFmtId="0" fontId="7" fillId="0" borderId="0">
      <alignment horizontal="center"/>
    </xf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21" borderId="0" applyNumberFormat="0" applyBorder="0" applyAlignment="0" applyProtection="0"/>
    <xf numFmtId="0" fontId="9" fillId="22" borderId="0" applyNumberFormat="0" applyBorder="0" applyAlignment="0" applyProtection="0"/>
    <xf numFmtId="0" fontId="10" fillId="23" borderId="0" applyNumberFormat="0" applyBorder="0" applyAlignment="0" applyProtection="0"/>
    <xf numFmtId="0" fontId="11" fillId="24" borderId="1" applyNumberFormat="0" applyAlignment="0" applyProtection="0"/>
    <xf numFmtId="0" fontId="12" fillId="25" borderId="2" applyNumberFormat="0" applyAlignment="0" applyProtection="0"/>
    <xf numFmtId="0" fontId="13" fillId="25" borderId="1" applyNumberFormat="0" applyAlignment="0" applyProtection="0"/>
    <xf numFmtId="0" fontId="14" fillId="0" borderId="3" applyNumberFormat="0" applyFill="0" applyAlignment="0" applyProtection="0"/>
    <xf numFmtId="0" fontId="15" fillId="26" borderId="4" applyNumberFormat="0" applyAlignment="0" applyProtection="0"/>
    <xf numFmtId="0" fontId="16" fillId="0" borderId="0" applyNumberFormat="0" applyFill="0" applyBorder="0" applyAlignment="0" applyProtection="0"/>
    <xf numFmtId="0" fontId="1" fillId="27" borderId="5" applyNumberFormat="0" applyFont="0" applyAlignment="0" applyProtection="0"/>
    <xf numFmtId="0" fontId="17" fillId="0" borderId="0" applyNumberFormat="0" applyFill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53">
    <xf numFmtId="0" fontId="0" fillId="0" borderId="0" xfId="0">
      <alignment horizontal="left" vertical="center"/>
    </xf>
    <xf numFmtId="0" fontId="0" fillId="33" borderId="0" xfId="0" applyFill="1">
      <alignment horizontal="left" vertical="center"/>
    </xf>
    <xf numFmtId="0" fontId="2" fillId="33" borderId="0" xfId="0" applyFont="1" applyFill="1">
      <alignment horizontal="left" vertical="center"/>
    </xf>
    <xf numFmtId="167" fontId="15" fillId="33" borderId="0" xfId="0" applyNumberFormat="1" applyFont="1" applyFill="1" applyAlignment="1">
      <alignment horizontal="center" vertical="center"/>
    </xf>
    <xf numFmtId="0" fontId="20" fillId="0" borderId="0" xfId="0" applyFont="1">
      <alignment horizontal="left" vertical="center"/>
    </xf>
    <xf numFmtId="0" fontId="0" fillId="0" borderId="6" xfId="0" applyBorder="1">
      <alignment horizontal="left" vertical="center"/>
    </xf>
    <xf numFmtId="0" fontId="0" fillId="33" borderId="6" xfId="0" applyFill="1" applyBorder="1">
      <alignment horizontal="left" vertical="center"/>
    </xf>
    <xf numFmtId="0" fontId="2" fillId="0" borderId="0" xfId="0" applyFont="1">
      <alignment horizontal="left" vertical="center"/>
    </xf>
    <xf numFmtId="0" fontId="0" fillId="0" borderId="7" xfId="0" applyBorder="1">
      <alignment horizontal="left" vertical="center"/>
    </xf>
    <xf numFmtId="0" fontId="0" fillId="0" borderId="8" xfId="0" applyBorder="1">
      <alignment horizontal="left" vertical="center"/>
    </xf>
    <xf numFmtId="0" fontId="2" fillId="0" borderId="8" xfId="0" applyFont="1" applyBorder="1">
      <alignment horizontal="left" vertical="center"/>
    </xf>
    <xf numFmtId="0" fontId="0" fillId="33" borderId="6" xfId="0" applyFill="1" applyBorder="1" applyAlignment="1">
      <alignment vertical="center"/>
    </xf>
    <xf numFmtId="166" fontId="19" fillId="33" borderId="0" xfId="0" applyNumberFormat="1" applyFont="1" applyFill="1">
      <alignment horizontal="left" vertical="center"/>
    </xf>
    <xf numFmtId="166" fontId="19" fillId="33" borderId="9" xfId="0" applyNumberFormat="1" applyFont="1" applyFill="1" applyBorder="1">
      <alignment horizontal="left" vertical="center"/>
    </xf>
    <xf numFmtId="0" fontId="0" fillId="33" borderId="9" xfId="0" applyFill="1" applyBorder="1">
      <alignment horizontal="left" vertical="center"/>
    </xf>
    <xf numFmtId="0" fontId="0" fillId="33" borderId="10" xfId="0" applyFill="1" applyBorder="1">
      <alignment horizontal="left" vertical="center"/>
    </xf>
    <xf numFmtId="0" fontId="20" fillId="33" borderId="0" xfId="0" applyFont="1" applyFill="1">
      <alignment horizontal="left" vertical="center"/>
    </xf>
    <xf numFmtId="0" fontId="0" fillId="33" borderId="8" xfId="0" applyFill="1" applyBorder="1">
      <alignment horizontal="left" vertical="center"/>
    </xf>
    <xf numFmtId="0" fontId="0" fillId="33" borderId="6" xfId="0" applyFill="1" applyBorder="1" applyAlignment="1">
      <alignment horizontal="left" vertical="center" wrapText="1"/>
    </xf>
    <xf numFmtId="0" fontId="0" fillId="35" borderId="6" xfId="0" applyFill="1" applyBorder="1">
      <alignment horizontal="left" vertical="center"/>
    </xf>
    <xf numFmtId="168" fontId="0" fillId="33" borderId="0" xfId="0" applyNumberFormat="1" applyFill="1">
      <alignment horizontal="left" vertical="center"/>
    </xf>
    <xf numFmtId="14" fontId="0" fillId="37" borderId="0" xfId="0" applyNumberFormat="1" applyFill="1" applyAlignment="1">
      <alignment horizontal="center" vertical="center"/>
    </xf>
    <xf numFmtId="20" fontId="0" fillId="37" borderId="0" xfId="0" applyNumberFormat="1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166" fontId="0" fillId="37" borderId="0" xfId="0" applyNumberFormat="1" applyFill="1" applyAlignment="1">
      <alignment horizontal="center" vertical="center"/>
    </xf>
    <xf numFmtId="0" fontId="15" fillId="34" borderId="0" xfId="0" applyFont="1" applyFill="1" applyAlignment="1">
      <alignment horizontal="center" vertical="center"/>
    </xf>
    <xf numFmtId="0" fontId="3" fillId="34" borderId="0" xfId="0" applyFont="1" applyFill="1" applyAlignment="1">
      <alignment horizontal="center" vertical="center"/>
    </xf>
    <xf numFmtId="167" fontId="15" fillId="36" borderId="0" xfId="0" applyNumberFormat="1" applyFont="1" applyFill="1" applyAlignment="1">
      <alignment horizontal="center" vertical="center"/>
    </xf>
    <xf numFmtId="169" fontId="0" fillId="37" borderId="0" xfId="0" applyNumberFormat="1" applyFill="1" applyAlignment="1">
      <alignment horizontal="center" vertical="center"/>
    </xf>
    <xf numFmtId="11" fontId="0" fillId="33" borderId="0" xfId="0" applyNumberFormat="1" applyFill="1">
      <alignment horizontal="left" vertical="center"/>
    </xf>
    <xf numFmtId="168" fontId="0" fillId="0" borderId="0" xfId="0" applyNumberFormat="1">
      <alignment horizontal="left" vertical="center"/>
    </xf>
    <xf numFmtId="0" fontId="21" fillId="33" borderId="0" xfId="0" applyFont="1" applyFill="1">
      <alignment horizontal="left" vertical="center"/>
    </xf>
    <xf numFmtId="0" fontId="22" fillId="33" borderId="0" xfId="0" applyFont="1" applyFill="1">
      <alignment horizontal="left" vertical="center"/>
    </xf>
    <xf numFmtId="168" fontId="22" fillId="33" borderId="0" xfId="0" applyNumberFormat="1" applyFont="1" applyFill="1">
      <alignment horizontal="left" vertical="center"/>
    </xf>
    <xf numFmtId="0" fontId="2" fillId="33" borderId="0" xfId="0" applyFont="1" applyFill="1" applyAlignment="1">
      <alignment horizontal="left"/>
    </xf>
    <xf numFmtId="0" fontId="0" fillId="33" borderId="0" xfId="0" applyFill="1" applyAlignment="1">
      <alignment horizontal="left"/>
    </xf>
    <xf numFmtId="167" fontId="21" fillId="33" borderId="0" xfId="0" applyNumberFormat="1" applyFont="1" applyFill="1" applyAlignment="1">
      <alignment vertical="center"/>
    </xf>
    <xf numFmtId="11" fontId="0" fillId="33" borderId="6" xfId="0" applyNumberFormat="1" applyFill="1" applyBorder="1">
      <alignment horizontal="left" vertical="center"/>
    </xf>
    <xf numFmtId="167" fontId="21" fillId="33" borderId="0" xfId="0" applyNumberFormat="1" applyFont="1" applyFill="1" applyAlignment="1">
      <alignment horizontal="center" vertical="center"/>
    </xf>
    <xf numFmtId="0" fontId="0" fillId="35" borderId="0" xfId="0" applyFill="1">
      <alignment horizontal="left" vertical="center"/>
    </xf>
    <xf numFmtId="11" fontId="0" fillId="33" borderId="0" xfId="0" applyNumberFormat="1" applyFill="1" applyAlignment="1">
      <alignment horizontal="left"/>
    </xf>
    <xf numFmtId="9" fontId="0" fillId="33" borderId="6" xfId="32" applyFont="1" applyFill="1" applyBorder="1" applyAlignment="1">
      <alignment horizontal="left" vertical="center"/>
    </xf>
    <xf numFmtId="2" fontId="0" fillId="33" borderId="6" xfId="0" applyNumberFormat="1" applyFill="1" applyBorder="1">
      <alignment horizontal="left" vertical="center"/>
    </xf>
    <xf numFmtId="167" fontId="23" fillId="36" borderId="0" xfId="0" applyNumberFormat="1" applyFont="1" applyFill="1" applyAlignment="1">
      <alignment horizontal="center" vertical="center"/>
    </xf>
    <xf numFmtId="14" fontId="24" fillId="37" borderId="0" xfId="0" applyNumberFormat="1" applyFont="1" applyFill="1" applyAlignment="1">
      <alignment horizontal="center" vertical="center"/>
    </xf>
    <xf numFmtId="0" fontId="15" fillId="34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166" fontId="0" fillId="33" borderId="0" xfId="0" applyNumberFormat="1" applyFill="1" applyAlignment="1">
      <alignment horizontal="center" vertical="center"/>
    </xf>
    <xf numFmtId="166" fontId="0" fillId="33" borderId="9" xfId="0" applyNumberFormat="1" applyFill="1" applyBorder="1" applyAlignment="1">
      <alignment horizontal="center" vertical="center"/>
    </xf>
    <xf numFmtId="167" fontId="2" fillId="33" borderId="0" xfId="0" applyNumberFormat="1" applyFont="1" applyFill="1" applyAlignment="1">
      <alignment horizontal="center" vertical="center"/>
    </xf>
    <xf numFmtId="167" fontId="2" fillId="33" borderId="9" xfId="0" applyNumberFormat="1" applyFont="1" applyFill="1" applyBorder="1" applyAlignment="1">
      <alignment horizontal="center" vertical="center"/>
    </xf>
    <xf numFmtId="167" fontId="21" fillId="33" borderId="0" xfId="0" applyNumberFormat="1" applyFont="1" applyFill="1" applyAlignment="1">
      <alignment vertical="center"/>
    </xf>
    <xf numFmtId="0" fontId="2" fillId="33" borderId="0" xfId="0" applyFont="1" applyFill="1">
      <alignment horizontal="left" vertical="center"/>
    </xf>
  </cellXfs>
  <cellStyles count="50">
    <cellStyle name="20 % - Accent1" xfId="15" builtinId="30" customBuiltin="1"/>
    <cellStyle name="20 % - Accent2" xfId="44" builtinId="34" customBuiltin="1"/>
    <cellStyle name="20 % - Accent3" xfId="21" builtinId="38" customBuiltin="1"/>
    <cellStyle name="20 % - Accent4" xfId="7" builtinId="42" customBuiltin="1"/>
    <cellStyle name="20 % - Accent5" xfId="47" builtinId="46" customBuiltin="1"/>
    <cellStyle name="20 % - Accent6" xfId="11" builtinId="50" customBuiltin="1"/>
    <cellStyle name="40 % - Accent1" xfId="16" builtinId="31" customBuiltin="1"/>
    <cellStyle name="40 % - Accent2" xfId="19" builtinId="35" customBuiltin="1"/>
    <cellStyle name="40 % - Accent3" xfId="22" builtinId="39" customBuiltin="1"/>
    <cellStyle name="40 % - Accent4" xfId="8" builtinId="43" customBuiltin="1"/>
    <cellStyle name="40 % - Accent5" xfId="24" builtinId="47" customBuiltin="1"/>
    <cellStyle name="40 % - Accent6" xfId="12" builtinId="51" customBuiltin="1"/>
    <cellStyle name="60 % - Accent1" xfId="17" builtinId="32" customBuiltin="1"/>
    <cellStyle name="60 % - Accent2" xfId="45" builtinId="36" customBuiltin="1"/>
    <cellStyle name="60 % - Accent3" xfId="23" builtinId="40" customBuiltin="1"/>
    <cellStyle name="60 % - Accent4" xfId="9" builtinId="44" customBuiltin="1"/>
    <cellStyle name="60 % - Accent5" xfId="48" builtinId="48" customBuiltin="1"/>
    <cellStyle name="60 % - Accent6" xfId="13" builtinId="52" customBuiltin="1"/>
    <cellStyle name="Accent1" xfId="14" builtinId="29" customBuiltin="1"/>
    <cellStyle name="Accent2" xfId="18" builtinId="33" customBuiltin="1"/>
    <cellStyle name="Accent3" xfId="20" builtinId="37" customBuiltin="1"/>
    <cellStyle name="Accent4" xfId="6" builtinId="41" customBuiltin="1"/>
    <cellStyle name="Accent5" xfId="46" builtinId="45" customBuiltin="1"/>
    <cellStyle name="Accent6" xfId="10" builtinId="49" customBuiltin="1"/>
    <cellStyle name="Avertissement" xfId="41" builtinId="11" customBuiltin="1"/>
    <cellStyle name="Calcul" xfId="38" builtinId="22" customBuiltin="1"/>
    <cellStyle name="Cellule liée" xfId="39" builtinId="24" customBuiltin="1"/>
    <cellStyle name="Employé" xfId="26" xr:uid="{00000000-0005-0000-0000-00001B000000}"/>
    <cellStyle name="Entrée" xfId="36" builtinId="20" customBuiltin="1"/>
    <cellStyle name="Étiquette" xfId="27" xr:uid="{00000000-0005-0000-0000-00001D000000}"/>
    <cellStyle name="Insatisfaisant" xfId="34" builtinId="27" customBuiltin="1"/>
    <cellStyle name="Milliers" xfId="28" builtinId="3" customBuiltin="1"/>
    <cellStyle name="Milliers [0]" xfId="29" builtinId="6" customBuiltin="1"/>
    <cellStyle name="Monétaire" xfId="30" builtinId="4" customBuiltin="1"/>
    <cellStyle name="Monétaire [0]" xfId="31" builtinId="7" customBuiltin="1"/>
    <cellStyle name="Neutre" xfId="35" builtinId="28" customBuiltin="1"/>
    <cellStyle name="Normal" xfId="0" builtinId="0" customBuiltin="1"/>
    <cellStyle name="Normal 2" xfId="49" xr:uid="{00000000-0005-0000-0000-000025000000}"/>
    <cellStyle name="Note" xfId="42" builtinId="10" customBuiltin="1"/>
    <cellStyle name="Pourcentage" xfId="32" builtinId="5" customBuiltin="1"/>
    <cellStyle name="Satisfaisant" xfId="33" builtinId="26" customBuiltin="1"/>
    <cellStyle name="Sortie" xfId="37" builtinId="21" customBuiltin="1"/>
    <cellStyle name="Texte explicatif" xfId="43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25" builtinId="25" customBuiltin="1"/>
    <cellStyle name="Vérification" xfId="40" builtinId="23" customBuiltin="1"/>
  </cellStyles>
  <dxfs count="120"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1" tint="0.49998474074526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6" tint="0.79998168889431442"/>
        </patternFill>
      </fill>
      <border diagonalUp="0" diagonalDown="0">
        <left/>
        <right/>
        <top style="thin">
          <color theme="0" tint="-0.14996795556505021"/>
        </top>
        <bottom style="medium">
          <color theme="2" tint="-0.499984740745262"/>
        </bottom>
        <vertical/>
        <horizontal/>
      </border>
    </dxf>
    <dxf>
      <font>
        <color theme="1"/>
      </font>
      <fill>
        <patternFill patternType="solid">
          <bgColor theme="6" tint="0.79998168889431442"/>
        </patternFill>
      </fill>
      <border diagonalUp="0" diagonalDown="0">
        <left/>
        <right/>
        <top style="thin">
          <color theme="0" tint="-0.14993743705557422"/>
        </top>
        <bottom style="medium">
          <color theme="2" tint="-0.499984740745262"/>
        </bottom>
        <vertical/>
        <horizontal style="thin">
          <color theme="0" tint="-0.14993743705557422"/>
        </horizontal>
      </border>
    </dxf>
    <dxf>
      <font>
        <color theme="1"/>
      </font>
      <fill>
        <patternFill patternType="solid">
          <bgColor theme="2"/>
        </patternFill>
      </fill>
      <border diagonalUp="0" diagonalDown="0">
        <left/>
        <right/>
        <top/>
        <bottom style="thin">
          <color theme="0" tint="-0.14996795556505021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 style="thin">
          <color theme="0" tint="-0.14996795556505021"/>
        </top>
        <bottom style="thin">
          <color theme="0" tint="-0.14993743705557422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vertical style="thin">
          <color theme="0"/>
        </vertical>
      </border>
    </dxf>
    <dxf>
      <fill>
        <patternFill>
          <bgColor theme="0" tint="-4.9989318521683403E-2"/>
        </patternFill>
      </fill>
      <border>
        <left style="thin">
          <color theme="0"/>
        </left>
        <right style="thin">
          <color theme="0"/>
        </right>
        <vertical style="thin">
          <color theme="0"/>
        </vertical>
      </border>
    </dxf>
    <dxf>
      <fill>
        <patternFill>
          <bgColor theme="0" tint="-0.14996795556505021"/>
        </patternFill>
      </fill>
    </dxf>
    <dxf>
      <fill>
        <patternFill patternType="solid">
          <fgColor theme="4" tint="0.79992065187536243"/>
          <bgColor theme="0" tint="-4.9989318521683403E-2"/>
        </patternFill>
      </fill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color theme="1"/>
      </font>
      <fill>
        <patternFill patternType="none">
          <bgColor auto="1"/>
        </patternFill>
      </fill>
      <border>
        <left/>
        <right/>
        <top style="thin">
          <color theme="2" tint="-9.9917600024414813E-2"/>
        </top>
        <bottom style="thin">
          <color theme="2" tint="-9.9948118533890809E-2"/>
        </bottom>
        <vertical/>
        <horizontal style="thin">
          <color theme="2" tint="-9.9917600024414813E-2"/>
        </horizontal>
      </border>
    </dxf>
    <dxf>
      <font>
        <color theme="1"/>
      </font>
      <fill>
        <patternFill>
          <bgColor theme="6" tint="0.79998168889431442"/>
        </patternFill>
      </fill>
      <border diagonalUp="0" diagonalDown="0">
        <left style="thin">
          <color theme="0"/>
        </left>
        <right style="thin">
          <color theme="0"/>
        </right>
        <top/>
        <bottom style="medium">
          <color theme="2" tint="-0.499984740745262"/>
        </bottom>
        <vertical style="thin">
          <color theme="0"/>
        </vertical>
        <horizontal/>
      </border>
    </dxf>
    <dxf>
      <font>
        <color theme="0"/>
      </font>
      <fill>
        <patternFill>
          <bgColor theme="3"/>
        </patternFill>
      </fill>
    </dxf>
    <dxf>
      <font>
        <color theme="1"/>
      </font>
      <border diagonalUp="0" diagonalDown="0">
        <left/>
        <right/>
        <top/>
        <bottom/>
        <vertical style="thin">
          <color theme="0"/>
        </vertical>
        <horizontal/>
      </border>
    </dxf>
  </dxfs>
  <tableStyles count="1" defaultPivotStyle="PivotStyleLight16">
    <tableStyle name="Tableau des absences des employés" pivot="0" count="13" xr9:uid="{00000000-0011-0000-FFFF-FFFF00000000}">
      <tableStyleElement type="wholeTable" dxfId="119"/>
      <tableStyleElement type="headerRow" dxfId="118"/>
      <tableStyleElement type="totalRow" dxfId="117"/>
      <tableStyleElement type="firstColumn" dxfId="116"/>
      <tableStyleElement type="lastColumn" dxfId="115"/>
      <tableStyleElement type="firstRowStripe" dxfId="114"/>
      <tableStyleElement type="secondRowStripe" dxfId="113"/>
      <tableStyleElement type="firstColumnStripe" dxfId="112"/>
      <tableStyleElement type="secondColumnStripe" dxfId="111"/>
      <tableStyleElement type="firstHeaderCell" dxfId="110"/>
      <tableStyleElement type="lastHeaderCell" dxfId="109"/>
      <tableStyleElement type="firstTotalCell" dxfId="108"/>
      <tableStyleElement type="lastTotalCell" dxfId="107"/>
    </tableStyle>
  </tableStyles>
  <colors>
    <mruColors>
      <color rgb="FFEE8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Employee Absense Schedule">
      <a:dk1>
        <a:sysClr val="windowText" lastClr="000000"/>
      </a:dk1>
      <a:lt1>
        <a:sysClr val="window" lastClr="FFFFFF"/>
      </a:lt1>
      <a:dk2>
        <a:srgbClr val="4B180E"/>
      </a:dk2>
      <a:lt2>
        <a:srgbClr val="F1F2E8"/>
      </a:lt2>
      <a:accent1>
        <a:srgbClr val="A53423"/>
      </a:accent1>
      <a:accent2>
        <a:srgbClr val="E68130"/>
      </a:accent2>
      <a:accent3>
        <a:srgbClr val="9BB05D"/>
      </a:accent3>
      <a:accent4>
        <a:srgbClr val="CC9900"/>
      </a:accent4>
      <a:accent5>
        <a:srgbClr val="4F66AF"/>
      </a:accent5>
      <a:accent6>
        <a:srgbClr val="D0D2D3"/>
      </a:accent6>
      <a:hlink>
        <a:srgbClr val="4F66AF"/>
      </a:hlink>
      <a:folHlink>
        <a:srgbClr val="6B9AC6"/>
      </a:folHlink>
    </a:clrScheme>
    <a:fontScheme name="Employee Absence Schedule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P48"/>
  <sheetViews>
    <sheetView showGridLines="0" zoomScale="70" zoomScaleNormal="70" workbookViewId="0">
      <selection activeCell="N35" sqref="N35"/>
    </sheetView>
  </sheetViews>
  <sheetFormatPr baseColWidth="10" defaultRowHeight="15" x14ac:dyDescent="0.25"/>
  <cols>
    <col min="1" max="1" width="10.85546875" customWidth="1"/>
    <col min="2" max="3" width="25.5703125" customWidth="1"/>
    <col min="4" max="5" width="24.5703125" customWidth="1"/>
    <col min="6" max="6" width="6.5703125" customWidth="1"/>
    <col min="7" max="7" width="10.5703125" customWidth="1"/>
    <col min="8" max="8" width="20.5703125" customWidth="1"/>
    <col min="9" max="9" width="26.5703125" customWidth="1"/>
    <col min="10" max="10" width="19.140625" customWidth="1"/>
    <col min="11" max="11" width="17.7109375" customWidth="1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2" t="s">
        <v>0</v>
      </c>
      <c r="C2" s="27">
        <f>PLANNING!C2</f>
        <v>45921</v>
      </c>
      <c r="D2" s="3"/>
      <c r="E2" s="1"/>
      <c r="F2" s="1"/>
      <c r="G2" s="34" t="s">
        <v>27</v>
      </c>
      <c r="H2" s="34" t="s">
        <v>28</v>
      </c>
      <c r="I2" s="34" t="s">
        <v>29</v>
      </c>
      <c r="J2" s="34" t="s">
        <v>30</v>
      </c>
      <c r="K2" s="1"/>
      <c r="L2" s="1"/>
      <c r="M2" s="1"/>
      <c r="N2" s="1"/>
      <c r="O2" s="1"/>
      <c r="P2" s="1"/>
    </row>
    <row r="3" spans="1:16" x14ac:dyDescent="0.25">
      <c r="A3" s="1"/>
      <c r="B3" s="1"/>
      <c r="C3" s="1"/>
      <c r="D3" s="1"/>
      <c r="E3" s="1"/>
      <c r="F3" s="1"/>
      <c r="G3" s="35" t="s">
        <v>6</v>
      </c>
      <c r="H3" s="35" t="s">
        <v>41</v>
      </c>
      <c r="I3" s="35"/>
      <c r="J3" s="35"/>
      <c r="K3" s="1"/>
      <c r="L3" s="1"/>
      <c r="M3" s="1"/>
      <c r="N3" s="1"/>
      <c r="O3" s="1"/>
      <c r="P3" s="1"/>
    </row>
    <row r="4" spans="1:16" x14ac:dyDescent="0.25">
      <c r="A4" s="1"/>
      <c r="B4" s="2" t="s">
        <v>7</v>
      </c>
      <c r="C4" s="27">
        <f>PLANNING!C4</f>
        <v>45927</v>
      </c>
      <c r="D4" s="2"/>
      <c r="E4" s="1"/>
      <c r="F4" s="1"/>
      <c r="G4" s="35" t="s">
        <v>4</v>
      </c>
      <c r="H4" s="35" t="s">
        <v>42</v>
      </c>
      <c r="I4" s="35"/>
      <c r="J4" s="35"/>
      <c r="K4" s="1"/>
      <c r="L4" s="1"/>
      <c r="M4" s="1"/>
      <c r="N4" s="1"/>
      <c r="O4" s="1"/>
      <c r="P4" s="1"/>
    </row>
    <row r="5" spans="1:16" x14ac:dyDescent="0.25">
      <c r="A5" s="1"/>
      <c r="B5" s="1"/>
      <c r="C5" s="1"/>
      <c r="D5" s="16"/>
      <c r="E5" s="1"/>
      <c r="F5" s="1"/>
      <c r="G5" s="35"/>
      <c r="H5" s="35"/>
      <c r="I5" s="35"/>
      <c r="J5" s="35"/>
      <c r="K5" s="1"/>
      <c r="L5" s="1"/>
      <c r="M5" s="1"/>
      <c r="N5" s="1"/>
      <c r="O5" s="1"/>
      <c r="P5" s="1"/>
    </row>
    <row r="6" spans="1:16" x14ac:dyDescent="0.25">
      <c r="A6" s="1"/>
      <c r="B6" s="2" t="s">
        <v>8</v>
      </c>
      <c r="C6" s="2" t="str">
        <f>TEXT(C4-C2+1,"j"" jours""")</f>
        <v>7 jours</v>
      </c>
      <c r="D6" s="16"/>
      <c r="E6" s="1"/>
      <c r="F6" s="1"/>
      <c r="G6" s="35"/>
      <c r="H6" s="35"/>
      <c r="I6" s="35"/>
      <c r="J6" s="35"/>
      <c r="K6" s="1"/>
      <c r="L6" s="1"/>
      <c r="M6" s="1"/>
      <c r="N6" s="1"/>
      <c r="O6" s="1"/>
      <c r="P6" s="1"/>
    </row>
    <row r="7" spans="1:16" x14ac:dyDescent="0.25">
      <c r="A7" s="1"/>
      <c r="B7" s="1"/>
      <c r="C7" s="1"/>
      <c r="D7" s="1"/>
      <c r="E7" s="1"/>
      <c r="F7" s="1"/>
      <c r="G7" s="35"/>
      <c r="H7" s="35"/>
      <c r="I7" s="35"/>
      <c r="J7" s="35"/>
      <c r="K7" s="1"/>
      <c r="L7" s="1"/>
      <c r="M7" s="1"/>
      <c r="N7" s="1"/>
      <c r="O7" s="1"/>
      <c r="P7" s="1"/>
    </row>
    <row r="8" spans="1:16" x14ac:dyDescent="0.25">
      <c r="A8" s="1"/>
      <c r="B8" s="2" t="s">
        <v>24</v>
      </c>
      <c r="C8" s="2">
        <f>COUNTA(B15:B43)</f>
        <v>14</v>
      </c>
      <c r="D8" s="1"/>
      <c r="E8" s="1"/>
      <c r="F8" s="1"/>
      <c r="G8" s="35"/>
      <c r="H8" s="35"/>
      <c r="I8" s="35"/>
      <c r="J8" s="35"/>
      <c r="K8" s="1"/>
      <c r="L8" s="1"/>
      <c r="M8" s="1"/>
      <c r="N8" s="1"/>
      <c r="O8" s="1"/>
      <c r="P8" s="1"/>
    </row>
    <row r="9" spans="1:1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B10" s="7"/>
      <c r="C10" s="7"/>
    </row>
    <row r="11" spans="1:16" x14ac:dyDescent="0.25">
      <c r="B11" s="7"/>
      <c r="C11" s="7"/>
    </row>
    <row r="12" spans="1:16" x14ac:dyDescent="0.25">
      <c r="B12" s="45" t="s">
        <v>39</v>
      </c>
      <c r="C12" s="45"/>
      <c r="D12" s="45"/>
      <c r="E12" s="45"/>
      <c r="G12" s="46" t="s">
        <v>38</v>
      </c>
      <c r="H12" s="46"/>
      <c r="I12" s="46"/>
    </row>
    <row r="14" spans="1:16" x14ac:dyDescent="0.25">
      <c r="B14" s="25" t="s">
        <v>40</v>
      </c>
      <c r="C14" s="25" t="s">
        <v>22</v>
      </c>
      <c r="D14" s="25" t="s">
        <v>23</v>
      </c>
      <c r="E14" s="25" t="s">
        <v>25</v>
      </c>
      <c r="G14" s="31" t="s">
        <v>40</v>
      </c>
      <c r="H14" s="2" t="s">
        <v>20</v>
      </c>
      <c r="I14" s="2" t="s">
        <v>21</v>
      </c>
      <c r="K14" s="7" t="s">
        <v>63</v>
      </c>
    </row>
    <row r="15" spans="1:16" ht="15.75" x14ac:dyDescent="0.25">
      <c r="B15" s="26" t="s">
        <v>4</v>
      </c>
      <c r="C15" s="44">
        <v>45921</v>
      </c>
      <c r="D15" s="22">
        <v>3.4722222222222224E-2</v>
      </c>
      <c r="E15" s="28">
        <v>1.3888888888888888E-2</v>
      </c>
      <c r="G15" s="32" t="str">
        <f>IF($B15 &lt;&gt; "", $B15, "")</f>
        <v>M1</v>
      </c>
      <c r="H15" s="33">
        <f>IF(AND($C15 &lt;&gt; "", $D15 &lt;&gt; ""), $C15+ $D15, "")</f>
        <v>45921.034722222219</v>
      </c>
      <c r="I15" s="33">
        <f>IF($H15 &lt;&gt; "", $H15 + $E15, "")</f>
        <v>45921.048611111109</v>
      </c>
    </row>
    <row r="16" spans="1:16" ht="15.75" x14ac:dyDescent="0.25">
      <c r="B16" s="26" t="s">
        <v>4</v>
      </c>
      <c r="C16" s="44">
        <v>45921</v>
      </c>
      <c r="D16" s="22">
        <v>0.57638888888888884</v>
      </c>
      <c r="E16" s="28">
        <v>1.3888888888888888E-2</v>
      </c>
      <c r="G16" s="32" t="str">
        <f t="shared" ref="G16:G43" si="0">IF($B16 &lt;&gt; "", $B16, "")</f>
        <v>M1</v>
      </c>
      <c r="H16" s="33">
        <f t="shared" ref="H16:H43" si="1">IF(AND($C16 &lt;&gt; "", $D16 &lt;&gt; ""), $C16+ $D16, "")</f>
        <v>45921.576388888891</v>
      </c>
      <c r="I16" s="33">
        <f t="shared" ref="I16:I43" si="2">IF($H16 &lt;&gt; "", $H16 + $E16, "")</f>
        <v>45921.590277777781</v>
      </c>
    </row>
    <row r="17" spans="2:9" ht="15.75" x14ac:dyDescent="0.25">
      <c r="B17" s="26" t="s">
        <v>4</v>
      </c>
      <c r="C17" s="44">
        <v>45922</v>
      </c>
      <c r="D17" s="22">
        <v>3.4722222222222224E-2</v>
      </c>
      <c r="E17" s="28">
        <v>1.3888888888888888E-2</v>
      </c>
      <c r="G17" s="32" t="str">
        <f t="shared" si="0"/>
        <v>M1</v>
      </c>
      <c r="H17" s="33">
        <f t="shared" si="1"/>
        <v>45922.034722222219</v>
      </c>
      <c r="I17" s="33">
        <f t="shared" si="2"/>
        <v>45922.048611111109</v>
      </c>
    </row>
    <row r="18" spans="2:9" ht="15.75" x14ac:dyDescent="0.25">
      <c r="B18" s="26" t="s">
        <v>4</v>
      </c>
      <c r="C18" s="44">
        <v>45922</v>
      </c>
      <c r="D18" s="22">
        <v>0.57638888888888884</v>
      </c>
      <c r="E18" s="28">
        <v>1.3888888888888888E-2</v>
      </c>
      <c r="G18" s="32" t="str">
        <f t="shared" si="0"/>
        <v>M1</v>
      </c>
      <c r="H18" s="33">
        <f t="shared" si="1"/>
        <v>45922.576388888891</v>
      </c>
      <c r="I18" s="33">
        <f t="shared" si="2"/>
        <v>45922.590277777781</v>
      </c>
    </row>
    <row r="19" spans="2:9" ht="15.75" x14ac:dyDescent="0.25">
      <c r="B19" s="26" t="s">
        <v>4</v>
      </c>
      <c r="C19" s="44">
        <v>45923</v>
      </c>
      <c r="D19" s="22">
        <v>3.4722222222222224E-2</v>
      </c>
      <c r="E19" s="28">
        <v>1.3888888888888888E-2</v>
      </c>
      <c r="G19" s="32" t="str">
        <f t="shared" si="0"/>
        <v>M1</v>
      </c>
      <c r="H19" s="33">
        <f t="shared" si="1"/>
        <v>45923.034722222219</v>
      </c>
      <c r="I19" s="33">
        <f t="shared" si="2"/>
        <v>45923.048611111109</v>
      </c>
    </row>
    <row r="20" spans="2:9" ht="15.75" x14ac:dyDescent="0.25">
      <c r="B20" s="26" t="s">
        <v>4</v>
      </c>
      <c r="C20" s="44">
        <v>45923</v>
      </c>
      <c r="D20" s="22">
        <v>0.57638888888888884</v>
      </c>
      <c r="E20" s="28">
        <v>1.3888888888888888E-2</v>
      </c>
      <c r="G20" s="32" t="str">
        <f t="shared" si="0"/>
        <v>M1</v>
      </c>
      <c r="H20" s="33">
        <f t="shared" si="1"/>
        <v>45923.576388888891</v>
      </c>
      <c r="I20" s="33">
        <f t="shared" si="2"/>
        <v>45923.590277777781</v>
      </c>
    </row>
    <row r="21" spans="2:9" ht="15.75" x14ac:dyDescent="0.25">
      <c r="B21" s="26" t="s">
        <v>4</v>
      </c>
      <c r="C21" s="44">
        <v>45925</v>
      </c>
      <c r="D21" s="22">
        <v>3.4722222222222224E-2</v>
      </c>
      <c r="E21" s="28">
        <v>1.3888888888888888E-2</v>
      </c>
      <c r="G21" s="32" t="str">
        <f t="shared" si="0"/>
        <v>M1</v>
      </c>
      <c r="H21" s="33">
        <f t="shared" si="1"/>
        <v>45925.034722222219</v>
      </c>
      <c r="I21" s="33">
        <f t="shared" si="2"/>
        <v>45925.048611111109</v>
      </c>
    </row>
    <row r="22" spans="2:9" ht="15.75" x14ac:dyDescent="0.25">
      <c r="B22" s="26" t="s">
        <v>4</v>
      </c>
      <c r="C22" s="44">
        <v>45925</v>
      </c>
      <c r="D22" s="22">
        <v>0.29166666666666669</v>
      </c>
      <c r="E22" s="28">
        <v>1.3888888888888888E-2</v>
      </c>
      <c r="G22" s="32" t="str">
        <f t="shared" si="0"/>
        <v>M1</v>
      </c>
      <c r="H22" s="33">
        <f t="shared" si="1"/>
        <v>45925.291666666664</v>
      </c>
      <c r="I22" s="33">
        <f t="shared" si="2"/>
        <v>45925.305555555555</v>
      </c>
    </row>
    <row r="23" spans="2:9" ht="15.75" x14ac:dyDescent="0.25">
      <c r="B23" s="26" t="s">
        <v>4</v>
      </c>
      <c r="C23" s="44">
        <v>45925</v>
      </c>
      <c r="D23" s="22">
        <v>0.57638888888888884</v>
      </c>
      <c r="E23" s="28">
        <v>1.3888888888888888E-2</v>
      </c>
      <c r="G23" s="32" t="str">
        <f t="shared" si="0"/>
        <v>M1</v>
      </c>
      <c r="H23" s="33">
        <f t="shared" si="1"/>
        <v>45925.576388888891</v>
      </c>
      <c r="I23" s="33">
        <f t="shared" si="2"/>
        <v>45925.590277777781</v>
      </c>
    </row>
    <row r="24" spans="2:9" ht="15.75" x14ac:dyDescent="0.25">
      <c r="B24" s="26" t="s">
        <v>4</v>
      </c>
      <c r="C24" s="44">
        <v>45925</v>
      </c>
      <c r="D24" s="22">
        <v>0.70833333333333337</v>
      </c>
      <c r="E24" s="28">
        <v>1.3888888888888888E-2</v>
      </c>
      <c r="G24" s="32" t="str">
        <f t="shared" si="0"/>
        <v>M1</v>
      </c>
      <c r="H24" s="33">
        <f t="shared" si="1"/>
        <v>45925.708333333336</v>
      </c>
      <c r="I24" s="33">
        <f t="shared" si="2"/>
        <v>45925.722222222226</v>
      </c>
    </row>
    <row r="25" spans="2:9" ht="15.75" x14ac:dyDescent="0.25">
      <c r="B25" s="26" t="s">
        <v>4</v>
      </c>
      <c r="C25" s="44">
        <v>45926</v>
      </c>
      <c r="D25" s="22">
        <v>3.4722222222222224E-2</v>
      </c>
      <c r="E25" s="28">
        <v>1.3888888888888888E-2</v>
      </c>
      <c r="G25" s="32" t="str">
        <f t="shared" si="0"/>
        <v>M1</v>
      </c>
      <c r="H25" s="33">
        <f t="shared" si="1"/>
        <v>45926.034722222219</v>
      </c>
      <c r="I25" s="33">
        <f t="shared" si="2"/>
        <v>45926.048611111109</v>
      </c>
    </row>
    <row r="26" spans="2:9" ht="15.75" x14ac:dyDescent="0.25">
      <c r="B26" s="26" t="s">
        <v>4</v>
      </c>
      <c r="C26" s="44">
        <v>45926</v>
      </c>
      <c r="D26" s="22">
        <v>0.57638888888888884</v>
      </c>
      <c r="E26" s="28">
        <v>1.3888888888888888E-2</v>
      </c>
      <c r="G26" s="32" t="str">
        <f t="shared" si="0"/>
        <v>M1</v>
      </c>
      <c r="H26" s="33">
        <f t="shared" si="1"/>
        <v>45926.576388888891</v>
      </c>
      <c r="I26" s="33">
        <f t="shared" si="2"/>
        <v>45926.590277777781</v>
      </c>
    </row>
    <row r="27" spans="2:9" ht="15.75" x14ac:dyDescent="0.25">
      <c r="B27" s="26" t="s">
        <v>4</v>
      </c>
      <c r="C27" s="44">
        <v>45927</v>
      </c>
      <c r="D27" s="22">
        <v>3.4722222222222224E-2</v>
      </c>
      <c r="E27" s="28">
        <v>1.3888888888888888E-2</v>
      </c>
      <c r="G27" s="32" t="str">
        <f t="shared" si="0"/>
        <v>M1</v>
      </c>
      <c r="H27" s="33">
        <f t="shared" si="1"/>
        <v>45927.034722222219</v>
      </c>
      <c r="I27" s="33">
        <f t="shared" si="2"/>
        <v>45927.048611111109</v>
      </c>
    </row>
    <row r="28" spans="2:9" ht="15.75" x14ac:dyDescent="0.25">
      <c r="B28" s="26" t="s">
        <v>4</v>
      </c>
      <c r="C28" s="44">
        <v>45927</v>
      </c>
      <c r="D28" s="22">
        <v>0.57638888888888884</v>
      </c>
      <c r="E28" s="28">
        <v>1.3888888888888888E-2</v>
      </c>
      <c r="G28" s="32" t="str">
        <f t="shared" si="0"/>
        <v>M1</v>
      </c>
      <c r="H28" s="33">
        <f t="shared" si="1"/>
        <v>45927.576388888891</v>
      </c>
      <c r="I28" s="33">
        <f t="shared" si="2"/>
        <v>45927.590277777781</v>
      </c>
    </row>
    <row r="29" spans="2:9" x14ac:dyDescent="0.25">
      <c r="B29" s="26"/>
      <c r="C29" s="21"/>
      <c r="D29" s="22"/>
      <c r="E29" s="28"/>
      <c r="G29" s="32" t="str">
        <f t="shared" si="0"/>
        <v/>
      </c>
      <c r="H29" s="33" t="str">
        <f t="shared" si="1"/>
        <v/>
      </c>
      <c r="I29" s="33" t="str">
        <f t="shared" si="2"/>
        <v/>
      </c>
    </row>
    <row r="30" spans="2:9" x14ac:dyDescent="0.25">
      <c r="B30" s="26"/>
      <c r="C30" s="21"/>
      <c r="D30" s="22"/>
      <c r="E30" s="28"/>
      <c r="G30" s="32" t="str">
        <f t="shared" si="0"/>
        <v/>
      </c>
      <c r="H30" s="33" t="str">
        <f t="shared" si="1"/>
        <v/>
      </c>
      <c r="I30" s="33" t="str">
        <f t="shared" si="2"/>
        <v/>
      </c>
    </row>
    <row r="31" spans="2:9" x14ac:dyDescent="0.25">
      <c r="B31" s="26"/>
      <c r="C31" s="21"/>
      <c r="D31" s="22"/>
      <c r="E31" s="28"/>
      <c r="G31" s="32" t="str">
        <f t="shared" si="0"/>
        <v/>
      </c>
      <c r="H31" s="33" t="str">
        <f t="shared" si="1"/>
        <v/>
      </c>
      <c r="I31" s="33" t="str">
        <f t="shared" si="2"/>
        <v/>
      </c>
    </row>
    <row r="32" spans="2:9" x14ac:dyDescent="0.25">
      <c r="B32" s="26"/>
      <c r="C32" s="21"/>
      <c r="D32" s="22"/>
      <c r="E32" s="28"/>
      <c r="G32" s="32" t="str">
        <f t="shared" si="0"/>
        <v/>
      </c>
      <c r="H32" s="33" t="str">
        <f t="shared" si="1"/>
        <v/>
      </c>
      <c r="I32" s="33" t="str">
        <f t="shared" si="2"/>
        <v/>
      </c>
    </row>
    <row r="33" spans="2:9" x14ac:dyDescent="0.25">
      <c r="B33" s="26"/>
      <c r="C33" s="21"/>
      <c r="D33" s="22"/>
      <c r="E33" s="28"/>
      <c r="G33" s="32" t="str">
        <f t="shared" si="0"/>
        <v/>
      </c>
      <c r="H33" s="33" t="str">
        <f t="shared" si="1"/>
        <v/>
      </c>
      <c r="I33" s="33" t="str">
        <f t="shared" si="2"/>
        <v/>
      </c>
    </row>
    <row r="34" spans="2:9" x14ac:dyDescent="0.25">
      <c r="B34" s="26"/>
      <c r="C34" s="21"/>
      <c r="D34" s="22"/>
      <c r="E34" s="28"/>
      <c r="G34" s="32" t="str">
        <f t="shared" si="0"/>
        <v/>
      </c>
      <c r="H34" s="33" t="str">
        <f t="shared" si="1"/>
        <v/>
      </c>
      <c r="I34" s="33" t="str">
        <f t="shared" si="2"/>
        <v/>
      </c>
    </row>
    <row r="35" spans="2:9" x14ac:dyDescent="0.25">
      <c r="B35" s="26"/>
      <c r="C35" s="21"/>
      <c r="D35" s="22"/>
      <c r="E35" s="28"/>
      <c r="G35" s="32" t="str">
        <f t="shared" si="0"/>
        <v/>
      </c>
      <c r="H35" s="33" t="str">
        <f t="shared" si="1"/>
        <v/>
      </c>
      <c r="I35" s="33" t="str">
        <f t="shared" si="2"/>
        <v/>
      </c>
    </row>
    <row r="36" spans="2:9" x14ac:dyDescent="0.25">
      <c r="B36" s="26"/>
      <c r="C36" s="21"/>
      <c r="D36" s="22"/>
      <c r="E36" s="28"/>
      <c r="G36" s="32" t="str">
        <f t="shared" si="0"/>
        <v/>
      </c>
      <c r="H36" s="33" t="str">
        <f t="shared" si="1"/>
        <v/>
      </c>
      <c r="I36" s="33" t="str">
        <f t="shared" si="2"/>
        <v/>
      </c>
    </row>
    <row r="37" spans="2:9" x14ac:dyDescent="0.25">
      <c r="B37" s="26"/>
      <c r="C37" s="21"/>
      <c r="D37" s="24"/>
      <c r="E37" s="28"/>
      <c r="G37" s="32" t="str">
        <f t="shared" si="0"/>
        <v/>
      </c>
      <c r="H37" s="33" t="str">
        <f t="shared" si="1"/>
        <v/>
      </c>
      <c r="I37" s="33" t="str">
        <f t="shared" si="2"/>
        <v/>
      </c>
    </row>
    <row r="38" spans="2:9" x14ac:dyDescent="0.25">
      <c r="B38" s="26"/>
      <c r="C38" s="21"/>
      <c r="D38" s="22"/>
      <c r="E38" s="28"/>
      <c r="G38" s="32" t="str">
        <f t="shared" si="0"/>
        <v/>
      </c>
      <c r="H38" s="33" t="str">
        <f t="shared" si="1"/>
        <v/>
      </c>
      <c r="I38" s="33" t="str">
        <f t="shared" si="2"/>
        <v/>
      </c>
    </row>
    <row r="39" spans="2:9" x14ac:dyDescent="0.25">
      <c r="B39" s="26"/>
      <c r="C39" s="21"/>
      <c r="D39" s="22"/>
      <c r="E39" s="28"/>
      <c r="G39" s="32" t="str">
        <f t="shared" si="0"/>
        <v/>
      </c>
      <c r="H39" s="33" t="str">
        <f t="shared" si="1"/>
        <v/>
      </c>
      <c r="I39" s="33" t="str">
        <f t="shared" si="2"/>
        <v/>
      </c>
    </row>
    <row r="40" spans="2:9" x14ac:dyDescent="0.25">
      <c r="B40" s="26"/>
      <c r="C40" s="21"/>
      <c r="D40" s="22"/>
      <c r="E40" s="28"/>
      <c r="G40" s="32" t="str">
        <f t="shared" si="0"/>
        <v/>
      </c>
      <c r="H40" s="33" t="str">
        <f t="shared" si="1"/>
        <v/>
      </c>
      <c r="I40" s="33" t="str">
        <f t="shared" si="2"/>
        <v/>
      </c>
    </row>
    <row r="41" spans="2:9" x14ac:dyDescent="0.25">
      <c r="B41" s="26"/>
      <c r="C41" s="21"/>
      <c r="D41" s="22"/>
      <c r="E41" s="28"/>
      <c r="G41" s="32" t="str">
        <f t="shared" si="0"/>
        <v/>
      </c>
      <c r="H41" s="33" t="str">
        <f t="shared" si="1"/>
        <v/>
      </c>
      <c r="I41" s="33" t="str">
        <f t="shared" si="2"/>
        <v/>
      </c>
    </row>
    <row r="42" spans="2:9" x14ac:dyDescent="0.25">
      <c r="B42" s="26"/>
      <c r="C42" s="23"/>
      <c r="D42" s="23"/>
      <c r="E42" s="28"/>
      <c r="G42" s="32" t="str">
        <f t="shared" si="0"/>
        <v/>
      </c>
      <c r="H42" s="33" t="str">
        <f t="shared" si="1"/>
        <v/>
      </c>
      <c r="I42" s="33" t="str">
        <f t="shared" si="2"/>
        <v/>
      </c>
    </row>
    <row r="43" spans="2:9" x14ac:dyDescent="0.25">
      <c r="B43" s="26"/>
      <c r="C43" s="23"/>
      <c r="D43" s="23"/>
      <c r="E43" s="28"/>
      <c r="G43" s="32" t="str">
        <f t="shared" si="0"/>
        <v/>
      </c>
      <c r="H43" s="33" t="str">
        <f t="shared" si="1"/>
        <v/>
      </c>
      <c r="I43" s="33" t="str">
        <f t="shared" si="2"/>
        <v/>
      </c>
    </row>
    <row r="44" spans="2:9" x14ac:dyDescent="0.25">
      <c r="B44" s="30"/>
      <c r="C44" s="30"/>
    </row>
    <row r="45" spans="2:9" x14ac:dyDescent="0.25">
      <c r="B45" s="30"/>
      <c r="C45" s="30"/>
    </row>
    <row r="46" spans="2:9" x14ac:dyDescent="0.25">
      <c r="B46" s="30"/>
      <c r="C46" s="30"/>
    </row>
    <row r="47" spans="2:9" x14ac:dyDescent="0.25">
      <c r="B47" s="30"/>
      <c r="C47" s="30"/>
    </row>
    <row r="48" spans="2:9" x14ac:dyDescent="0.25">
      <c r="B48" s="30"/>
      <c r="C48" s="30"/>
    </row>
  </sheetData>
  <mergeCells count="2">
    <mergeCell ref="B12:E12"/>
    <mergeCell ref="G12:I12"/>
  </mergeCells>
  <phoneticPr fontId="25" type="noConversion"/>
  <conditionalFormatting sqref="B4">
    <cfRule type="cellIs" dxfId="106" priority="8" operator="equal">
      <formula>"M0"</formula>
    </cfRule>
  </conditionalFormatting>
  <conditionalFormatting sqref="B6">
    <cfRule type="cellIs" dxfId="105" priority="6" operator="equal">
      <formula>"M0"</formula>
    </cfRule>
  </conditionalFormatting>
  <conditionalFormatting sqref="C4">
    <cfRule type="cellIs" dxfId="104" priority="4" operator="equal">
      <formula>"M0"</formula>
    </cfRule>
  </conditionalFormatting>
  <conditionalFormatting sqref="C6">
    <cfRule type="cellIs" dxfId="103" priority="2" operator="equal">
      <formula>"M0"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text="ON" id="{3BA16FA2-546A-47F2-8726-7781F47EB797}">
            <xm:f>NOT(ISERROR(SEARCH("ON",SCOOP!B4)))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B4:C4 B6:C6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1:ALW80"/>
  <sheetViews>
    <sheetView showGridLines="0" tabSelected="1" zoomScale="70" zoomScaleNormal="70" workbookViewId="0">
      <pane xSplit="3" ySplit="13" topLeftCell="AKW14" activePane="bottomRight" state="frozen"/>
      <selection pane="topRight" activeCell="D1" sqref="D1"/>
      <selection pane="bottomLeft" activeCell="A14" sqref="A14"/>
      <selection pane="bottomRight" activeCell="AJO17" sqref="AJO17:AJP17"/>
    </sheetView>
  </sheetViews>
  <sheetFormatPr baseColWidth="10" defaultRowHeight="15" outlineLevelRow="1" x14ac:dyDescent="0.25"/>
  <cols>
    <col min="2" max="3" width="25.5703125" customWidth="1"/>
    <col min="4" max="291" width="6.5703125" customWidth="1"/>
  </cols>
  <sheetData>
    <row r="1" spans="1:101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</row>
    <row r="2" spans="1:1011" x14ac:dyDescent="0.25">
      <c r="A2" s="1"/>
      <c r="B2" s="2" t="s">
        <v>0</v>
      </c>
      <c r="C2" s="43">
        <f>DATE(2025,9,21)</f>
        <v>45921</v>
      </c>
      <c r="D2" s="3"/>
      <c r="E2" s="3"/>
      <c r="F2" s="51" t="s">
        <v>9</v>
      </c>
      <c r="G2" s="51"/>
      <c r="H2" s="51"/>
      <c r="I2" s="1">
        <f>COUNTIF(D15:KE15, "M1")</f>
        <v>2</v>
      </c>
      <c r="J2" s="36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1"/>
      <c r="EY2" s="1"/>
      <c r="EZ2" s="1"/>
      <c r="FA2" s="1"/>
      <c r="FB2" s="1"/>
      <c r="FC2" s="1"/>
      <c r="FD2" s="1"/>
      <c r="FE2" s="1"/>
      <c r="FF2" s="1"/>
      <c r="FG2" s="1"/>
    </row>
    <row r="3" spans="1:1011" x14ac:dyDescent="0.25">
      <c r="A3" s="1"/>
      <c r="B3" s="2"/>
      <c r="C3" s="1"/>
      <c r="D3" s="1"/>
      <c r="E3" s="1"/>
      <c r="F3" s="52" t="s">
        <v>26</v>
      </c>
      <c r="G3" s="52"/>
      <c r="H3" s="52"/>
      <c r="I3" s="1">
        <f>COUNTIF(D18:KE18, "M1")</f>
        <v>16</v>
      </c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</row>
    <row r="4" spans="1:1011" x14ac:dyDescent="0.25">
      <c r="A4" s="1"/>
      <c r="B4" s="2" t="s">
        <v>7</v>
      </c>
      <c r="C4" s="43">
        <f>AGJ11</f>
        <v>45927</v>
      </c>
      <c r="D4" s="1"/>
      <c r="E4" s="1"/>
      <c r="F4" s="1"/>
      <c r="G4" s="29"/>
      <c r="H4" s="1"/>
      <c r="I4" s="1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</row>
    <row r="5" spans="1:1011" x14ac:dyDescent="0.25">
      <c r="A5" s="1"/>
      <c r="B5" s="1"/>
      <c r="C5" s="1"/>
      <c r="D5" s="1"/>
      <c r="E5" s="1"/>
      <c r="F5" s="1"/>
      <c r="G5" s="1"/>
      <c r="H5" s="1"/>
      <c r="I5" s="1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</row>
    <row r="6" spans="1:1011" x14ac:dyDescent="0.25">
      <c r="A6" s="1"/>
      <c r="B6" s="2" t="s">
        <v>8</v>
      </c>
      <c r="C6" s="2" t="str">
        <f>TEXT(C4-C2+1,"j"" jours""")</f>
        <v>7 jours</v>
      </c>
      <c r="D6" s="1"/>
      <c r="E6" s="1"/>
      <c r="F6" s="1"/>
      <c r="G6" s="1"/>
      <c r="H6" s="1"/>
      <c r="I6" s="1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</row>
    <row r="7" spans="1:1011" x14ac:dyDescent="0.25">
      <c r="A7" s="1"/>
      <c r="B7" s="2"/>
      <c r="C7" s="2"/>
      <c r="D7" s="1"/>
      <c r="E7" s="1"/>
      <c r="F7" s="29"/>
      <c r="G7" s="1"/>
      <c r="H7" s="1"/>
      <c r="I7" s="1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</row>
    <row r="8" spans="1:1011" x14ac:dyDescent="0.25">
      <c r="A8" s="1"/>
      <c r="B8" s="2"/>
      <c r="C8" s="1"/>
      <c r="D8" s="1"/>
      <c r="E8" s="1"/>
      <c r="F8" s="1"/>
      <c r="G8" s="1"/>
      <c r="H8" s="1"/>
      <c r="I8" s="1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</row>
    <row r="9" spans="1:1011" x14ac:dyDescent="0.25">
      <c r="A9" s="1"/>
      <c r="B9" s="1"/>
      <c r="C9" s="1"/>
      <c r="D9" s="1"/>
      <c r="E9" s="1"/>
      <c r="F9" s="1"/>
      <c r="G9" s="1"/>
      <c r="H9" s="1"/>
      <c r="I9" s="1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</row>
    <row r="10" spans="1:1011" x14ac:dyDescent="0.25">
      <c r="B10" s="4"/>
    </row>
    <row r="11" spans="1:1011" x14ac:dyDescent="0.25">
      <c r="B11" s="4" t="s">
        <v>1</v>
      </c>
      <c r="D11" s="49">
        <f>C2</f>
        <v>45921</v>
      </c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  <c r="CG11" s="49"/>
      <c r="CH11" s="49"/>
      <c r="CI11" s="49"/>
      <c r="CJ11" s="49"/>
      <c r="CK11" s="49"/>
      <c r="CL11" s="49"/>
      <c r="CM11" s="49"/>
      <c r="CN11" s="49"/>
      <c r="CO11" s="49"/>
      <c r="CP11" s="49"/>
      <c r="CQ11" s="49"/>
      <c r="CR11" s="49"/>
      <c r="CS11" s="49"/>
      <c r="CT11" s="49"/>
      <c r="CU11" s="49"/>
      <c r="CV11" s="49"/>
      <c r="CW11" s="49"/>
      <c r="CX11" s="49"/>
      <c r="CY11" s="49"/>
      <c r="CZ11" s="49"/>
      <c r="DA11" s="49"/>
      <c r="DB11" s="49"/>
      <c r="DC11" s="49"/>
      <c r="DD11" s="49"/>
      <c r="DE11" s="49"/>
      <c r="DF11" s="49"/>
      <c r="DG11" s="49"/>
      <c r="DH11" s="49"/>
      <c r="DI11" s="49"/>
      <c r="DJ11" s="49"/>
      <c r="DK11" s="49"/>
      <c r="DL11" s="49"/>
      <c r="DM11" s="49"/>
      <c r="DN11" s="49"/>
      <c r="DO11" s="49"/>
      <c r="DP11" s="49"/>
      <c r="DQ11" s="49"/>
      <c r="DR11" s="49"/>
      <c r="DS11" s="49"/>
      <c r="DT11" s="49"/>
      <c r="DU11" s="49"/>
      <c r="DV11" s="49"/>
      <c r="DW11" s="49"/>
      <c r="DX11" s="49"/>
      <c r="DY11" s="49"/>
      <c r="DZ11" s="49"/>
      <c r="EA11" s="49"/>
      <c r="EB11" s="49"/>
      <c r="EC11" s="49"/>
      <c r="ED11" s="49"/>
      <c r="EE11" s="49"/>
      <c r="EF11" s="49"/>
      <c r="EG11" s="49"/>
      <c r="EH11" s="49"/>
      <c r="EI11" s="49"/>
      <c r="EJ11" s="49"/>
      <c r="EK11" s="49"/>
      <c r="EL11" s="49"/>
      <c r="EM11" s="49"/>
      <c r="EN11" s="49"/>
      <c r="EO11" s="49"/>
      <c r="EP11" s="49"/>
      <c r="EQ11" s="50"/>
      <c r="ER11" s="49">
        <f>D11 + 1</f>
        <v>45922</v>
      </c>
      <c r="ES11" s="49"/>
      <c r="ET11" s="49"/>
      <c r="EU11" s="49"/>
      <c r="EV11" s="49"/>
      <c r="EW11" s="49"/>
      <c r="EX11" s="49"/>
      <c r="EY11" s="49"/>
      <c r="EZ11" s="49"/>
      <c r="FA11" s="49"/>
      <c r="FB11" s="49"/>
      <c r="FC11" s="49"/>
      <c r="FD11" s="49"/>
      <c r="FE11" s="49"/>
      <c r="FF11" s="49"/>
      <c r="FG11" s="49"/>
      <c r="FH11" s="49"/>
      <c r="FI11" s="49"/>
      <c r="FJ11" s="49"/>
      <c r="FK11" s="49"/>
      <c r="FL11" s="49"/>
      <c r="FM11" s="49"/>
      <c r="FN11" s="49"/>
      <c r="FO11" s="49"/>
      <c r="FP11" s="49"/>
      <c r="FQ11" s="49"/>
      <c r="FR11" s="49"/>
      <c r="FS11" s="49"/>
      <c r="FT11" s="49"/>
      <c r="FU11" s="49"/>
      <c r="FV11" s="49"/>
      <c r="FW11" s="49"/>
      <c r="FX11" s="49"/>
      <c r="FY11" s="49"/>
      <c r="FZ11" s="49"/>
      <c r="GA11" s="49"/>
      <c r="GB11" s="49"/>
      <c r="GC11" s="49"/>
      <c r="GD11" s="49"/>
      <c r="GE11" s="49"/>
      <c r="GF11" s="49"/>
      <c r="GG11" s="49"/>
      <c r="GH11" s="49"/>
      <c r="GI11" s="49"/>
      <c r="GJ11" s="49"/>
      <c r="GK11" s="49"/>
      <c r="GL11" s="49"/>
      <c r="GM11" s="49"/>
      <c r="GN11" s="49"/>
      <c r="GO11" s="49"/>
      <c r="GP11" s="49"/>
      <c r="GQ11" s="49"/>
      <c r="GR11" s="49"/>
      <c r="GS11" s="49"/>
      <c r="GT11" s="49"/>
      <c r="GU11" s="49"/>
      <c r="GV11" s="49"/>
      <c r="GW11" s="49"/>
      <c r="GX11" s="49"/>
      <c r="GY11" s="49"/>
      <c r="GZ11" s="49"/>
      <c r="HA11" s="49"/>
      <c r="HB11" s="49"/>
      <c r="HC11" s="49"/>
      <c r="HD11" s="49"/>
      <c r="HE11" s="49"/>
      <c r="HF11" s="49"/>
      <c r="HG11" s="49"/>
      <c r="HH11" s="49"/>
      <c r="HI11" s="49"/>
      <c r="HJ11" s="49"/>
      <c r="HK11" s="49"/>
      <c r="HL11" s="49"/>
      <c r="HM11" s="49"/>
      <c r="HN11" s="49"/>
      <c r="HO11" s="49"/>
      <c r="HP11" s="49"/>
      <c r="HQ11" s="49"/>
      <c r="HR11" s="49"/>
      <c r="HS11" s="49"/>
      <c r="HT11" s="49"/>
      <c r="HU11" s="49"/>
      <c r="HV11" s="49"/>
      <c r="HW11" s="49"/>
      <c r="HX11" s="49"/>
      <c r="HY11" s="49"/>
      <c r="HZ11" s="49"/>
      <c r="IA11" s="49"/>
      <c r="IB11" s="49"/>
      <c r="IC11" s="49"/>
      <c r="ID11" s="49"/>
      <c r="IE11" s="49"/>
      <c r="IF11" s="49"/>
      <c r="IG11" s="49"/>
      <c r="IH11" s="49"/>
      <c r="II11" s="49"/>
      <c r="IJ11" s="49"/>
      <c r="IK11" s="49"/>
      <c r="IL11" s="49"/>
      <c r="IM11" s="49"/>
      <c r="IN11" s="49"/>
      <c r="IO11" s="49"/>
      <c r="IP11" s="49"/>
      <c r="IQ11" s="49"/>
      <c r="IR11" s="49"/>
      <c r="IS11" s="49"/>
      <c r="IT11" s="49"/>
      <c r="IU11" s="49"/>
      <c r="IV11" s="49"/>
      <c r="IW11" s="49"/>
      <c r="IX11" s="49"/>
      <c r="IY11" s="49"/>
      <c r="IZ11" s="49"/>
      <c r="JA11" s="49"/>
      <c r="JB11" s="49"/>
      <c r="JC11" s="49"/>
      <c r="JD11" s="49"/>
      <c r="JE11" s="49"/>
      <c r="JF11" s="49"/>
      <c r="JG11" s="49"/>
      <c r="JH11" s="49"/>
      <c r="JI11" s="49"/>
      <c r="JJ11" s="49"/>
      <c r="JK11" s="49"/>
      <c r="JL11" s="49"/>
      <c r="JM11" s="49"/>
      <c r="JN11" s="49"/>
      <c r="JO11" s="49"/>
      <c r="JP11" s="49"/>
      <c r="JQ11" s="49"/>
      <c r="JR11" s="49"/>
      <c r="JS11" s="49"/>
      <c r="JT11" s="49"/>
      <c r="JU11" s="49"/>
      <c r="JV11" s="49"/>
      <c r="JW11" s="49"/>
      <c r="JX11" s="49"/>
      <c r="JY11" s="49"/>
      <c r="JZ11" s="49"/>
      <c r="KA11" s="49"/>
      <c r="KB11" s="49"/>
      <c r="KC11" s="49"/>
      <c r="KD11" s="49"/>
      <c r="KE11" s="50"/>
      <c r="KF11" s="49">
        <f>ER11 + 1</f>
        <v>45923</v>
      </c>
      <c r="KG11" s="49"/>
      <c r="KH11" s="49"/>
      <c r="KI11" s="49"/>
      <c r="KJ11" s="49"/>
      <c r="KK11" s="49"/>
      <c r="KL11" s="49"/>
      <c r="KM11" s="49"/>
      <c r="KN11" s="49"/>
      <c r="KO11" s="49"/>
      <c r="KP11" s="49"/>
      <c r="KQ11" s="49"/>
      <c r="KR11" s="49"/>
      <c r="KS11" s="49"/>
      <c r="KT11" s="49"/>
      <c r="KU11" s="49"/>
      <c r="KV11" s="49"/>
      <c r="KW11" s="49"/>
      <c r="KX11" s="49"/>
      <c r="KY11" s="49"/>
      <c r="KZ11" s="49"/>
      <c r="LA11" s="49"/>
      <c r="LB11" s="49"/>
      <c r="LC11" s="49"/>
      <c r="LD11" s="49"/>
      <c r="LE11" s="49"/>
      <c r="LF11" s="49"/>
      <c r="LG11" s="49"/>
      <c r="LH11" s="49"/>
      <c r="LI11" s="49"/>
      <c r="LJ11" s="49"/>
      <c r="LK11" s="49"/>
      <c r="LL11" s="49"/>
      <c r="LM11" s="49"/>
      <c r="LN11" s="49"/>
      <c r="LO11" s="49"/>
      <c r="LP11" s="49"/>
      <c r="LQ11" s="49"/>
      <c r="LR11" s="49"/>
      <c r="LS11" s="49"/>
      <c r="LT11" s="49"/>
      <c r="LU11" s="49"/>
      <c r="LV11" s="49"/>
      <c r="LW11" s="49"/>
      <c r="LX11" s="49"/>
      <c r="LY11" s="49"/>
      <c r="LZ11" s="49"/>
      <c r="MA11" s="49"/>
      <c r="MB11" s="49"/>
      <c r="MC11" s="49"/>
      <c r="MD11" s="49"/>
      <c r="ME11" s="49"/>
      <c r="MF11" s="49"/>
      <c r="MG11" s="49"/>
      <c r="MH11" s="49"/>
      <c r="MI11" s="49"/>
      <c r="MJ11" s="49"/>
      <c r="MK11" s="49"/>
      <c r="ML11" s="49"/>
      <c r="MM11" s="49"/>
      <c r="MN11" s="49"/>
      <c r="MO11" s="49"/>
      <c r="MP11" s="49"/>
      <c r="MQ11" s="49"/>
      <c r="MR11" s="49"/>
      <c r="MS11" s="49"/>
      <c r="MT11" s="49"/>
      <c r="MU11" s="49"/>
      <c r="MV11" s="49"/>
      <c r="MW11" s="49"/>
      <c r="MX11" s="49"/>
      <c r="MY11" s="49"/>
      <c r="MZ11" s="49"/>
      <c r="NA11" s="49"/>
      <c r="NB11" s="49"/>
      <c r="NC11" s="49"/>
      <c r="ND11" s="49"/>
      <c r="NE11" s="49"/>
      <c r="NF11" s="49"/>
      <c r="NG11" s="49"/>
      <c r="NH11" s="49"/>
      <c r="NI11" s="49"/>
      <c r="NJ11" s="49"/>
      <c r="NK11" s="49"/>
      <c r="NL11" s="49"/>
      <c r="NM11" s="49"/>
      <c r="NN11" s="49"/>
      <c r="NO11" s="49"/>
      <c r="NP11" s="49"/>
      <c r="NQ11" s="49"/>
      <c r="NR11" s="49"/>
      <c r="NS11" s="49"/>
      <c r="NT11" s="49"/>
      <c r="NU11" s="49"/>
      <c r="NV11" s="49"/>
      <c r="NW11" s="49"/>
      <c r="NX11" s="49"/>
      <c r="NY11" s="49"/>
      <c r="NZ11" s="49"/>
      <c r="OA11" s="49"/>
      <c r="OB11" s="49"/>
      <c r="OC11" s="49"/>
      <c r="OD11" s="49"/>
      <c r="OE11" s="49"/>
      <c r="OF11" s="49"/>
      <c r="OG11" s="49"/>
      <c r="OH11" s="49"/>
      <c r="OI11" s="49"/>
      <c r="OJ11" s="49"/>
      <c r="OK11" s="49"/>
      <c r="OL11" s="49"/>
      <c r="OM11" s="49"/>
      <c r="ON11" s="49"/>
      <c r="OO11" s="49"/>
      <c r="OP11" s="49"/>
      <c r="OQ11" s="49"/>
      <c r="OR11" s="49"/>
      <c r="OS11" s="49"/>
      <c r="OT11" s="49"/>
      <c r="OU11" s="49"/>
      <c r="OV11" s="49"/>
      <c r="OW11" s="49"/>
      <c r="OX11" s="49"/>
      <c r="OY11" s="49"/>
      <c r="OZ11" s="49"/>
      <c r="PA11" s="49"/>
      <c r="PB11" s="49"/>
      <c r="PC11" s="49"/>
      <c r="PD11" s="49"/>
      <c r="PE11" s="49"/>
      <c r="PF11" s="49"/>
      <c r="PG11" s="49"/>
      <c r="PH11" s="49"/>
      <c r="PI11" s="49"/>
      <c r="PJ11" s="49"/>
      <c r="PK11" s="49"/>
      <c r="PL11" s="49"/>
      <c r="PM11" s="49"/>
      <c r="PN11" s="49"/>
      <c r="PO11" s="49"/>
      <c r="PP11" s="49"/>
      <c r="PQ11" s="49"/>
      <c r="PR11" s="49"/>
      <c r="PS11" s="50"/>
      <c r="PT11" s="49">
        <f>KF11 + 1</f>
        <v>45924</v>
      </c>
      <c r="PU11" s="49"/>
      <c r="PV11" s="49"/>
      <c r="PW11" s="49"/>
      <c r="PX11" s="49"/>
      <c r="PY11" s="49"/>
      <c r="PZ11" s="49"/>
      <c r="QA11" s="49"/>
      <c r="QB11" s="49"/>
      <c r="QC11" s="49"/>
      <c r="QD11" s="49"/>
      <c r="QE11" s="49"/>
      <c r="QF11" s="49"/>
      <c r="QG11" s="49"/>
      <c r="QH11" s="49"/>
      <c r="QI11" s="49"/>
      <c r="QJ11" s="49"/>
      <c r="QK11" s="49"/>
      <c r="QL11" s="49"/>
      <c r="QM11" s="49"/>
      <c r="QN11" s="49"/>
      <c r="QO11" s="49"/>
      <c r="QP11" s="49"/>
      <c r="QQ11" s="49"/>
      <c r="QR11" s="49"/>
      <c r="QS11" s="49"/>
      <c r="QT11" s="49"/>
      <c r="QU11" s="49"/>
      <c r="QV11" s="49"/>
      <c r="QW11" s="49"/>
      <c r="QX11" s="49"/>
      <c r="QY11" s="49"/>
      <c r="QZ11" s="49"/>
      <c r="RA11" s="49"/>
      <c r="RB11" s="49"/>
      <c r="RC11" s="49"/>
      <c r="RD11" s="49"/>
      <c r="RE11" s="49"/>
      <c r="RF11" s="49"/>
      <c r="RG11" s="49"/>
      <c r="RH11" s="49"/>
      <c r="RI11" s="49"/>
      <c r="RJ11" s="49"/>
      <c r="RK11" s="49"/>
      <c r="RL11" s="49"/>
      <c r="RM11" s="49"/>
      <c r="RN11" s="49"/>
      <c r="RO11" s="49"/>
      <c r="RP11" s="49"/>
      <c r="RQ11" s="49"/>
      <c r="RR11" s="49"/>
      <c r="RS11" s="49"/>
      <c r="RT11" s="49"/>
      <c r="RU11" s="49"/>
      <c r="RV11" s="49"/>
      <c r="RW11" s="49"/>
      <c r="RX11" s="49"/>
      <c r="RY11" s="49"/>
      <c r="RZ11" s="49"/>
      <c r="SA11" s="49"/>
      <c r="SB11" s="49"/>
      <c r="SC11" s="49"/>
      <c r="SD11" s="49"/>
      <c r="SE11" s="49"/>
      <c r="SF11" s="49"/>
      <c r="SG11" s="49"/>
      <c r="SH11" s="49"/>
      <c r="SI11" s="49"/>
      <c r="SJ11" s="49"/>
      <c r="SK11" s="49"/>
      <c r="SL11" s="49"/>
      <c r="SM11" s="49"/>
      <c r="SN11" s="49"/>
      <c r="SO11" s="49"/>
      <c r="SP11" s="49"/>
      <c r="SQ11" s="49"/>
      <c r="SR11" s="49"/>
      <c r="SS11" s="49"/>
      <c r="ST11" s="49"/>
      <c r="SU11" s="49"/>
      <c r="SV11" s="49"/>
      <c r="SW11" s="49"/>
      <c r="SX11" s="49"/>
      <c r="SY11" s="49"/>
      <c r="SZ11" s="49"/>
      <c r="TA11" s="49"/>
      <c r="TB11" s="49"/>
      <c r="TC11" s="49"/>
      <c r="TD11" s="49"/>
      <c r="TE11" s="49"/>
      <c r="TF11" s="49"/>
      <c r="TG11" s="49"/>
      <c r="TH11" s="49"/>
      <c r="TI11" s="49"/>
      <c r="TJ11" s="49"/>
      <c r="TK11" s="49"/>
      <c r="TL11" s="49"/>
      <c r="TM11" s="49"/>
      <c r="TN11" s="49"/>
      <c r="TO11" s="49"/>
      <c r="TP11" s="49"/>
      <c r="TQ11" s="49"/>
      <c r="TR11" s="49"/>
      <c r="TS11" s="49"/>
      <c r="TT11" s="49"/>
      <c r="TU11" s="49"/>
      <c r="TV11" s="49"/>
      <c r="TW11" s="49"/>
      <c r="TX11" s="49"/>
      <c r="TY11" s="49"/>
      <c r="TZ11" s="49"/>
      <c r="UA11" s="49"/>
      <c r="UB11" s="49"/>
      <c r="UC11" s="49"/>
      <c r="UD11" s="49"/>
      <c r="UE11" s="49"/>
      <c r="UF11" s="49"/>
      <c r="UG11" s="49"/>
      <c r="UH11" s="49"/>
      <c r="UI11" s="49"/>
      <c r="UJ11" s="49"/>
      <c r="UK11" s="49"/>
      <c r="UL11" s="49"/>
      <c r="UM11" s="49"/>
      <c r="UN11" s="49"/>
      <c r="UO11" s="49"/>
      <c r="UP11" s="49"/>
      <c r="UQ11" s="49"/>
      <c r="UR11" s="49"/>
      <c r="US11" s="49"/>
      <c r="UT11" s="49"/>
      <c r="UU11" s="49"/>
      <c r="UV11" s="49"/>
      <c r="UW11" s="49"/>
      <c r="UX11" s="49"/>
      <c r="UY11" s="49"/>
      <c r="UZ11" s="49"/>
      <c r="VA11" s="49"/>
      <c r="VB11" s="49"/>
      <c r="VC11" s="49"/>
      <c r="VD11" s="49"/>
      <c r="VE11" s="49"/>
      <c r="VF11" s="49"/>
      <c r="VG11" s="50"/>
      <c r="VH11" s="49">
        <f>PT11 + 1</f>
        <v>45925</v>
      </c>
      <c r="VI11" s="49"/>
      <c r="VJ11" s="49"/>
      <c r="VK11" s="49"/>
      <c r="VL11" s="49"/>
      <c r="VM11" s="49"/>
      <c r="VN11" s="49"/>
      <c r="VO11" s="49"/>
      <c r="VP11" s="49"/>
      <c r="VQ11" s="49"/>
      <c r="VR11" s="49"/>
      <c r="VS11" s="49"/>
      <c r="VT11" s="49"/>
      <c r="VU11" s="49"/>
      <c r="VV11" s="49"/>
      <c r="VW11" s="49"/>
      <c r="VX11" s="49"/>
      <c r="VY11" s="49"/>
      <c r="VZ11" s="49"/>
      <c r="WA11" s="49"/>
      <c r="WB11" s="49"/>
      <c r="WC11" s="49"/>
      <c r="WD11" s="49"/>
      <c r="WE11" s="49"/>
      <c r="WF11" s="49"/>
      <c r="WG11" s="49"/>
      <c r="WH11" s="49"/>
      <c r="WI11" s="49"/>
      <c r="WJ11" s="49"/>
      <c r="WK11" s="49"/>
      <c r="WL11" s="49"/>
      <c r="WM11" s="49"/>
      <c r="WN11" s="49"/>
      <c r="WO11" s="49"/>
      <c r="WP11" s="49"/>
      <c r="WQ11" s="49"/>
      <c r="WR11" s="49"/>
      <c r="WS11" s="49"/>
      <c r="WT11" s="49"/>
      <c r="WU11" s="49"/>
      <c r="WV11" s="49"/>
      <c r="WW11" s="49"/>
      <c r="WX11" s="49"/>
      <c r="WY11" s="49"/>
      <c r="WZ11" s="49"/>
      <c r="XA11" s="49"/>
      <c r="XB11" s="49"/>
      <c r="XC11" s="49"/>
      <c r="XD11" s="49"/>
      <c r="XE11" s="49"/>
      <c r="XF11" s="49"/>
      <c r="XG11" s="49"/>
      <c r="XH11" s="49"/>
      <c r="XI11" s="49"/>
      <c r="XJ11" s="49"/>
      <c r="XK11" s="49"/>
      <c r="XL11" s="49"/>
      <c r="XM11" s="49"/>
      <c r="XN11" s="49"/>
      <c r="XO11" s="49"/>
      <c r="XP11" s="49"/>
      <c r="XQ11" s="49"/>
      <c r="XR11" s="49"/>
      <c r="XS11" s="49"/>
      <c r="XT11" s="49"/>
      <c r="XU11" s="49"/>
      <c r="XV11" s="49"/>
      <c r="XW11" s="49"/>
      <c r="XX11" s="49"/>
      <c r="XY11" s="49"/>
      <c r="XZ11" s="49"/>
      <c r="YA11" s="49"/>
      <c r="YB11" s="49"/>
      <c r="YC11" s="49"/>
      <c r="YD11" s="49"/>
      <c r="YE11" s="49"/>
      <c r="YF11" s="49"/>
      <c r="YG11" s="49"/>
      <c r="YH11" s="49"/>
      <c r="YI11" s="49"/>
      <c r="YJ11" s="49"/>
      <c r="YK11" s="49"/>
      <c r="YL11" s="49"/>
      <c r="YM11" s="49"/>
      <c r="YN11" s="49"/>
      <c r="YO11" s="49"/>
      <c r="YP11" s="49"/>
      <c r="YQ11" s="49"/>
      <c r="YR11" s="49"/>
      <c r="YS11" s="49"/>
      <c r="YT11" s="49"/>
      <c r="YU11" s="49"/>
      <c r="YV11" s="49"/>
      <c r="YW11" s="49"/>
      <c r="YX11" s="49"/>
      <c r="YY11" s="49"/>
      <c r="YZ11" s="49"/>
      <c r="ZA11" s="49"/>
      <c r="ZB11" s="49"/>
      <c r="ZC11" s="49"/>
      <c r="ZD11" s="49"/>
      <c r="ZE11" s="49"/>
      <c r="ZF11" s="49"/>
      <c r="ZG11" s="49"/>
      <c r="ZH11" s="49"/>
      <c r="ZI11" s="49"/>
      <c r="ZJ11" s="49"/>
      <c r="ZK11" s="49"/>
      <c r="ZL11" s="49"/>
      <c r="ZM11" s="49"/>
      <c r="ZN11" s="49"/>
      <c r="ZO11" s="49"/>
      <c r="ZP11" s="49"/>
      <c r="ZQ11" s="49"/>
      <c r="ZR11" s="49"/>
      <c r="ZS11" s="49"/>
      <c r="ZT11" s="49"/>
      <c r="ZU11" s="49"/>
      <c r="ZV11" s="49"/>
      <c r="ZW11" s="49"/>
      <c r="ZX11" s="49"/>
      <c r="ZY11" s="49"/>
      <c r="ZZ11" s="49"/>
      <c r="AAA11" s="49"/>
      <c r="AAB11" s="49"/>
      <c r="AAC11" s="49"/>
      <c r="AAD11" s="49"/>
      <c r="AAE11" s="49"/>
      <c r="AAF11" s="49"/>
      <c r="AAG11" s="49"/>
      <c r="AAH11" s="49"/>
      <c r="AAI11" s="49"/>
      <c r="AAJ11" s="49"/>
      <c r="AAK11" s="49"/>
      <c r="AAL11" s="49"/>
      <c r="AAM11" s="49"/>
      <c r="AAN11" s="49"/>
      <c r="AAO11" s="49"/>
      <c r="AAP11" s="49"/>
      <c r="AAQ11" s="49"/>
      <c r="AAR11" s="49"/>
      <c r="AAS11" s="49"/>
      <c r="AAT11" s="49"/>
      <c r="AAU11" s="50"/>
      <c r="AAV11" s="49">
        <f>VH11 + 1</f>
        <v>45926</v>
      </c>
      <c r="AAW11" s="49"/>
      <c r="AAX11" s="49"/>
      <c r="AAY11" s="49"/>
      <c r="AAZ11" s="49"/>
      <c r="ABA11" s="49"/>
      <c r="ABB11" s="49"/>
      <c r="ABC11" s="49"/>
      <c r="ABD11" s="49"/>
      <c r="ABE11" s="49"/>
      <c r="ABF11" s="49"/>
      <c r="ABG11" s="49"/>
      <c r="ABH11" s="49"/>
      <c r="ABI11" s="49"/>
      <c r="ABJ11" s="49"/>
      <c r="ABK11" s="49"/>
      <c r="ABL11" s="49"/>
      <c r="ABM11" s="49"/>
      <c r="ABN11" s="49"/>
      <c r="ABO11" s="49"/>
      <c r="ABP11" s="49"/>
      <c r="ABQ11" s="49"/>
      <c r="ABR11" s="49"/>
      <c r="ABS11" s="49"/>
      <c r="ABT11" s="49"/>
      <c r="ABU11" s="49"/>
      <c r="ABV11" s="49"/>
      <c r="ABW11" s="49"/>
      <c r="ABX11" s="49"/>
      <c r="ABY11" s="49"/>
      <c r="ABZ11" s="49"/>
      <c r="ACA11" s="49"/>
      <c r="ACB11" s="49"/>
      <c r="ACC11" s="49"/>
      <c r="ACD11" s="49"/>
      <c r="ACE11" s="49"/>
      <c r="ACF11" s="49"/>
      <c r="ACG11" s="49"/>
      <c r="ACH11" s="49"/>
      <c r="ACI11" s="49"/>
      <c r="ACJ11" s="49"/>
      <c r="ACK11" s="49"/>
      <c r="ACL11" s="49"/>
      <c r="ACM11" s="49"/>
      <c r="ACN11" s="49"/>
      <c r="ACO11" s="49"/>
      <c r="ACP11" s="49"/>
      <c r="ACQ11" s="49"/>
      <c r="ACR11" s="49"/>
      <c r="ACS11" s="49"/>
      <c r="ACT11" s="49"/>
      <c r="ACU11" s="49"/>
      <c r="ACV11" s="49"/>
      <c r="ACW11" s="49"/>
      <c r="ACX11" s="49"/>
      <c r="ACY11" s="49"/>
      <c r="ACZ11" s="49"/>
      <c r="ADA11" s="49"/>
      <c r="ADB11" s="49"/>
      <c r="ADC11" s="49"/>
      <c r="ADD11" s="49"/>
      <c r="ADE11" s="49"/>
      <c r="ADF11" s="49"/>
      <c r="ADG11" s="49"/>
      <c r="ADH11" s="49"/>
      <c r="ADI11" s="49"/>
      <c r="ADJ11" s="49"/>
      <c r="ADK11" s="49"/>
      <c r="ADL11" s="49"/>
      <c r="ADM11" s="49"/>
      <c r="ADN11" s="49"/>
      <c r="ADO11" s="49"/>
      <c r="ADP11" s="49"/>
      <c r="ADQ11" s="49"/>
      <c r="ADR11" s="49"/>
      <c r="ADS11" s="49"/>
      <c r="ADT11" s="49"/>
      <c r="ADU11" s="49"/>
      <c r="ADV11" s="49"/>
      <c r="ADW11" s="49"/>
      <c r="ADX11" s="49"/>
      <c r="ADY11" s="49"/>
      <c r="ADZ11" s="49"/>
      <c r="AEA11" s="49"/>
      <c r="AEB11" s="49"/>
      <c r="AEC11" s="49"/>
      <c r="AED11" s="49"/>
      <c r="AEE11" s="49"/>
      <c r="AEF11" s="49"/>
      <c r="AEG11" s="49"/>
      <c r="AEH11" s="49"/>
      <c r="AEI11" s="49"/>
      <c r="AEJ11" s="49"/>
      <c r="AEK11" s="49"/>
      <c r="AEL11" s="49"/>
      <c r="AEM11" s="49"/>
      <c r="AEN11" s="49"/>
      <c r="AEO11" s="49"/>
      <c r="AEP11" s="49"/>
      <c r="AEQ11" s="49"/>
      <c r="AER11" s="49"/>
      <c r="AES11" s="49"/>
      <c r="AET11" s="49"/>
      <c r="AEU11" s="49"/>
      <c r="AEV11" s="49"/>
      <c r="AEW11" s="49"/>
      <c r="AEX11" s="49"/>
      <c r="AEY11" s="49"/>
      <c r="AEZ11" s="49"/>
      <c r="AFA11" s="49"/>
      <c r="AFB11" s="49"/>
      <c r="AFC11" s="49"/>
      <c r="AFD11" s="49"/>
      <c r="AFE11" s="49"/>
      <c r="AFF11" s="49"/>
      <c r="AFG11" s="49"/>
      <c r="AFH11" s="49"/>
      <c r="AFI11" s="49"/>
      <c r="AFJ11" s="49"/>
      <c r="AFK11" s="49"/>
      <c r="AFL11" s="49"/>
      <c r="AFM11" s="49"/>
      <c r="AFN11" s="49"/>
      <c r="AFO11" s="49"/>
      <c r="AFP11" s="49"/>
      <c r="AFQ11" s="49"/>
      <c r="AFR11" s="49"/>
      <c r="AFS11" s="49"/>
      <c r="AFT11" s="49"/>
      <c r="AFU11" s="49"/>
      <c r="AFV11" s="49"/>
      <c r="AFW11" s="49"/>
      <c r="AFX11" s="49"/>
      <c r="AFY11" s="49"/>
      <c r="AFZ11" s="49"/>
      <c r="AGA11" s="49"/>
      <c r="AGB11" s="49"/>
      <c r="AGC11" s="49"/>
      <c r="AGD11" s="49"/>
      <c r="AGE11" s="49"/>
      <c r="AGF11" s="49"/>
      <c r="AGG11" s="49"/>
      <c r="AGH11" s="49"/>
      <c r="AGI11" s="50"/>
      <c r="AGJ11" s="49">
        <f>AAV11 + 1</f>
        <v>45927</v>
      </c>
      <c r="AGK11" s="49"/>
      <c r="AGL11" s="49"/>
      <c r="AGM11" s="49"/>
      <c r="AGN11" s="49"/>
      <c r="AGO11" s="49"/>
      <c r="AGP11" s="49"/>
      <c r="AGQ11" s="49"/>
      <c r="AGR11" s="49"/>
      <c r="AGS11" s="49"/>
      <c r="AGT11" s="49"/>
      <c r="AGU11" s="49"/>
      <c r="AGV11" s="49"/>
      <c r="AGW11" s="49"/>
      <c r="AGX11" s="49"/>
      <c r="AGY11" s="49"/>
      <c r="AGZ11" s="49"/>
      <c r="AHA11" s="49"/>
      <c r="AHB11" s="49"/>
      <c r="AHC11" s="49"/>
      <c r="AHD11" s="49"/>
      <c r="AHE11" s="49"/>
      <c r="AHF11" s="49"/>
      <c r="AHG11" s="49"/>
      <c r="AHH11" s="49"/>
      <c r="AHI11" s="49"/>
      <c r="AHJ11" s="49"/>
      <c r="AHK11" s="49"/>
      <c r="AHL11" s="49"/>
      <c r="AHM11" s="49"/>
      <c r="AHN11" s="49"/>
      <c r="AHO11" s="49"/>
      <c r="AHP11" s="49"/>
      <c r="AHQ11" s="49"/>
      <c r="AHR11" s="49"/>
      <c r="AHS11" s="49"/>
      <c r="AHT11" s="49"/>
      <c r="AHU11" s="49"/>
      <c r="AHV11" s="49"/>
      <c r="AHW11" s="49"/>
      <c r="AHX11" s="49"/>
      <c r="AHY11" s="49"/>
      <c r="AHZ11" s="49"/>
      <c r="AIA11" s="49"/>
      <c r="AIB11" s="49"/>
      <c r="AIC11" s="49"/>
      <c r="AID11" s="49"/>
      <c r="AIE11" s="49"/>
      <c r="AIF11" s="49"/>
      <c r="AIG11" s="49"/>
      <c r="AIH11" s="49"/>
      <c r="AII11" s="49"/>
      <c r="AIJ11" s="49"/>
      <c r="AIK11" s="49"/>
      <c r="AIL11" s="49"/>
      <c r="AIM11" s="49"/>
      <c r="AIN11" s="49"/>
      <c r="AIO11" s="49"/>
      <c r="AIP11" s="49"/>
      <c r="AIQ11" s="49"/>
      <c r="AIR11" s="49"/>
      <c r="AIS11" s="49"/>
      <c r="AIT11" s="49"/>
      <c r="AIU11" s="49"/>
      <c r="AIV11" s="49"/>
      <c r="AIW11" s="49"/>
      <c r="AIX11" s="49"/>
      <c r="AIY11" s="49"/>
      <c r="AIZ11" s="49"/>
      <c r="AJA11" s="49"/>
      <c r="AJB11" s="49"/>
      <c r="AJC11" s="49"/>
      <c r="AJD11" s="49"/>
      <c r="AJE11" s="49"/>
      <c r="AJF11" s="49"/>
      <c r="AJG11" s="49"/>
      <c r="AJH11" s="49"/>
      <c r="AJI11" s="49"/>
      <c r="AJJ11" s="49"/>
      <c r="AJK11" s="49"/>
      <c r="AJL11" s="49"/>
      <c r="AJM11" s="49"/>
      <c r="AJN11" s="49"/>
      <c r="AJO11" s="49"/>
      <c r="AJP11" s="49"/>
      <c r="AJQ11" s="49"/>
      <c r="AJR11" s="49"/>
      <c r="AJS11" s="49"/>
      <c r="AJT11" s="49"/>
      <c r="AJU11" s="49"/>
      <c r="AJV11" s="49"/>
      <c r="AJW11" s="49"/>
      <c r="AJX11" s="49"/>
      <c r="AJY11" s="49"/>
      <c r="AJZ11" s="49"/>
      <c r="AKA11" s="49"/>
      <c r="AKB11" s="49"/>
      <c r="AKC11" s="49"/>
      <c r="AKD11" s="49"/>
      <c r="AKE11" s="49"/>
      <c r="AKF11" s="49"/>
      <c r="AKG11" s="49"/>
      <c r="AKH11" s="49"/>
      <c r="AKI11" s="49"/>
      <c r="AKJ11" s="49"/>
      <c r="AKK11" s="49"/>
      <c r="AKL11" s="49"/>
      <c r="AKM11" s="49"/>
      <c r="AKN11" s="49"/>
      <c r="AKO11" s="49"/>
      <c r="AKP11" s="49"/>
      <c r="AKQ11" s="49"/>
      <c r="AKR11" s="49"/>
      <c r="AKS11" s="49"/>
      <c r="AKT11" s="49"/>
      <c r="AKU11" s="49"/>
      <c r="AKV11" s="49"/>
      <c r="AKW11" s="49"/>
      <c r="AKX11" s="49"/>
      <c r="AKY11" s="49"/>
      <c r="AKZ11" s="49"/>
      <c r="ALA11" s="49"/>
      <c r="ALB11" s="49"/>
      <c r="ALC11" s="49"/>
      <c r="ALD11" s="49"/>
      <c r="ALE11" s="49"/>
      <c r="ALF11" s="49"/>
      <c r="ALG11" s="49"/>
      <c r="ALH11" s="49"/>
      <c r="ALI11" s="49"/>
      <c r="ALJ11" s="49"/>
      <c r="ALK11" s="49"/>
      <c r="ALL11" s="49"/>
      <c r="ALM11" s="49"/>
      <c r="ALN11" s="49"/>
      <c r="ALO11" s="49"/>
      <c r="ALP11" s="49"/>
      <c r="ALQ11" s="49"/>
      <c r="ALR11" s="49"/>
      <c r="ALS11" s="49"/>
      <c r="ALT11" s="49"/>
      <c r="ALU11" s="49"/>
      <c r="ALV11" s="49"/>
      <c r="ALW11" s="50"/>
    </row>
    <row r="12" spans="1:1011" x14ac:dyDescent="0.25">
      <c r="B12" s="4" t="s">
        <v>2</v>
      </c>
      <c r="D12" s="47">
        <f>D11 + TIME(0,0,0)</f>
        <v>45921</v>
      </c>
      <c r="E12" s="47"/>
      <c r="F12" s="47"/>
      <c r="G12" s="47"/>
      <c r="H12" s="47"/>
      <c r="I12" s="47"/>
      <c r="J12" s="47">
        <f>D12 + TIME(1,0,0)</f>
        <v>45921.041666666664</v>
      </c>
      <c r="K12" s="47"/>
      <c r="L12" s="47"/>
      <c r="M12" s="47"/>
      <c r="N12" s="47"/>
      <c r="O12" s="47"/>
      <c r="P12" s="47">
        <f>J12 + TIME(1,0,0)</f>
        <v>45921.083333333328</v>
      </c>
      <c r="Q12" s="47"/>
      <c r="R12" s="47"/>
      <c r="S12" s="47"/>
      <c r="T12" s="47"/>
      <c r="U12" s="47"/>
      <c r="V12" s="47">
        <f t="shared" ref="V12" si="0">P12 + TIME(1,0,0)</f>
        <v>45921.124999999993</v>
      </c>
      <c r="W12" s="47"/>
      <c r="X12" s="47"/>
      <c r="Y12" s="47"/>
      <c r="Z12" s="47"/>
      <c r="AA12" s="47"/>
      <c r="AB12" s="47">
        <f t="shared" ref="AB12" si="1">V12 + TIME(1,0,0)</f>
        <v>45921.166666666657</v>
      </c>
      <c r="AC12" s="47"/>
      <c r="AD12" s="47"/>
      <c r="AE12" s="47"/>
      <c r="AF12" s="47"/>
      <c r="AG12" s="47"/>
      <c r="AH12" s="47">
        <f t="shared" ref="AH12" si="2">AB12 + TIME(1,0,0)</f>
        <v>45921.208333333321</v>
      </c>
      <c r="AI12" s="47"/>
      <c r="AJ12" s="47"/>
      <c r="AK12" s="47"/>
      <c r="AL12" s="47"/>
      <c r="AM12" s="47"/>
      <c r="AN12" s="47">
        <f t="shared" ref="AN12" si="3">AH12 + TIME(1,0,0)</f>
        <v>45921.249999999985</v>
      </c>
      <c r="AO12" s="47"/>
      <c r="AP12" s="47"/>
      <c r="AQ12" s="47"/>
      <c r="AR12" s="47"/>
      <c r="AS12" s="47"/>
      <c r="AT12" s="47">
        <f t="shared" ref="AT12" si="4">AN12 + TIME(1,0,0)</f>
        <v>45921.29166666665</v>
      </c>
      <c r="AU12" s="47"/>
      <c r="AV12" s="47"/>
      <c r="AW12" s="47"/>
      <c r="AX12" s="47"/>
      <c r="AY12" s="47"/>
      <c r="AZ12" s="47">
        <f t="shared" ref="AZ12" si="5">AT12 + TIME(1,0,0)</f>
        <v>45921.333333333314</v>
      </c>
      <c r="BA12" s="47"/>
      <c r="BB12" s="47"/>
      <c r="BC12" s="47"/>
      <c r="BD12" s="47"/>
      <c r="BE12" s="47"/>
      <c r="BF12" s="47">
        <f t="shared" ref="BF12" si="6">AZ12 + TIME(1,0,0)</f>
        <v>45921.374999999978</v>
      </c>
      <c r="BG12" s="47"/>
      <c r="BH12" s="47"/>
      <c r="BI12" s="47"/>
      <c r="BJ12" s="47"/>
      <c r="BK12" s="47"/>
      <c r="BL12" s="47">
        <f t="shared" ref="BL12" si="7">BF12 + TIME(1,0,0)</f>
        <v>45921.416666666642</v>
      </c>
      <c r="BM12" s="47"/>
      <c r="BN12" s="47"/>
      <c r="BO12" s="47"/>
      <c r="BP12" s="47"/>
      <c r="BQ12" s="47"/>
      <c r="BR12" s="47">
        <f t="shared" ref="BR12" si="8">BL12 + TIME(1,0,0)</f>
        <v>45921.458333333307</v>
      </c>
      <c r="BS12" s="47"/>
      <c r="BT12" s="47"/>
      <c r="BU12" s="47"/>
      <c r="BV12" s="47"/>
      <c r="BW12" s="47"/>
      <c r="BX12" s="47">
        <f t="shared" ref="BX12" si="9">BR12 + TIME(1,0,0)</f>
        <v>45921.499999999971</v>
      </c>
      <c r="BY12" s="47"/>
      <c r="BZ12" s="47"/>
      <c r="CA12" s="47"/>
      <c r="CB12" s="47"/>
      <c r="CC12" s="47"/>
      <c r="CD12" s="47">
        <f t="shared" ref="CD12" si="10">BX12 + TIME(1,0,0)</f>
        <v>45921.541666666635</v>
      </c>
      <c r="CE12" s="47"/>
      <c r="CF12" s="47"/>
      <c r="CG12" s="47"/>
      <c r="CH12" s="47"/>
      <c r="CI12" s="47"/>
      <c r="CJ12" s="47">
        <f t="shared" ref="CJ12" si="11">CD12 + TIME(1,0,0)</f>
        <v>45921.583333333299</v>
      </c>
      <c r="CK12" s="47"/>
      <c r="CL12" s="47"/>
      <c r="CM12" s="47"/>
      <c r="CN12" s="47"/>
      <c r="CO12" s="47"/>
      <c r="CP12" s="47">
        <f t="shared" ref="CP12" si="12">CJ12 + TIME(1,0,0)</f>
        <v>45921.624999999964</v>
      </c>
      <c r="CQ12" s="47"/>
      <c r="CR12" s="47"/>
      <c r="CS12" s="47"/>
      <c r="CT12" s="47"/>
      <c r="CU12" s="47"/>
      <c r="CV12" s="47">
        <f t="shared" ref="CV12" si="13">CP12 + TIME(1,0,0)</f>
        <v>45921.666666666628</v>
      </c>
      <c r="CW12" s="47"/>
      <c r="CX12" s="47"/>
      <c r="CY12" s="47"/>
      <c r="CZ12" s="47"/>
      <c r="DA12" s="47"/>
      <c r="DB12" s="47">
        <f t="shared" ref="DB12" si="14">CV12 + TIME(1,0,0)</f>
        <v>45921.708333333292</v>
      </c>
      <c r="DC12" s="47"/>
      <c r="DD12" s="47"/>
      <c r="DE12" s="47"/>
      <c r="DF12" s="47"/>
      <c r="DG12" s="47"/>
      <c r="DH12" s="47">
        <f t="shared" ref="DH12" si="15">DB12 + TIME(1,0,0)</f>
        <v>45921.749999999956</v>
      </c>
      <c r="DI12" s="47"/>
      <c r="DJ12" s="47"/>
      <c r="DK12" s="47"/>
      <c r="DL12" s="47"/>
      <c r="DM12" s="47"/>
      <c r="DN12" s="47">
        <f t="shared" ref="DN12" si="16">DH12 + TIME(1,0,0)</f>
        <v>45921.791666666621</v>
      </c>
      <c r="DO12" s="47"/>
      <c r="DP12" s="47"/>
      <c r="DQ12" s="47"/>
      <c r="DR12" s="47"/>
      <c r="DS12" s="47"/>
      <c r="DT12" s="47">
        <f t="shared" ref="DT12" si="17">DN12 + TIME(1,0,0)</f>
        <v>45921.833333333285</v>
      </c>
      <c r="DU12" s="47"/>
      <c r="DV12" s="47"/>
      <c r="DW12" s="47"/>
      <c r="DX12" s="47"/>
      <c r="DY12" s="47"/>
      <c r="DZ12" s="47">
        <f t="shared" ref="DZ12" si="18">DT12 + TIME(1,0,0)</f>
        <v>45921.874999999949</v>
      </c>
      <c r="EA12" s="47"/>
      <c r="EB12" s="47"/>
      <c r="EC12" s="47"/>
      <c r="ED12" s="47"/>
      <c r="EE12" s="47"/>
      <c r="EF12" s="47">
        <f t="shared" ref="EF12" si="19">DZ12 + TIME(1,0,0)</f>
        <v>45921.916666666613</v>
      </c>
      <c r="EG12" s="47"/>
      <c r="EH12" s="47"/>
      <c r="EI12" s="47"/>
      <c r="EJ12" s="47"/>
      <c r="EK12" s="47"/>
      <c r="EL12" s="47">
        <f t="shared" ref="EL12" si="20">EF12 + TIME(1,0,0)</f>
        <v>45921.958333333278</v>
      </c>
      <c r="EM12" s="47"/>
      <c r="EN12" s="47"/>
      <c r="EO12" s="47"/>
      <c r="EP12" s="47"/>
      <c r="EQ12" s="48"/>
      <c r="ER12" s="47">
        <f>ER11 + TIME(0,0,0)</f>
        <v>45922</v>
      </c>
      <c r="ES12" s="47"/>
      <c r="ET12" s="47"/>
      <c r="EU12" s="47"/>
      <c r="EV12" s="47"/>
      <c r="EW12" s="47"/>
      <c r="EX12" s="47">
        <f>ER12 + TIME(1,0,0)</f>
        <v>45922.041666666664</v>
      </c>
      <c r="EY12" s="47"/>
      <c r="EZ12" s="47"/>
      <c r="FA12" s="47"/>
      <c r="FB12" s="47"/>
      <c r="FC12" s="47"/>
      <c r="FD12" s="47">
        <f>EX12 + TIME(1,0,0)</f>
        <v>45922.083333333328</v>
      </c>
      <c r="FE12" s="47"/>
      <c r="FF12" s="47"/>
      <c r="FG12" s="47"/>
      <c r="FH12" s="47"/>
      <c r="FI12" s="47"/>
      <c r="FJ12" s="47">
        <f t="shared" ref="FJ12" si="21">FD12 + TIME(1,0,0)</f>
        <v>45922.124999999993</v>
      </c>
      <c r="FK12" s="47"/>
      <c r="FL12" s="47"/>
      <c r="FM12" s="47"/>
      <c r="FN12" s="47"/>
      <c r="FO12" s="47"/>
      <c r="FP12" s="47">
        <f t="shared" ref="FP12" si="22">FJ12 + TIME(1,0,0)</f>
        <v>45922.166666666657</v>
      </c>
      <c r="FQ12" s="47"/>
      <c r="FR12" s="47"/>
      <c r="FS12" s="47"/>
      <c r="FT12" s="47"/>
      <c r="FU12" s="47"/>
      <c r="FV12" s="47">
        <f t="shared" ref="FV12" si="23">FP12 + TIME(1,0,0)</f>
        <v>45922.208333333321</v>
      </c>
      <c r="FW12" s="47"/>
      <c r="FX12" s="47"/>
      <c r="FY12" s="47"/>
      <c r="FZ12" s="47"/>
      <c r="GA12" s="47"/>
      <c r="GB12" s="47">
        <f t="shared" ref="GB12" si="24">FV12 + TIME(1,0,0)</f>
        <v>45922.249999999985</v>
      </c>
      <c r="GC12" s="47"/>
      <c r="GD12" s="47"/>
      <c r="GE12" s="47"/>
      <c r="GF12" s="47"/>
      <c r="GG12" s="47"/>
      <c r="GH12" s="47">
        <f t="shared" ref="GH12" si="25">GB12 + TIME(1,0,0)</f>
        <v>45922.29166666665</v>
      </c>
      <c r="GI12" s="47"/>
      <c r="GJ12" s="47"/>
      <c r="GK12" s="47"/>
      <c r="GL12" s="47"/>
      <c r="GM12" s="47"/>
      <c r="GN12" s="47">
        <f t="shared" ref="GN12" si="26">GH12 + TIME(1,0,0)</f>
        <v>45922.333333333314</v>
      </c>
      <c r="GO12" s="47"/>
      <c r="GP12" s="47"/>
      <c r="GQ12" s="47"/>
      <c r="GR12" s="47"/>
      <c r="GS12" s="47"/>
      <c r="GT12" s="47">
        <f t="shared" ref="GT12" si="27">GN12 + TIME(1,0,0)</f>
        <v>45922.374999999978</v>
      </c>
      <c r="GU12" s="47"/>
      <c r="GV12" s="47"/>
      <c r="GW12" s="47"/>
      <c r="GX12" s="47"/>
      <c r="GY12" s="47"/>
      <c r="GZ12" s="47">
        <f t="shared" ref="GZ12" si="28">GT12 + TIME(1,0,0)</f>
        <v>45922.416666666642</v>
      </c>
      <c r="HA12" s="47"/>
      <c r="HB12" s="47"/>
      <c r="HC12" s="47"/>
      <c r="HD12" s="47"/>
      <c r="HE12" s="47"/>
      <c r="HF12" s="47">
        <f t="shared" ref="HF12" si="29">GZ12 + TIME(1,0,0)</f>
        <v>45922.458333333307</v>
      </c>
      <c r="HG12" s="47"/>
      <c r="HH12" s="47"/>
      <c r="HI12" s="47"/>
      <c r="HJ12" s="47"/>
      <c r="HK12" s="47"/>
      <c r="HL12" s="47">
        <f t="shared" ref="HL12" si="30">HF12 + TIME(1,0,0)</f>
        <v>45922.499999999971</v>
      </c>
      <c r="HM12" s="47"/>
      <c r="HN12" s="47"/>
      <c r="HO12" s="47"/>
      <c r="HP12" s="47"/>
      <c r="HQ12" s="47"/>
      <c r="HR12" s="47">
        <f t="shared" ref="HR12" si="31">HL12 + TIME(1,0,0)</f>
        <v>45922.541666666635</v>
      </c>
      <c r="HS12" s="47"/>
      <c r="HT12" s="47"/>
      <c r="HU12" s="47"/>
      <c r="HV12" s="47"/>
      <c r="HW12" s="47"/>
      <c r="HX12" s="47">
        <f t="shared" ref="HX12" si="32">HR12 + TIME(1,0,0)</f>
        <v>45922.583333333299</v>
      </c>
      <c r="HY12" s="47"/>
      <c r="HZ12" s="47"/>
      <c r="IA12" s="47"/>
      <c r="IB12" s="47"/>
      <c r="IC12" s="47"/>
      <c r="ID12" s="47">
        <f t="shared" ref="ID12" si="33">HX12 + TIME(1,0,0)</f>
        <v>45922.624999999964</v>
      </c>
      <c r="IE12" s="47"/>
      <c r="IF12" s="47"/>
      <c r="IG12" s="47"/>
      <c r="IH12" s="47"/>
      <c r="II12" s="47"/>
      <c r="IJ12" s="47">
        <f t="shared" ref="IJ12" si="34">ID12 + TIME(1,0,0)</f>
        <v>45922.666666666628</v>
      </c>
      <c r="IK12" s="47"/>
      <c r="IL12" s="47"/>
      <c r="IM12" s="47"/>
      <c r="IN12" s="47"/>
      <c r="IO12" s="47"/>
      <c r="IP12" s="47">
        <f t="shared" ref="IP12" si="35">IJ12 + TIME(1,0,0)</f>
        <v>45922.708333333292</v>
      </c>
      <c r="IQ12" s="47"/>
      <c r="IR12" s="47"/>
      <c r="IS12" s="47"/>
      <c r="IT12" s="47"/>
      <c r="IU12" s="47"/>
      <c r="IV12" s="47">
        <f t="shared" ref="IV12" si="36">IP12 + TIME(1,0,0)</f>
        <v>45922.749999999956</v>
      </c>
      <c r="IW12" s="47"/>
      <c r="IX12" s="47"/>
      <c r="IY12" s="47"/>
      <c r="IZ12" s="47"/>
      <c r="JA12" s="47"/>
      <c r="JB12" s="47">
        <f t="shared" ref="JB12" si="37">IV12 + TIME(1,0,0)</f>
        <v>45922.791666666621</v>
      </c>
      <c r="JC12" s="47"/>
      <c r="JD12" s="47"/>
      <c r="JE12" s="47"/>
      <c r="JF12" s="47"/>
      <c r="JG12" s="47"/>
      <c r="JH12" s="47">
        <f t="shared" ref="JH12" si="38">JB12 + TIME(1,0,0)</f>
        <v>45922.833333333285</v>
      </c>
      <c r="JI12" s="47"/>
      <c r="JJ12" s="47"/>
      <c r="JK12" s="47"/>
      <c r="JL12" s="47"/>
      <c r="JM12" s="47"/>
      <c r="JN12" s="47">
        <f t="shared" ref="JN12" si="39">JH12 + TIME(1,0,0)</f>
        <v>45922.874999999949</v>
      </c>
      <c r="JO12" s="47"/>
      <c r="JP12" s="47"/>
      <c r="JQ12" s="47"/>
      <c r="JR12" s="47"/>
      <c r="JS12" s="47"/>
      <c r="JT12" s="47">
        <f t="shared" ref="JT12" si="40">JN12 + TIME(1,0,0)</f>
        <v>45922.916666666613</v>
      </c>
      <c r="JU12" s="47"/>
      <c r="JV12" s="47"/>
      <c r="JW12" s="47"/>
      <c r="JX12" s="47"/>
      <c r="JY12" s="47"/>
      <c r="JZ12" s="47">
        <f t="shared" ref="JZ12" si="41">JT12 + TIME(1,0,0)</f>
        <v>45922.958333333278</v>
      </c>
      <c r="KA12" s="47"/>
      <c r="KB12" s="47"/>
      <c r="KC12" s="47"/>
      <c r="KD12" s="47"/>
      <c r="KE12" s="48"/>
      <c r="KF12" s="47">
        <f>KF11 + TIME(0,0,0)</f>
        <v>45923</v>
      </c>
      <c r="KG12" s="47"/>
      <c r="KH12" s="47"/>
      <c r="KI12" s="47"/>
      <c r="KJ12" s="47"/>
      <c r="KK12" s="47"/>
      <c r="KL12" s="47">
        <f>KF12 + TIME(1,0,0)</f>
        <v>45923.041666666664</v>
      </c>
      <c r="KM12" s="47"/>
      <c r="KN12" s="47"/>
      <c r="KO12" s="47"/>
      <c r="KP12" s="47"/>
      <c r="KQ12" s="47"/>
      <c r="KR12" s="47">
        <f>KL12 + TIME(1,0,0)</f>
        <v>45923.083333333328</v>
      </c>
      <c r="KS12" s="47"/>
      <c r="KT12" s="47"/>
      <c r="KU12" s="47"/>
      <c r="KV12" s="47"/>
      <c r="KW12" s="47"/>
      <c r="KX12" s="47">
        <f t="shared" ref="KX12" si="42">KR12 + TIME(1,0,0)</f>
        <v>45923.124999999993</v>
      </c>
      <c r="KY12" s="47"/>
      <c r="KZ12" s="47"/>
      <c r="LA12" s="47"/>
      <c r="LB12" s="47"/>
      <c r="LC12" s="47"/>
      <c r="LD12" s="47">
        <f t="shared" ref="LD12" si="43">KX12 + TIME(1,0,0)</f>
        <v>45923.166666666657</v>
      </c>
      <c r="LE12" s="47"/>
      <c r="LF12" s="47"/>
      <c r="LG12" s="47"/>
      <c r="LH12" s="47"/>
      <c r="LI12" s="47"/>
      <c r="LJ12" s="47">
        <f t="shared" ref="LJ12" si="44">LD12 + TIME(1,0,0)</f>
        <v>45923.208333333321</v>
      </c>
      <c r="LK12" s="47"/>
      <c r="LL12" s="47"/>
      <c r="LM12" s="47"/>
      <c r="LN12" s="47"/>
      <c r="LO12" s="47"/>
      <c r="LP12" s="47">
        <f t="shared" ref="LP12" si="45">LJ12 + TIME(1,0,0)</f>
        <v>45923.249999999985</v>
      </c>
      <c r="LQ12" s="47"/>
      <c r="LR12" s="47"/>
      <c r="LS12" s="47"/>
      <c r="LT12" s="47"/>
      <c r="LU12" s="47"/>
      <c r="LV12" s="47">
        <f t="shared" ref="LV12" si="46">LP12 + TIME(1,0,0)</f>
        <v>45923.29166666665</v>
      </c>
      <c r="LW12" s="47"/>
      <c r="LX12" s="47"/>
      <c r="LY12" s="47"/>
      <c r="LZ12" s="47"/>
      <c r="MA12" s="47"/>
      <c r="MB12" s="47">
        <f t="shared" ref="MB12" si="47">LV12 + TIME(1,0,0)</f>
        <v>45923.333333333314</v>
      </c>
      <c r="MC12" s="47"/>
      <c r="MD12" s="47"/>
      <c r="ME12" s="47"/>
      <c r="MF12" s="47"/>
      <c r="MG12" s="47"/>
      <c r="MH12" s="47">
        <f t="shared" ref="MH12" si="48">MB12 + TIME(1,0,0)</f>
        <v>45923.374999999978</v>
      </c>
      <c r="MI12" s="47"/>
      <c r="MJ12" s="47"/>
      <c r="MK12" s="47"/>
      <c r="ML12" s="47"/>
      <c r="MM12" s="47"/>
      <c r="MN12" s="47">
        <f t="shared" ref="MN12" si="49">MH12 + TIME(1,0,0)</f>
        <v>45923.416666666642</v>
      </c>
      <c r="MO12" s="47"/>
      <c r="MP12" s="47"/>
      <c r="MQ12" s="47"/>
      <c r="MR12" s="47"/>
      <c r="MS12" s="47"/>
      <c r="MT12" s="47">
        <f t="shared" ref="MT12" si="50">MN12 + TIME(1,0,0)</f>
        <v>45923.458333333307</v>
      </c>
      <c r="MU12" s="47"/>
      <c r="MV12" s="47"/>
      <c r="MW12" s="47"/>
      <c r="MX12" s="47"/>
      <c r="MY12" s="47"/>
      <c r="MZ12" s="47">
        <f t="shared" ref="MZ12" si="51">MT12 + TIME(1,0,0)</f>
        <v>45923.499999999971</v>
      </c>
      <c r="NA12" s="47"/>
      <c r="NB12" s="47"/>
      <c r="NC12" s="47"/>
      <c r="ND12" s="47"/>
      <c r="NE12" s="47"/>
      <c r="NF12" s="47">
        <f t="shared" ref="NF12" si="52">MZ12 + TIME(1,0,0)</f>
        <v>45923.541666666635</v>
      </c>
      <c r="NG12" s="47"/>
      <c r="NH12" s="47"/>
      <c r="NI12" s="47"/>
      <c r="NJ12" s="47"/>
      <c r="NK12" s="47"/>
      <c r="NL12" s="47">
        <f t="shared" ref="NL12" si="53">NF12 + TIME(1,0,0)</f>
        <v>45923.583333333299</v>
      </c>
      <c r="NM12" s="47"/>
      <c r="NN12" s="47"/>
      <c r="NO12" s="47"/>
      <c r="NP12" s="47"/>
      <c r="NQ12" s="47"/>
      <c r="NR12" s="47">
        <f t="shared" ref="NR12" si="54">NL12 + TIME(1,0,0)</f>
        <v>45923.624999999964</v>
      </c>
      <c r="NS12" s="47"/>
      <c r="NT12" s="47"/>
      <c r="NU12" s="47"/>
      <c r="NV12" s="47"/>
      <c r="NW12" s="47"/>
      <c r="NX12" s="47">
        <f t="shared" ref="NX12" si="55">NR12 + TIME(1,0,0)</f>
        <v>45923.666666666628</v>
      </c>
      <c r="NY12" s="47"/>
      <c r="NZ12" s="47"/>
      <c r="OA12" s="47"/>
      <c r="OB12" s="47"/>
      <c r="OC12" s="47"/>
      <c r="OD12" s="47">
        <f t="shared" ref="OD12" si="56">NX12 + TIME(1,0,0)</f>
        <v>45923.708333333292</v>
      </c>
      <c r="OE12" s="47"/>
      <c r="OF12" s="47"/>
      <c r="OG12" s="47"/>
      <c r="OH12" s="47"/>
      <c r="OI12" s="47"/>
      <c r="OJ12" s="47">
        <f t="shared" ref="OJ12" si="57">OD12 + TIME(1,0,0)</f>
        <v>45923.749999999956</v>
      </c>
      <c r="OK12" s="47"/>
      <c r="OL12" s="47"/>
      <c r="OM12" s="47"/>
      <c r="ON12" s="47"/>
      <c r="OO12" s="47"/>
      <c r="OP12" s="47">
        <f t="shared" ref="OP12" si="58">OJ12 + TIME(1,0,0)</f>
        <v>45923.791666666621</v>
      </c>
      <c r="OQ12" s="47"/>
      <c r="OR12" s="47"/>
      <c r="OS12" s="47"/>
      <c r="OT12" s="47"/>
      <c r="OU12" s="47"/>
      <c r="OV12" s="47">
        <f t="shared" ref="OV12" si="59">OP12 + TIME(1,0,0)</f>
        <v>45923.833333333285</v>
      </c>
      <c r="OW12" s="47"/>
      <c r="OX12" s="47"/>
      <c r="OY12" s="47"/>
      <c r="OZ12" s="47"/>
      <c r="PA12" s="47"/>
      <c r="PB12" s="47">
        <f t="shared" ref="PB12" si="60">OV12 + TIME(1,0,0)</f>
        <v>45923.874999999949</v>
      </c>
      <c r="PC12" s="47"/>
      <c r="PD12" s="47"/>
      <c r="PE12" s="47"/>
      <c r="PF12" s="47"/>
      <c r="PG12" s="47"/>
      <c r="PH12" s="47">
        <f t="shared" ref="PH12" si="61">PB12 + TIME(1,0,0)</f>
        <v>45923.916666666613</v>
      </c>
      <c r="PI12" s="47"/>
      <c r="PJ12" s="47"/>
      <c r="PK12" s="47"/>
      <c r="PL12" s="47"/>
      <c r="PM12" s="47"/>
      <c r="PN12" s="47">
        <f t="shared" ref="PN12" si="62">PH12 + TIME(1,0,0)</f>
        <v>45923.958333333278</v>
      </c>
      <c r="PO12" s="47"/>
      <c r="PP12" s="47"/>
      <c r="PQ12" s="47"/>
      <c r="PR12" s="47"/>
      <c r="PS12" s="48"/>
      <c r="PT12" s="47">
        <f>PT11 + TIME(0,0,0)</f>
        <v>45924</v>
      </c>
      <c r="PU12" s="47"/>
      <c r="PV12" s="47"/>
      <c r="PW12" s="47"/>
      <c r="PX12" s="47"/>
      <c r="PY12" s="47"/>
      <c r="PZ12" s="47">
        <f>PT12 + TIME(1,0,0)</f>
        <v>45924.041666666664</v>
      </c>
      <c r="QA12" s="47"/>
      <c r="QB12" s="47"/>
      <c r="QC12" s="47"/>
      <c r="QD12" s="47"/>
      <c r="QE12" s="47"/>
      <c r="QF12" s="47">
        <f>PZ12 + TIME(1,0,0)</f>
        <v>45924.083333333328</v>
      </c>
      <c r="QG12" s="47"/>
      <c r="QH12" s="47"/>
      <c r="QI12" s="47"/>
      <c r="QJ12" s="47"/>
      <c r="QK12" s="47"/>
      <c r="QL12" s="47">
        <f t="shared" ref="QL12" si="63">QF12 + TIME(1,0,0)</f>
        <v>45924.124999999993</v>
      </c>
      <c r="QM12" s="47"/>
      <c r="QN12" s="47"/>
      <c r="QO12" s="47"/>
      <c r="QP12" s="47"/>
      <c r="QQ12" s="47"/>
      <c r="QR12" s="47">
        <f t="shared" ref="QR12" si="64">QL12 + TIME(1,0,0)</f>
        <v>45924.166666666657</v>
      </c>
      <c r="QS12" s="47"/>
      <c r="QT12" s="47"/>
      <c r="QU12" s="47"/>
      <c r="QV12" s="47"/>
      <c r="QW12" s="47"/>
      <c r="QX12" s="47">
        <f t="shared" ref="QX12" si="65">QR12 + TIME(1,0,0)</f>
        <v>45924.208333333321</v>
      </c>
      <c r="QY12" s="47"/>
      <c r="QZ12" s="47"/>
      <c r="RA12" s="47"/>
      <c r="RB12" s="47"/>
      <c r="RC12" s="47"/>
      <c r="RD12" s="47">
        <f t="shared" ref="RD12" si="66">QX12 + TIME(1,0,0)</f>
        <v>45924.249999999985</v>
      </c>
      <c r="RE12" s="47"/>
      <c r="RF12" s="47"/>
      <c r="RG12" s="47"/>
      <c r="RH12" s="47"/>
      <c r="RI12" s="47"/>
      <c r="RJ12" s="47">
        <f t="shared" ref="RJ12" si="67">RD12 + TIME(1,0,0)</f>
        <v>45924.29166666665</v>
      </c>
      <c r="RK12" s="47"/>
      <c r="RL12" s="47"/>
      <c r="RM12" s="47"/>
      <c r="RN12" s="47"/>
      <c r="RO12" s="47"/>
      <c r="RP12" s="47">
        <f t="shared" ref="RP12" si="68">RJ12 + TIME(1,0,0)</f>
        <v>45924.333333333314</v>
      </c>
      <c r="RQ12" s="47"/>
      <c r="RR12" s="47"/>
      <c r="RS12" s="47"/>
      <c r="RT12" s="47"/>
      <c r="RU12" s="47"/>
      <c r="RV12" s="47">
        <f t="shared" ref="RV12" si="69">RP12 + TIME(1,0,0)</f>
        <v>45924.374999999978</v>
      </c>
      <c r="RW12" s="47"/>
      <c r="RX12" s="47"/>
      <c r="RY12" s="47"/>
      <c r="RZ12" s="47"/>
      <c r="SA12" s="47"/>
      <c r="SB12" s="47">
        <f t="shared" ref="SB12" si="70">RV12 + TIME(1,0,0)</f>
        <v>45924.416666666642</v>
      </c>
      <c r="SC12" s="47"/>
      <c r="SD12" s="47"/>
      <c r="SE12" s="47"/>
      <c r="SF12" s="47"/>
      <c r="SG12" s="47"/>
      <c r="SH12" s="47">
        <f t="shared" ref="SH12" si="71">SB12 + TIME(1,0,0)</f>
        <v>45924.458333333307</v>
      </c>
      <c r="SI12" s="47"/>
      <c r="SJ12" s="47"/>
      <c r="SK12" s="47"/>
      <c r="SL12" s="47"/>
      <c r="SM12" s="47"/>
      <c r="SN12" s="47">
        <f t="shared" ref="SN12" si="72">SH12 + TIME(1,0,0)</f>
        <v>45924.499999999971</v>
      </c>
      <c r="SO12" s="47"/>
      <c r="SP12" s="47"/>
      <c r="SQ12" s="47"/>
      <c r="SR12" s="47"/>
      <c r="SS12" s="47"/>
      <c r="ST12" s="47">
        <f t="shared" ref="ST12" si="73">SN12 + TIME(1,0,0)</f>
        <v>45924.541666666635</v>
      </c>
      <c r="SU12" s="47"/>
      <c r="SV12" s="47"/>
      <c r="SW12" s="47"/>
      <c r="SX12" s="47"/>
      <c r="SY12" s="47"/>
      <c r="SZ12" s="47">
        <f t="shared" ref="SZ12" si="74">ST12 + TIME(1,0,0)</f>
        <v>45924.583333333299</v>
      </c>
      <c r="TA12" s="47"/>
      <c r="TB12" s="47"/>
      <c r="TC12" s="47"/>
      <c r="TD12" s="47"/>
      <c r="TE12" s="47"/>
      <c r="TF12" s="47">
        <f t="shared" ref="TF12" si="75">SZ12 + TIME(1,0,0)</f>
        <v>45924.624999999964</v>
      </c>
      <c r="TG12" s="47"/>
      <c r="TH12" s="47"/>
      <c r="TI12" s="47"/>
      <c r="TJ12" s="47"/>
      <c r="TK12" s="47"/>
      <c r="TL12" s="47">
        <f t="shared" ref="TL12" si="76">TF12 + TIME(1,0,0)</f>
        <v>45924.666666666628</v>
      </c>
      <c r="TM12" s="47"/>
      <c r="TN12" s="47"/>
      <c r="TO12" s="47"/>
      <c r="TP12" s="47"/>
      <c r="TQ12" s="47"/>
      <c r="TR12" s="47">
        <f t="shared" ref="TR12" si="77">TL12 + TIME(1,0,0)</f>
        <v>45924.708333333292</v>
      </c>
      <c r="TS12" s="47"/>
      <c r="TT12" s="47"/>
      <c r="TU12" s="47"/>
      <c r="TV12" s="47"/>
      <c r="TW12" s="47"/>
      <c r="TX12" s="47">
        <f t="shared" ref="TX12" si="78">TR12 + TIME(1,0,0)</f>
        <v>45924.749999999956</v>
      </c>
      <c r="TY12" s="47"/>
      <c r="TZ12" s="47"/>
      <c r="UA12" s="47"/>
      <c r="UB12" s="47"/>
      <c r="UC12" s="47"/>
      <c r="UD12" s="47">
        <f t="shared" ref="UD12" si="79">TX12 + TIME(1,0,0)</f>
        <v>45924.791666666621</v>
      </c>
      <c r="UE12" s="47"/>
      <c r="UF12" s="47"/>
      <c r="UG12" s="47"/>
      <c r="UH12" s="47"/>
      <c r="UI12" s="47"/>
      <c r="UJ12" s="47">
        <f t="shared" ref="UJ12" si="80">UD12 + TIME(1,0,0)</f>
        <v>45924.833333333285</v>
      </c>
      <c r="UK12" s="47"/>
      <c r="UL12" s="47"/>
      <c r="UM12" s="47"/>
      <c r="UN12" s="47"/>
      <c r="UO12" s="47"/>
      <c r="UP12" s="47">
        <f t="shared" ref="UP12" si="81">UJ12 + TIME(1,0,0)</f>
        <v>45924.874999999949</v>
      </c>
      <c r="UQ12" s="47"/>
      <c r="UR12" s="47"/>
      <c r="US12" s="47"/>
      <c r="UT12" s="47"/>
      <c r="UU12" s="47"/>
      <c r="UV12" s="47">
        <f t="shared" ref="UV12" si="82">UP12 + TIME(1,0,0)</f>
        <v>45924.916666666613</v>
      </c>
      <c r="UW12" s="47"/>
      <c r="UX12" s="47"/>
      <c r="UY12" s="47"/>
      <c r="UZ12" s="47"/>
      <c r="VA12" s="47"/>
      <c r="VB12" s="47">
        <f t="shared" ref="VB12" si="83">UV12 + TIME(1,0,0)</f>
        <v>45924.958333333278</v>
      </c>
      <c r="VC12" s="47"/>
      <c r="VD12" s="47"/>
      <c r="VE12" s="47"/>
      <c r="VF12" s="47"/>
      <c r="VG12" s="48"/>
      <c r="VH12" s="47">
        <f>VH11 + TIME(0,0,0)</f>
        <v>45925</v>
      </c>
      <c r="VI12" s="47"/>
      <c r="VJ12" s="47"/>
      <c r="VK12" s="47"/>
      <c r="VL12" s="47"/>
      <c r="VM12" s="47"/>
      <c r="VN12" s="47">
        <f>VH12 + TIME(1,0,0)</f>
        <v>45925.041666666664</v>
      </c>
      <c r="VO12" s="47"/>
      <c r="VP12" s="47"/>
      <c r="VQ12" s="47"/>
      <c r="VR12" s="47"/>
      <c r="VS12" s="47"/>
      <c r="VT12" s="47">
        <f>VN12 + TIME(1,0,0)</f>
        <v>45925.083333333328</v>
      </c>
      <c r="VU12" s="47"/>
      <c r="VV12" s="47"/>
      <c r="VW12" s="47"/>
      <c r="VX12" s="47"/>
      <c r="VY12" s="47"/>
      <c r="VZ12" s="47">
        <f t="shared" ref="VZ12" si="84">VT12 + TIME(1,0,0)</f>
        <v>45925.124999999993</v>
      </c>
      <c r="WA12" s="47"/>
      <c r="WB12" s="47"/>
      <c r="WC12" s="47"/>
      <c r="WD12" s="47"/>
      <c r="WE12" s="47"/>
      <c r="WF12" s="47">
        <f t="shared" ref="WF12" si="85">VZ12 + TIME(1,0,0)</f>
        <v>45925.166666666657</v>
      </c>
      <c r="WG12" s="47"/>
      <c r="WH12" s="47"/>
      <c r="WI12" s="47"/>
      <c r="WJ12" s="47"/>
      <c r="WK12" s="47"/>
      <c r="WL12" s="47">
        <f t="shared" ref="WL12" si="86">WF12 + TIME(1,0,0)</f>
        <v>45925.208333333321</v>
      </c>
      <c r="WM12" s="47"/>
      <c r="WN12" s="47"/>
      <c r="WO12" s="47"/>
      <c r="WP12" s="47"/>
      <c r="WQ12" s="47"/>
      <c r="WR12" s="47">
        <f t="shared" ref="WR12" si="87">WL12 + TIME(1,0,0)</f>
        <v>45925.249999999985</v>
      </c>
      <c r="WS12" s="47"/>
      <c r="WT12" s="47"/>
      <c r="WU12" s="47"/>
      <c r="WV12" s="47"/>
      <c r="WW12" s="47"/>
      <c r="WX12" s="47">
        <f t="shared" ref="WX12" si="88">WR12 + TIME(1,0,0)</f>
        <v>45925.29166666665</v>
      </c>
      <c r="WY12" s="47"/>
      <c r="WZ12" s="47"/>
      <c r="XA12" s="47"/>
      <c r="XB12" s="47"/>
      <c r="XC12" s="47"/>
      <c r="XD12" s="47">
        <f t="shared" ref="XD12" si="89">WX12 + TIME(1,0,0)</f>
        <v>45925.333333333314</v>
      </c>
      <c r="XE12" s="47"/>
      <c r="XF12" s="47"/>
      <c r="XG12" s="47"/>
      <c r="XH12" s="47"/>
      <c r="XI12" s="47"/>
      <c r="XJ12" s="47">
        <f t="shared" ref="XJ12" si="90">XD12 + TIME(1,0,0)</f>
        <v>45925.374999999978</v>
      </c>
      <c r="XK12" s="47"/>
      <c r="XL12" s="47"/>
      <c r="XM12" s="47"/>
      <c r="XN12" s="47"/>
      <c r="XO12" s="47"/>
      <c r="XP12" s="47">
        <f t="shared" ref="XP12" si="91">XJ12 + TIME(1,0,0)</f>
        <v>45925.416666666642</v>
      </c>
      <c r="XQ12" s="47"/>
      <c r="XR12" s="47"/>
      <c r="XS12" s="47"/>
      <c r="XT12" s="47"/>
      <c r="XU12" s="47"/>
      <c r="XV12" s="47">
        <f t="shared" ref="XV12" si="92">XP12 + TIME(1,0,0)</f>
        <v>45925.458333333307</v>
      </c>
      <c r="XW12" s="47"/>
      <c r="XX12" s="47"/>
      <c r="XY12" s="47"/>
      <c r="XZ12" s="47"/>
      <c r="YA12" s="47"/>
      <c r="YB12" s="47">
        <f t="shared" ref="YB12" si="93">XV12 + TIME(1,0,0)</f>
        <v>45925.499999999971</v>
      </c>
      <c r="YC12" s="47"/>
      <c r="YD12" s="47"/>
      <c r="YE12" s="47"/>
      <c r="YF12" s="47"/>
      <c r="YG12" s="47"/>
      <c r="YH12" s="47">
        <f t="shared" ref="YH12" si="94">YB12 + TIME(1,0,0)</f>
        <v>45925.541666666635</v>
      </c>
      <c r="YI12" s="47"/>
      <c r="YJ12" s="47"/>
      <c r="YK12" s="47"/>
      <c r="YL12" s="47"/>
      <c r="YM12" s="47"/>
      <c r="YN12" s="47">
        <f t="shared" ref="YN12" si="95">YH12 + TIME(1,0,0)</f>
        <v>45925.583333333299</v>
      </c>
      <c r="YO12" s="47"/>
      <c r="YP12" s="47"/>
      <c r="YQ12" s="47"/>
      <c r="YR12" s="47"/>
      <c r="YS12" s="47"/>
      <c r="YT12" s="47">
        <f t="shared" ref="YT12" si="96">YN12 + TIME(1,0,0)</f>
        <v>45925.624999999964</v>
      </c>
      <c r="YU12" s="47"/>
      <c r="YV12" s="47"/>
      <c r="YW12" s="47"/>
      <c r="YX12" s="47"/>
      <c r="YY12" s="47"/>
      <c r="YZ12" s="47">
        <f t="shared" ref="YZ12" si="97">YT12 + TIME(1,0,0)</f>
        <v>45925.666666666628</v>
      </c>
      <c r="ZA12" s="47"/>
      <c r="ZB12" s="47"/>
      <c r="ZC12" s="47"/>
      <c r="ZD12" s="47"/>
      <c r="ZE12" s="47"/>
      <c r="ZF12" s="47">
        <f t="shared" ref="ZF12" si="98">YZ12 + TIME(1,0,0)</f>
        <v>45925.708333333292</v>
      </c>
      <c r="ZG12" s="47"/>
      <c r="ZH12" s="47"/>
      <c r="ZI12" s="47"/>
      <c r="ZJ12" s="47"/>
      <c r="ZK12" s="47"/>
      <c r="ZL12" s="47">
        <f t="shared" ref="ZL12" si="99">ZF12 + TIME(1,0,0)</f>
        <v>45925.749999999956</v>
      </c>
      <c r="ZM12" s="47"/>
      <c r="ZN12" s="47"/>
      <c r="ZO12" s="47"/>
      <c r="ZP12" s="47"/>
      <c r="ZQ12" s="47"/>
      <c r="ZR12" s="47">
        <f t="shared" ref="ZR12" si="100">ZL12 + TIME(1,0,0)</f>
        <v>45925.791666666621</v>
      </c>
      <c r="ZS12" s="47"/>
      <c r="ZT12" s="47"/>
      <c r="ZU12" s="47"/>
      <c r="ZV12" s="47"/>
      <c r="ZW12" s="47"/>
      <c r="ZX12" s="47">
        <f t="shared" ref="ZX12" si="101">ZR12 + TIME(1,0,0)</f>
        <v>45925.833333333285</v>
      </c>
      <c r="ZY12" s="47"/>
      <c r="ZZ12" s="47"/>
      <c r="AAA12" s="47"/>
      <c r="AAB12" s="47"/>
      <c r="AAC12" s="47"/>
      <c r="AAD12" s="47">
        <f t="shared" ref="AAD12" si="102">ZX12 + TIME(1,0,0)</f>
        <v>45925.874999999949</v>
      </c>
      <c r="AAE12" s="47"/>
      <c r="AAF12" s="47"/>
      <c r="AAG12" s="47"/>
      <c r="AAH12" s="47"/>
      <c r="AAI12" s="47"/>
      <c r="AAJ12" s="47">
        <f t="shared" ref="AAJ12" si="103">AAD12 + TIME(1,0,0)</f>
        <v>45925.916666666613</v>
      </c>
      <c r="AAK12" s="47"/>
      <c r="AAL12" s="47"/>
      <c r="AAM12" s="47"/>
      <c r="AAN12" s="47"/>
      <c r="AAO12" s="47"/>
      <c r="AAP12" s="47">
        <f t="shared" ref="AAP12" si="104">AAJ12 + TIME(1,0,0)</f>
        <v>45925.958333333278</v>
      </c>
      <c r="AAQ12" s="47"/>
      <c r="AAR12" s="47"/>
      <c r="AAS12" s="47"/>
      <c r="AAT12" s="47"/>
      <c r="AAU12" s="48"/>
      <c r="AAV12" s="47">
        <f>AAV11 + TIME(0,0,0)</f>
        <v>45926</v>
      </c>
      <c r="AAW12" s="47"/>
      <c r="AAX12" s="47"/>
      <c r="AAY12" s="47"/>
      <c r="AAZ12" s="47"/>
      <c r="ABA12" s="47"/>
      <c r="ABB12" s="47">
        <f>AAV12 + TIME(1,0,0)</f>
        <v>45926.041666666664</v>
      </c>
      <c r="ABC12" s="47"/>
      <c r="ABD12" s="47"/>
      <c r="ABE12" s="47"/>
      <c r="ABF12" s="47"/>
      <c r="ABG12" s="47"/>
      <c r="ABH12" s="47">
        <f>ABB12 + TIME(1,0,0)</f>
        <v>45926.083333333328</v>
      </c>
      <c r="ABI12" s="47"/>
      <c r="ABJ12" s="47"/>
      <c r="ABK12" s="47"/>
      <c r="ABL12" s="47"/>
      <c r="ABM12" s="47"/>
      <c r="ABN12" s="47">
        <f t="shared" ref="ABN12" si="105">ABH12 + TIME(1,0,0)</f>
        <v>45926.124999999993</v>
      </c>
      <c r="ABO12" s="47"/>
      <c r="ABP12" s="47"/>
      <c r="ABQ12" s="47"/>
      <c r="ABR12" s="47"/>
      <c r="ABS12" s="47"/>
      <c r="ABT12" s="47">
        <f t="shared" ref="ABT12" si="106">ABN12 + TIME(1,0,0)</f>
        <v>45926.166666666657</v>
      </c>
      <c r="ABU12" s="47"/>
      <c r="ABV12" s="47"/>
      <c r="ABW12" s="47"/>
      <c r="ABX12" s="47"/>
      <c r="ABY12" s="47"/>
      <c r="ABZ12" s="47">
        <f t="shared" ref="ABZ12" si="107">ABT12 + TIME(1,0,0)</f>
        <v>45926.208333333321</v>
      </c>
      <c r="ACA12" s="47"/>
      <c r="ACB12" s="47"/>
      <c r="ACC12" s="47"/>
      <c r="ACD12" s="47"/>
      <c r="ACE12" s="47"/>
      <c r="ACF12" s="47">
        <f t="shared" ref="ACF12" si="108">ABZ12 + TIME(1,0,0)</f>
        <v>45926.249999999985</v>
      </c>
      <c r="ACG12" s="47"/>
      <c r="ACH12" s="47"/>
      <c r="ACI12" s="47"/>
      <c r="ACJ12" s="47"/>
      <c r="ACK12" s="47"/>
      <c r="ACL12" s="47">
        <f t="shared" ref="ACL12" si="109">ACF12 + TIME(1,0,0)</f>
        <v>45926.29166666665</v>
      </c>
      <c r="ACM12" s="47"/>
      <c r="ACN12" s="47"/>
      <c r="ACO12" s="47"/>
      <c r="ACP12" s="47"/>
      <c r="ACQ12" s="47"/>
      <c r="ACR12" s="47">
        <f t="shared" ref="ACR12" si="110">ACL12 + TIME(1,0,0)</f>
        <v>45926.333333333314</v>
      </c>
      <c r="ACS12" s="47"/>
      <c r="ACT12" s="47"/>
      <c r="ACU12" s="47"/>
      <c r="ACV12" s="47"/>
      <c r="ACW12" s="47"/>
      <c r="ACX12" s="47">
        <f t="shared" ref="ACX12" si="111">ACR12 + TIME(1,0,0)</f>
        <v>45926.374999999978</v>
      </c>
      <c r="ACY12" s="47"/>
      <c r="ACZ12" s="47"/>
      <c r="ADA12" s="47"/>
      <c r="ADB12" s="47"/>
      <c r="ADC12" s="47"/>
      <c r="ADD12" s="47">
        <f t="shared" ref="ADD12" si="112">ACX12 + TIME(1,0,0)</f>
        <v>45926.416666666642</v>
      </c>
      <c r="ADE12" s="47"/>
      <c r="ADF12" s="47"/>
      <c r="ADG12" s="47"/>
      <c r="ADH12" s="47"/>
      <c r="ADI12" s="47"/>
      <c r="ADJ12" s="47">
        <f t="shared" ref="ADJ12" si="113">ADD12 + TIME(1,0,0)</f>
        <v>45926.458333333307</v>
      </c>
      <c r="ADK12" s="47"/>
      <c r="ADL12" s="47"/>
      <c r="ADM12" s="47"/>
      <c r="ADN12" s="47"/>
      <c r="ADO12" s="47"/>
      <c r="ADP12" s="47">
        <f t="shared" ref="ADP12" si="114">ADJ12 + TIME(1,0,0)</f>
        <v>45926.499999999971</v>
      </c>
      <c r="ADQ12" s="47"/>
      <c r="ADR12" s="47"/>
      <c r="ADS12" s="47"/>
      <c r="ADT12" s="47"/>
      <c r="ADU12" s="47"/>
      <c r="ADV12" s="47">
        <f t="shared" ref="ADV12" si="115">ADP12 + TIME(1,0,0)</f>
        <v>45926.541666666635</v>
      </c>
      <c r="ADW12" s="47"/>
      <c r="ADX12" s="47"/>
      <c r="ADY12" s="47"/>
      <c r="ADZ12" s="47"/>
      <c r="AEA12" s="47"/>
      <c r="AEB12" s="47">
        <f t="shared" ref="AEB12" si="116">ADV12 + TIME(1,0,0)</f>
        <v>45926.583333333299</v>
      </c>
      <c r="AEC12" s="47"/>
      <c r="AED12" s="47"/>
      <c r="AEE12" s="47"/>
      <c r="AEF12" s="47"/>
      <c r="AEG12" s="47"/>
      <c r="AEH12" s="47">
        <f t="shared" ref="AEH12" si="117">AEB12 + TIME(1,0,0)</f>
        <v>45926.624999999964</v>
      </c>
      <c r="AEI12" s="47"/>
      <c r="AEJ12" s="47"/>
      <c r="AEK12" s="47"/>
      <c r="AEL12" s="47"/>
      <c r="AEM12" s="47"/>
      <c r="AEN12" s="47">
        <f t="shared" ref="AEN12" si="118">AEH12 + TIME(1,0,0)</f>
        <v>45926.666666666628</v>
      </c>
      <c r="AEO12" s="47"/>
      <c r="AEP12" s="47"/>
      <c r="AEQ12" s="47"/>
      <c r="AER12" s="47"/>
      <c r="AES12" s="47"/>
      <c r="AET12" s="47">
        <f t="shared" ref="AET12" si="119">AEN12 + TIME(1,0,0)</f>
        <v>45926.708333333292</v>
      </c>
      <c r="AEU12" s="47"/>
      <c r="AEV12" s="47"/>
      <c r="AEW12" s="47"/>
      <c r="AEX12" s="47"/>
      <c r="AEY12" s="47"/>
      <c r="AEZ12" s="47">
        <f t="shared" ref="AEZ12" si="120">AET12 + TIME(1,0,0)</f>
        <v>45926.749999999956</v>
      </c>
      <c r="AFA12" s="47"/>
      <c r="AFB12" s="47"/>
      <c r="AFC12" s="47"/>
      <c r="AFD12" s="47"/>
      <c r="AFE12" s="47"/>
      <c r="AFF12" s="47">
        <f t="shared" ref="AFF12" si="121">AEZ12 + TIME(1,0,0)</f>
        <v>45926.791666666621</v>
      </c>
      <c r="AFG12" s="47"/>
      <c r="AFH12" s="47"/>
      <c r="AFI12" s="47"/>
      <c r="AFJ12" s="47"/>
      <c r="AFK12" s="47"/>
      <c r="AFL12" s="47">
        <f t="shared" ref="AFL12" si="122">AFF12 + TIME(1,0,0)</f>
        <v>45926.833333333285</v>
      </c>
      <c r="AFM12" s="47"/>
      <c r="AFN12" s="47"/>
      <c r="AFO12" s="47"/>
      <c r="AFP12" s="47"/>
      <c r="AFQ12" s="47"/>
      <c r="AFR12" s="47">
        <f t="shared" ref="AFR12" si="123">AFL12 + TIME(1,0,0)</f>
        <v>45926.874999999949</v>
      </c>
      <c r="AFS12" s="47"/>
      <c r="AFT12" s="47"/>
      <c r="AFU12" s="47"/>
      <c r="AFV12" s="47"/>
      <c r="AFW12" s="47"/>
      <c r="AFX12" s="47">
        <f t="shared" ref="AFX12" si="124">AFR12 + TIME(1,0,0)</f>
        <v>45926.916666666613</v>
      </c>
      <c r="AFY12" s="47"/>
      <c r="AFZ12" s="47"/>
      <c r="AGA12" s="47"/>
      <c r="AGB12" s="47"/>
      <c r="AGC12" s="47"/>
      <c r="AGD12" s="47">
        <f t="shared" ref="AGD12" si="125">AFX12 + TIME(1,0,0)</f>
        <v>45926.958333333278</v>
      </c>
      <c r="AGE12" s="47"/>
      <c r="AGF12" s="47"/>
      <c r="AGG12" s="47"/>
      <c r="AGH12" s="47"/>
      <c r="AGI12" s="48"/>
      <c r="AGJ12" s="47">
        <f>AGJ11 + TIME(0,0,0)</f>
        <v>45927</v>
      </c>
      <c r="AGK12" s="47"/>
      <c r="AGL12" s="47"/>
      <c r="AGM12" s="47"/>
      <c r="AGN12" s="47"/>
      <c r="AGO12" s="47"/>
      <c r="AGP12" s="47">
        <f>AGJ12 + TIME(1,0,0)</f>
        <v>45927.041666666664</v>
      </c>
      <c r="AGQ12" s="47"/>
      <c r="AGR12" s="47"/>
      <c r="AGS12" s="47"/>
      <c r="AGT12" s="47"/>
      <c r="AGU12" s="47"/>
      <c r="AGV12" s="47">
        <f>AGP12 + TIME(1,0,0)</f>
        <v>45927.083333333328</v>
      </c>
      <c r="AGW12" s="47"/>
      <c r="AGX12" s="47"/>
      <c r="AGY12" s="47"/>
      <c r="AGZ12" s="47"/>
      <c r="AHA12" s="47"/>
      <c r="AHB12" s="47">
        <f t="shared" ref="AHB12" si="126">AGV12 + TIME(1,0,0)</f>
        <v>45927.124999999993</v>
      </c>
      <c r="AHC12" s="47"/>
      <c r="AHD12" s="47"/>
      <c r="AHE12" s="47"/>
      <c r="AHF12" s="47"/>
      <c r="AHG12" s="47"/>
      <c r="AHH12" s="47">
        <f t="shared" ref="AHH12" si="127">AHB12 + TIME(1,0,0)</f>
        <v>45927.166666666657</v>
      </c>
      <c r="AHI12" s="47"/>
      <c r="AHJ12" s="47"/>
      <c r="AHK12" s="47"/>
      <c r="AHL12" s="47"/>
      <c r="AHM12" s="47"/>
      <c r="AHN12" s="47">
        <f t="shared" ref="AHN12" si="128">AHH12 + TIME(1,0,0)</f>
        <v>45927.208333333321</v>
      </c>
      <c r="AHO12" s="47"/>
      <c r="AHP12" s="47"/>
      <c r="AHQ12" s="47"/>
      <c r="AHR12" s="47"/>
      <c r="AHS12" s="47"/>
      <c r="AHT12" s="47">
        <f t="shared" ref="AHT12" si="129">AHN12 + TIME(1,0,0)</f>
        <v>45927.249999999985</v>
      </c>
      <c r="AHU12" s="47"/>
      <c r="AHV12" s="47"/>
      <c r="AHW12" s="47"/>
      <c r="AHX12" s="47"/>
      <c r="AHY12" s="47"/>
      <c r="AHZ12" s="47">
        <f t="shared" ref="AHZ12" si="130">AHT12 + TIME(1,0,0)</f>
        <v>45927.29166666665</v>
      </c>
      <c r="AIA12" s="47"/>
      <c r="AIB12" s="47"/>
      <c r="AIC12" s="47"/>
      <c r="AID12" s="47"/>
      <c r="AIE12" s="47"/>
      <c r="AIF12" s="47">
        <f t="shared" ref="AIF12" si="131">AHZ12 + TIME(1,0,0)</f>
        <v>45927.333333333314</v>
      </c>
      <c r="AIG12" s="47"/>
      <c r="AIH12" s="47"/>
      <c r="AII12" s="47"/>
      <c r="AIJ12" s="47"/>
      <c r="AIK12" s="47"/>
      <c r="AIL12" s="47">
        <f t="shared" ref="AIL12" si="132">AIF12 + TIME(1,0,0)</f>
        <v>45927.374999999978</v>
      </c>
      <c r="AIM12" s="47"/>
      <c r="AIN12" s="47"/>
      <c r="AIO12" s="47"/>
      <c r="AIP12" s="47"/>
      <c r="AIQ12" s="47"/>
      <c r="AIR12" s="47">
        <f t="shared" ref="AIR12" si="133">AIL12 + TIME(1,0,0)</f>
        <v>45927.416666666642</v>
      </c>
      <c r="AIS12" s="47"/>
      <c r="AIT12" s="47"/>
      <c r="AIU12" s="47"/>
      <c r="AIV12" s="47"/>
      <c r="AIW12" s="47"/>
      <c r="AIX12" s="47">
        <f t="shared" ref="AIX12" si="134">AIR12 + TIME(1,0,0)</f>
        <v>45927.458333333307</v>
      </c>
      <c r="AIY12" s="47"/>
      <c r="AIZ12" s="47"/>
      <c r="AJA12" s="47"/>
      <c r="AJB12" s="47"/>
      <c r="AJC12" s="47"/>
      <c r="AJD12" s="47">
        <f t="shared" ref="AJD12" si="135">AIX12 + TIME(1,0,0)</f>
        <v>45927.499999999971</v>
      </c>
      <c r="AJE12" s="47"/>
      <c r="AJF12" s="47"/>
      <c r="AJG12" s="47"/>
      <c r="AJH12" s="47"/>
      <c r="AJI12" s="47"/>
      <c r="AJJ12" s="47">
        <f t="shared" ref="AJJ12" si="136">AJD12 + TIME(1,0,0)</f>
        <v>45927.541666666635</v>
      </c>
      <c r="AJK12" s="47"/>
      <c r="AJL12" s="47"/>
      <c r="AJM12" s="47"/>
      <c r="AJN12" s="47"/>
      <c r="AJO12" s="47"/>
      <c r="AJP12" s="47">
        <f t="shared" ref="AJP12" si="137">AJJ12 + TIME(1,0,0)</f>
        <v>45927.583333333299</v>
      </c>
      <c r="AJQ12" s="47"/>
      <c r="AJR12" s="47"/>
      <c r="AJS12" s="47"/>
      <c r="AJT12" s="47"/>
      <c r="AJU12" s="47"/>
      <c r="AJV12" s="47">
        <f t="shared" ref="AJV12" si="138">AJP12 + TIME(1,0,0)</f>
        <v>45927.624999999964</v>
      </c>
      <c r="AJW12" s="47"/>
      <c r="AJX12" s="47"/>
      <c r="AJY12" s="47"/>
      <c r="AJZ12" s="47"/>
      <c r="AKA12" s="47"/>
      <c r="AKB12" s="47">
        <f t="shared" ref="AKB12" si="139">AJV12 + TIME(1,0,0)</f>
        <v>45927.666666666628</v>
      </c>
      <c r="AKC12" s="47"/>
      <c r="AKD12" s="47"/>
      <c r="AKE12" s="47"/>
      <c r="AKF12" s="47"/>
      <c r="AKG12" s="47"/>
      <c r="AKH12" s="47">
        <f t="shared" ref="AKH12" si="140">AKB12 + TIME(1,0,0)</f>
        <v>45927.708333333292</v>
      </c>
      <c r="AKI12" s="47"/>
      <c r="AKJ12" s="47"/>
      <c r="AKK12" s="47"/>
      <c r="AKL12" s="47"/>
      <c r="AKM12" s="47"/>
      <c r="AKN12" s="47">
        <f t="shared" ref="AKN12" si="141">AKH12 + TIME(1,0,0)</f>
        <v>45927.749999999956</v>
      </c>
      <c r="AKO12" s="47"/>
      <c r="AKP12" s="47"/>
      <c r="AKQ12" s="47"/>
      <c r="AKR12" s="47"/>
      <c r="AKS12" s="47"/>
      <c r="AKT12" s="47">
        <f t="shared" ref="AKT12" si="142">AKN12 + TIME(1,0,0)</f>
        <v>45927.791666666621</v>
      </c>
      <c r="AKU12" s="47"/>
      <c r="AKV12" s="47"/>
      <c r="AKW12" s="47"/>
      <c r="AKX12" s="47"/>
      <c r="AKY12" s="47"/>
      <c r="AKZ12" s="47">
        <f t="shared" ref="AKZ12" si="143">AKT12 + TIME(1,0,0)</f>
        <v>45927.833333333285</v>
      </c>
      <c r="ALA12" s="47"/>
      <c r="ALB12" s="47"/>
      <c r="ALC12" s="47"/>
      <c r="ALD12" s="47"/>
      <c r="ALE12" s="47"/>
      <c r="ALF12" s="47">
        <f t="shared" ref="ALF12" si="144">AKZ12 + TIME(1,0,0)</f>
        <v>45927.874999999949</v>
      </c>
      <c r="ALG12" s="47"/>
      <c r="ALH12" s="47"/>
      <c r="ALI12" s="47"/>
      <c r="ALJ12" s="47"/>
      <c r="ALK12" s="47"/>
      <c r="ALL12" s="47">
        <f t="shared" ref="ALL12" si="145">ALF12 + TIME(1,0,0)</f>
        <v>45927.916666666613</v>
      </c>
      <c r="ALM12" s="47"/>
      <c r="ALN12" s="47"/>
      <c r="ALO12" s="47"/>
      <c r="ALP12" s="47"/>
      <c r="ALQ12" s="47"/>
      <c r="ALR12" s="47">
        <f t="shared" ref="ALR12" si="146">ALL12 + TIME(1,0,0)</f>
        <v>45927.958333333278</v>
      </c>
      <c r="ALS12" s="47"/>
      <c r="ALT12" s="47"/>
      <c r="ALU12" s="47"/>
      <c r="ALV12" s="47"/>
      <c r="ALW12" s="48"/>
    </row>
    <row r="13" spans="1:1011" x14ac:dyDescent="0.25">
      <c r="B13" s="4" t="s">
        <v>3</v>
      </c>
      <c r="D13" s="12">
        <f>D12</f>
        <v>45921</v>
      </c>
      <c r="E13" s="12">
        <f>D13 + TIME(0,10,0)</f>
        <v>45921.006944444445</v>
      </c>
      <c r="F13" s="12">
        <f t="shared" ref="F13:BQ13" si="147">E13 + TIME(0,10,0)</f>
        <v>45921.013888888891</v>
      </c>
      <c r="G13" s="12">
        <f t="shared" si="147"/>
        <v>45921.020833333336</v>
      </c>
      <c r="H13" s="12">
        <f t="shared" si="147"/>
        <v>45921.027777777781</v>
      </c>
      <c r="I13" s="12">
        <f t="shared" si="147"/>
        <v>45921.034722222226</v>
      </c>
      <c r="J13" s="12">
        <f t="shared" si="147"/>
        <v>45921.041666666672</v>
      </c>
      <c r="K13" s="12">
        <f t="shared" si="147"/>
        <v>45921.048611111117</v>
      </c>
      <c r="L13" s="12">
        <f t="shared" si="147"/>
        <v>45921.055555555562</v>
      </c>
      <c r="M13" s="12">
        <f t="shared" si="147"/>
        <v>45921.062500000007</v>
      </c>
      <c r="N13" s="12">
        <f t="shared" si="147"/>
        <v>45921.069444444453</v>
      </c>
      <c r="O13" s="12">
        <f t="shared" si="147"/>
        <v>45921.076388888898</v>
      </c>
      <c r="P13" s="12">
        <f t="shared" si="147"/>
        <v>45921.083333333343</v>
      </c>
      <c r="Q13" s="12">
        <f t="shared" si="147"/>
        <v>45921.090277777788</v>
      </c>
      <c r="R13" s="12">
        <f t="shared" si="147"/>
        <v>45921.097222222234</v>
      </c>
      <c r="S13" s="12">
        <f t="shared" si="147"/>
        <v>45921.104166666679</v>
      </c>
      <c r="T13" s="12">
        <f t="shared" si="147"/>
        <v>45921.111111111124</v>
      </c>
      <c r="U13" s="12">
        <f t="shared" si="147"/>
        <v>45921.118055555569</v>
      </c>
      <c r="V13" s="12">
        <f t="shared" si="147"/>
        <v>45921.125000000015</v>
      </c>
      <c r="W13" s="12">
        <f t="shared" si="147"/>
        <v>45921.13194444446</v>
      </c>
      <c r="X13" s="12">
        <f t="shared" si="147"/>
        <v>45921.138888888905</v>
      </c>
      <c r="Y13" s="12">
        <f t="shared" si="147"/>
        <v>45921.14583333335</v>
      </c>
      <c r="Z13" s="12">
        <f t="shared" si="147"/>
        <v>45921.152777777796</v>
      </c>
      <c r="AA13" s="12">
        <f t="shared" si="147"/>
        <v>45921.159722222241</v>
      </c>
      <c r="AB13" s="12">
        <f t="shared" si="147"/>
        <v>45921.166666666686</v>
      </c>
      <c r="AC13" s="12">
        <f t="shared" si="147"/>
        <v>45921.173611111131</v>
      </c>
      <c r="AD13" s="12">
        <f t="shared" si="147"/>
        <v>45921.180555555577</v>
      </c>
      <c r="AE13" s="12">
        <f t="shared" si="147"/>
        <v>45921.187500000022</v>
      </c>
      <c r="AF13" s="12">
        <f t="shared" si="147"/>
        <v>45921.194444444467</v>
      </c>
      <c r="AG13" s="12">
        <f t="shared" si="147"/>
        <v>45921.201388888912</v>
      </c>
      <c r="AH13" s="12">
        <f t="shared" si="147"/>
        <v>45921.208333333358</v>
      </c>
      <c r="AI13" s="12">
        <f t="shared" si="147"/>
        <v>45921.215277777803</v>
      </c>
      <c r="AJ13" s="12">
        <f t="shared" si="147"/>
        <v>45921.222222222248</v>
      </c>
      <c r="AK13" s="12">
        <f t="shared" si="147"/>
        <v>45921.229166666693</v>
      </c>
      <c r="AL13" s="12">
        <f t="shared" si="147"/>
        <v>45921.236111111139</v>
      </c>
      <c r="AM13" s="12">
        <f t="shared" si="147"/>
        <v>45921.243055555584</v>
      </c>
      <c r="AN13" s="12">
        <f t="shared" si="147"/>
        <v>45921.250000000029</v>
      </c>
      <c r="AO13" s="12">
        <f t="shared" si="147"/>
        <v>45921.256944444474</v>
      </c>
      <c r="AP13" s="12">
        <f t="shared" si="147"/>
        <v>45921.26388888892</v>
      </c>
      <c r="AQ13" s="12">
        <f t="shared" si="147"/>
        <v>45921.270833333365</v>
      </c>
      <c r="AR13" s="12">
        <f t="shared" si="147"/>
        <v>45921.27777777781</v>
      </c>
      <c r="AS13" s="12">
        <f t="shared" si="147"/>
        <v>45921.284722222255</v>
      </c>
      <c r="AT13" s="12">
        <f t="shared" si="147"/>
        <v>45921.291666666701</v>
      </c>
      <c r="AU13" s="12">
        <f t="shared" si="147"/>
        <v>45921.298611111146</v>
      </c>
      <c r="AV13" s="12">
        <f t="shared" si="147"/>
        <v>45921.305555555591</v>
      </c>
      <c r="AW13" s="12">
        <f t="shared" si="147"/>
        <v>45921.312500000036</v>
      </c>
      <c r="AX13" s="12">
        <f t="shared" si="147"/>
        <v>45921.319444444482</v>
      </c>
      <c r="AY13" s="12">
        <f t="shared" si="147"/>
        <v>45921.326388888927</v>
      </c>
      <c r="AZ13" s="12">
        <f t="shared" si="147"/>
        <v>45921.333333333372</v>
      </c>
      <c r="BA13" s="12">
        <f t="shared" si="147"/>
        <v>45921.340277777817</v>
      </c>
      <c r="BB13" s="12">
        <f t="shared" si="147"/>
        <v>45921.347222222263</v>
      </c>
      <c r="BC13" s="12">
        <f t="shared" si="147"/>
        <v>45921.354166666708</v>
      </c>
      <c r="BD13" s="12">
        <f t="shared" si="147"/>
        <v>45921.361111111153</v>
      </c>
      <c r="BE13" s="12">
        <f t="shared" si="147"/>
        <v>45921.368055555598</v>
      </c>
      <c r="BF13" s="12">
        <f t="shared" si="147"/>
        <v>45921.375000000044</v>
      </c>
      <c r="BG13" s="12">
        <f t="shared" si="147"/>
        <v>45921.381944444489</v>
      </c>
      <c r="BH13" s="12">
        <f t="shared" si="147"/>
        <v>45921.388888888934</v>
      </c>
      <c r="BI13" s="12">
        <f t="shared" si="147"/>
        <v>45921.395833333379</v>
      </c>
      <c r="BJ13" s="12">
        <f t="shared" si="147"/>
        <v>45921.402777777825</v>
      </c>
      <c r="BK13" s="12">
        <f t="shared" si="147"/>
        <v>45921.40972222227</v>
      </c>
      <c r="BL13" s="12">
        <f t="shared" si="147"/>
        <v>45921.416666666715</v>
      </c>
      <c r="BM13" s="12">
        <f t="shared" si="147"/>
        <v>45921.42361111116</v>
      </c>
      <c r="BN13" s="12">
        <f t="shared" si="147"/>
        <v>45921.430555555606</v>
      </c>
      <c r="BO13" s="12">
        <f t="shared" si="147"/>
        <v>45921.437500000051</v>
      </c>
      <c r="BP13" s="12">
        <f t="shared" si="147"/>
        <v>45921.444444444496</v>
      </c>
      <c r="BQ13" s="12">
        <f t="shared" si="147"/>
        <v>45921.451388888941</v>
      </c>
      <c r="BR13" s="12">
        <f t="shared" ref="BR13:EC13" si="148">BQ13 + TIME(0,10,0)</f>
        <v>45921.458333333387</v>
      </c>
      <c r="BS13" s="12">
        <f t="shared" si="148"/>
        <v>45921.465277777832</v>
      </c>
      <c r="BT13" s="12">
        <f t="shared" si="148"/>
        <v>45921.472222222277</v>
      </c>
      <c r="BU13" s="12">
        <f t="shared" si="148"/>
        <v>45921.479166666722</v>
      </c>
      <c r="BV13" s="12">
        <f t="shared" si="148"/>
        <v>45921.486111111168</v>
      </c>
      <c r="BW13" s="12">
        <f t="shared" si="148"/>
        <v>45921.493055555613</v>
      </c>
      <c r="BX13" s="12">
        <f t="shared" si="148"/>
        <v>45921.500000000058</v>
      </c>
      <c r="BY13" s="12">
        <f t="shared" si="148"/>
        <v>45921.506944444503</v>
      </c>
      <c r="BZ13" s="12">
        <f t="shared" si="148"/>
        <v>45921.513888888949</v>
      </c>
      <c r="CA13" s="12">
        <f t="shared" si="148"/>
        <v>45921.520833333394</v>
      </c>
      <c r="CB13" s="12">
        <f t="shared" si="148"/>
        <v>45921.527777777839</v>
      </c>
      <c r="CC13" s="12">
        <f t="shared" si="148"/>
        <v>45921.534722222284</v>
      </c>
      <c r="CD13" s="12">
        <f t="shared" si="148"/>
        <v>45921.54166666673</v>
      </c>
      <c r="CE13" s="12">
        <f t="shared" si="148"/>
        <v>45921.548611111175</v>
      </c>
      <c r="CF13" s="12">
        <f t="shared" si="148"/>
        <v>45921.55555555562</v>
      </c>
      <c r="CG13" s="12">
        <f t="shared" si="148"/>
        <v>45921.562500000065</v>
      </c>
      <c r="CH13" s="12">
        <f t="shared" si="148"/>
        <v>45921.569444444511</v>
      </c>
      <c r="CI13" s="12">
        <f t="shared" si="148"/>
        <v>45921.576388888956</v>
      </c>
      <c r="CJ13" s="12">
        <f t="shared" si="148"/>
        <v>45921.583333333401</v>
      </c>
      <c r="CK13" s="12">
        <f t="shared" si="148"/>
        <v>45921.590277777846</v>
      </c>
      <c r="CL13" s="12">
        <f t="shared" si="148"/>
        <v>45921.597222222292</v>
      </c>
      <c r="CM13" s="12">
        <f t="shared" si="148"/>
        <v>45921.604166666737</v>
      </c>
      <c r="CN13" s="12">
        <f t="shared" si="148"/>
        <v>45921.611111111182</v>
      </c>
      <c r="CO13" s="12">
        <f t="shared" si="148"/>
        <v>45921.618055555628</v>
      </c>
      <c r="CP13" s="12">
        <f t="shared" si="148"/>
        <v>45921.625000000073</v>
      </c>
      <c r="CQ13" s="12">
        <f t="shared" si="148"/>
        <v>45921.631944444518</v>
      </c>
      <c r="CR13" s="12">
        <f t="shared" si="148"/>
        <v>45921.638888888963</v>
      </c>
      <c r="CS13" s="12">
        <f t="shared" si="148"/>
        <v>45921.645833333409</v>
      </c>
      <c r="CT13" s="12">
        <f t="shared" si="148"/>
        <v>45921.652777777854</v>
      </c>
      <c r="CU13" s="12">
        <f t="shared" si="148"/>
        <v>45921.659722222299</v>
      </c>
      <c r="CV13" s="12">
        <f t="shared" si="148"/>
        <v>45921.666666666744</v>
      </c>
      <c r="CW13" s="12">
        <f t="shared" si="148"/>
        <v>45921.67361111119</v>
      </c>
      <c r="CX13" s="12">
        <f t="shared" si="148"/>
        <v>45921.680555555635</v>
      </c>
      <c r="CY13" s="12">
        <f t="shared" si="148"/>
        <v>45921.68750000008</v>
      </c>
      <c r="CZ13" s="12">
        <f t="shared" si="148"/>
        <v>45921.694444444525</v>
      </c>
      <c r="DA13" s="12">
        <f t="shared" si="148"/>
        <v>45921.701388888971</v>
      </c>
      <c r="DB13" s="12">
        <f t="shared" si="148"/>
        <v>45921.708333333416</v>
      </c>
      <c r="DC13" s="12">
        <f t="shared" si="148"/>
        <v>45921.715277777861</v>
      </c>
      <c r="DD13" s="12">
        <f t="shared" si="148"/>
        <v>45921.722222222306</v>
      </c>
      <c r="DE13" s="12">
        <f t="shared" si="148"/>
        <v>45921.729166666752</v>
      </c>
      <c r="DF13" s="12">
        <f t="shared" si="148"/>
        <v>45921.736111111197</v>
      </c>
      <c r="DG13" s="12">
        <f t="shared" si="148"/>
        <v>45921.743055555642</v>
      </c>
      <c r="DH13" s="12">
        <f t="shared" si="148"/>
        <v>45921.750000000087</v>
      </c>
      <c r="DI13" s="12">
        <f t="shared" si="148"/>
        <v>45921.756944444533</v>
      </c>
      <c r="DJ13" s="12">
        <f t="shared" si="148"/>
        <v>45921.763888888978</v>
      </c>
      <c r="DK13" s="12">
        <f t="shared" si="148"/>
        <v>45921.770833333423</v>
      </c>
      <c r="DL13" s="12">
        <f t="shared" si="148"/>
        <v>45921.777777777868</v>
      </c>
      <c r="DM13" s="12">
        <f t="shared" si="148"/>
        <v>45921.784722222314</v>
      </c>
      <c r="DN13" s="12">
        <f t="shared" si="148"/>
        <v>45921.791666666759</v>
      </c>
      <c r="DO13" s="12">
        <f t="shared" si="148"/>
        <v>45921.798611111204</v>
      </c>
      <c r="DP13" s="12">
        <f t="shared" si="148"/>
        <v>45921.805555555649</v>
      </c>
      <c r="DQ13" s="12">
        <f t="shared" si="148"/>
        <v>45921.812500000095</v>
      </c>
      <c r="DR13" s="12">
        <f t="shared" si="148"/>
        <v>45921.81944444454</v>
      </c>
      <c r="DS13" s="12">
        <f t="shared" si="148"/>
        <v>45921.826388888985</v>
      </c>
      <c r="DT13" s="12">
        <f t="shared" si="148"/>
        <v>45921.83333333343</v>
      </c>
      <c r="DU13" s="12">
        <f t="shared" si="148"/>
        <v>45921.840277777876</v>
      </c>
      <c r="DV13" s="12">
        <f t="shared" si="148"/>
        <v>45921.847222222321</v>
      </c>
      <c r="DW13" s="12">
        <f t="shared" si="148"/>
        <v>45921.854166666766</v>
      </c>
      <c r="DX13" s="12">
        <f t="shared" si="148"/>
        <v>45921.861111111211</v>
      </c>
      <c r="DY13" s="12">
        <f t="shared" si="148"/>
        <v>45921.868055555657</v>
      </c>
      <c r="DZ13" s="12">
        <f t="shared" si="148"/>
        <v>45921.875000000102</v>
      </c>
      <c r="EA13" s="12">
        <f t="shared" si="148"/>
        <v>45921.881944444547</v>
      </c>
      <c r="EB13" s="12">
        <f t="shared" si="148"/>
        <v>45921.888888888992</v>
      </c>
      <c r="EC13" s="12">
        <f t="shared" si="148"/>
        <v>45921.895833333438</v>
      </c>
      <c r="ED13" s="12">
        <f t="shared" ref="ED13:EQ13" si="149">EC13 + TIME(0,10,0)</f>
        <v>45921.902777777883</v>
      </c>
      <c r="EE13" s="12">
        <f t="shared" si="149"/>
        <v>45921.909722222328</v>
      </c>
      <c r="EF13" s="12">
        <f t="shared" si="149"/>
        <v>45921.916666666773</v>
      </c>
      <c r="EG13" s="12">
        <f t="shared" si="149"/>
        <v>45921.923611111219</v>
      </c>
      <c r="EH13" s="12">
        <f t="shared" si="149"/>
        <v>45921.930555555664</v>
      </c>
      <c r="EI13" s="12">
        <f t="shared" si="149"/>
        <v>45921.937500000109</v>
      </c>
      <c r="EJ13" s="12">
        <f t="shared" si="149"/>
        <v>45921.944444444554</v>
      </c>
      <c r="EK13" s="12">
        <f t="shared" si="149"/>
        <v>45921.951388889</v>
      </c>
      <c r="EL13" s="12">
        <f t="shared" si="149"/>
        <v>45921.958333333445</v>
      </c>
      <c r="EM13" s="12">
        <f t="shared" si="149"/>
        <v>45921.96527777789</v>
      </c>
      <c r="EN13" s="12">
        <f t="shared" si="149"/>
        <v>45921.972222222335</v>
      </c>
      <c r="EO13" s="12">
        <f t="shared" si="149"/>
        <v>45921.979166666781</v>
      </c>
      <c r="EP13" s="12">
        <f t="shared" si="149"/>
        <v>45921.986111111226</v>
      </c>
      <c r="EQ13" s="13">
        <f t="shared" si="149"/>
        <v>45921.993055555671</v>
      </c>
      <c r="ER13" s="12">
        <f>ER12</f>
        <v>45922</v>
      </c>
      <c r="ES13" s="12">
        <f>ER13 + TIME(0,10,0)</f>
        <v>45922.006944444445</v>
      </c>
      <c r="ET13" s="12">
        <f t="shared" ref="ET13" si="150">ES13 + TIME(0,10,0)</f>
        <v>45922.013888888891</v>
      </c>
      <c r="EU13" s="12">
        <f t="shared" ref="EU13" si="151">ET13 + TIME(0,10,0)</f>
        <v>45922.020833333336</v>
      </c>
      <c r="EV13" s="12">
        <f t="shared" ref="EV13" si="152">EU13 + TIME(0,10,0)</f>
        <v>45922.027777777781</v>
      </c>
      <c r="EW13" s="12">
        <f t="shared" ref="EW13" si="153">EV13 + TIME(0,10,0)</f>
        <v>45922.034722222226</v>
      </c>
      <c r="EX13" s="12">
        <f t="shared" ref="EX13" si="154">EW13 + TIME(0,10,0)</f>
        <v>45922.041666666672</v>
      </c>
      <c r="EY13" s="12">
        <f t="shared" ref="EY13" si="155">EX13 + TIME(0,10,0)</f>
        <v>45922.048611111117</v>
      </c>
      <c r="EZ13" s="12">
        <f t="shared" ref="EZ13" si="156">EY13 + TIME(0,10,0)</f>
        <v>45922.055555555562</v>
      </c>
      <c r="FA13" s="12">
        <f t="shared" ref="FA13" si="157">EZ13 + TIME(0,10,0)</f>
        <v>45922.062500000007</v>
      </c>
      <c r="FB13" s="12">
        <f t="shared" ref="FB13" si="158">FA13 + TIME(0,10,0)</f>
        <v>45922.069444444453</v>
      </c>
      <c r="FC13" s="12">
        <f t="shared" ref="FC13" si="159">FB13 + TIME(0,10,0)</f>
        <v>45922.076388888898</v>
      </c>
      <c r="FD13" s="12">
        <f t="shared" ref="FD13" si="160">FC13 + TIME(0,10,0)</f>
        <v>45922.083333333343</v>
      </c>
      <c r="FE13" s="12">
        <f t="shared" ref="FE13" si="161">FD13 + TIME(0,10,0)</f>
        <v>45922.090277777788</v>
      </c>
      <c r="FF13" s="12">
        <f t="shared" ref="FF13" si="162">FE13 + TIME(0,10,0)</f>
        <v>45922.097222222234</v>
      </c>
      <c r="FG13" s="12">
        <f t="shared" ref="FG13" si="163">FF13 + TIME(0,10,0)</f>
        <v>45922.104166666679</v>
      </c>
      <c r="FH13" s="12">
        <f t="shared" ref="FH13" si="164">FG13 + TIME(0,10,0)</f>
        <v>45922.111111111124</v>
      </c>
      <c r="FI13" s="12">
        <f t="shared" ref="FI13" si="165">FH13 + TIME(0,10,0)</f>
        <v>45922.118055555569</v>
      </c>
      <c r="FJ13" s="12">
        <f t="shared" ref="FJ13" si="166">FI13 + TIME(0,10,0)</f>
        <v>45922.125000000015</v>
      </c>
      <c r="FK13" s="12">
        <f t="shared" ref="FK13" si="167">FJ13 + TIME(0,10,0)</f>
        <v>45922.13194444446</v>
      </c>
      <c r="FL13" s="12">
        <f t="shared" ref="FL13" si="168">FK13 + TIME(0,10,0)</f>
        <v>45922.138888888905</v>
      </c>
      <c r="FM13" s="12">
        <f t="shared" ref="FM13" si="169">FL13 + TIME(0,10,0)</f>
        <v>45922.14583333335</v>
      </c>
      <c r="FN13" s="12">
        <f t="shared" ref="FN13" si="170">FM13 + TIME(0,10,0)</f>
        <v>45922.152777777796</v>
      </c>
      <c r="FO13" s="12">
        <f t="shared" ref="FO13" si="171">FN13 + TIME(0,10,0)</f>
        <v>45922.159722222241</v>
      </c>
      <c r="FP13" s="12">
        <f t="shared" ref="FP13" si="172">FO13 + TIME(0,10,0)</f>
        <v>45922.166666666686</v>
      </c>
      <c r="FQ13" s="12">
        <f t="shared" ref="FQ13" si="173">FP13 + TIME(0,10,0)</f>
        <v>45922.173611111131</v>
      </c>
      <c r="FR13" s="12">
        <f t="shared" ref="FR13" si="174">FQ13 + TIME(0,10,0)</f>
        <v>45922.180555555577</v>
      </c>
      <c r="FS13" s="12">
        <f t="shared" ref="FS13" si="175">FR13 + TIME(0,10,0)</f>
        <v>45922.187500000022</v>
      </c>
      <c r="FT13" s="12">
        <f t="shared" ref="FT13" si="176">FS13 + TIME(0,10,0)</f>
        <v>45922.194444444467</v>
      </c>
      <c r="FU13" s="12">
        <f t="shared" ref="FU13" si="177">FT13 + TIME(0,10,0)</f>
        <v>45922.201388888912</v>
      </c>
      <c r="FV13" s="12">
        <f t="shared" ref="FV13" si="178">FU13 + TIME(0,10,0)</f>
        <v>45922.208333333358</v>
      </c>
      <c r="FW13" s="12">
        <f t="shared" ref="FW13" si="179">FV13 + TIME(0,10,0)</f>
        <v>45922.215277777803</v>
      </c>
      <c r="FX13" s="12">
        <f t="shared" ref="FX13" si="180">FW13 + TIME(0,10,0)</f>
        <v>45922.222222222248</v>
      </c>
      <c r="FY13" s="12">
        <f t="shared" ref="FY13" si="181">FX13 + TIME(0,10,0)</f>
        <v>45922.229166666693</v>
      </c>
      <c r="FZ13" s="12">
        <f t="shared" ref="FZ13" si="182">FY13 + TIME(0,10,0)</f>
        <v>45922.236111111139</v>
      </c>
      <c r="GA13" s="12">
        <f t="shared" ref="GA13" si="183">FZ13 + TIME(0,10,0)</f>
        <v>45922.243055555584</v>
      </c>
      <c r="GB13" s="12">
        <f t="shared" ref="GB13" si="184">GA13 + TIME(0,10,0)</f>
        <v>45922.250000000029</v>
      </c>
      <c r="GC13" s="12">
        <f t="shared" ref="GC13" si="185">GB13 + TIME(0,10,0)</f>
        <v>45922.256944444474</v>
      </c>
      <c r="GD13" s="12">
        <f t="shared" ref="GD13" si="186">GC13 + TIME(0,10,0)</f>
        <v>45922.26388888892</v>
      </c>
      <c r="GE13" s="12">
        <f t="shared" ref="GE13" si="187">GD13 + TIME(0,10,0)</f>
        <v>45922.270833333365</v>
      </c>
      <c r="GF13" s="12">
        <f t="shared" ref="GF13" si="188">GE13 + TIME(0,10,0)</f>
        <v>45922.27777777781</v>
      </c>
      <c r="GG13" s="12">
        <f t="shared" ref="GG13" si="189">GF13 + TIME(0,10,0)</f>
        <v>45922.284722222255</v>
      </c>
      <c r="GH13" s="12">
        <f t="shared" ref="GH13" si="190">GG13 + TIME(0,10,0)</f>
        <v>45922.291666666701</v>
      </c>
      <c r="GI13" s="12">
        <f t="shared" ref="GI13" si="191">GH13 + TIME(0,10,0)</f>
        <v>45922.298611111146</v>
      </c>
      <c r="GJ13" s="12">
        <f t="shared" ref="GJ13" si="192">GI13 + TIME(0,10,0)</f>
        <v>45922.305555555591</v>
      </c>
      <c r="GK13" s="12">
        <f t="shared" ref="GK13" si="193">GJ13 + TIME(0,10,0)</f>
        <v>45922.312500000036</v>
      </c>
      <c r="GL13" s="12">
        <f t="shared" ref="GL13" si="194">GK13 + TIME(0,10,0)</f>
        <v>45922.319444444482</v>
      </c>
      <c r="GM13" s="12">
        <f t="shared" ref="GM13" si="195">GL13 + TIME(0,10,0)</f>
        <v>45922.326388888927</v>
      </c>
      <c r="GN13" s="12">
        <f t="shared" ref="GN13" si="196">GM13 + TIME(0,10,0)</f>
        <v>45922.333333333372</v>
      </c>
      <c r="GO13" s="12">
        <f t="shared" ref="GO13" si="197">GN13 + TIME(0,10,0)</f>
        <v>45922.340277777817</v>
      </c>
      <c r="GP13" s="12">
        <f t="shared" ref="GP13" si="198">GO13 + TIME(0,10,0)</f>
        <v>45922.347222222263</v>
      </c>
      <c r="GQ13" s="12">
        <f t="shared" ref="GQ13" si="199">GP13 + TIME(0,10,0)</f>
        <v>45922.354166666708</v>
      </c>
      <c r="GR13" s="12">
        <f t="shared" ref="GR13" si="200">GQ13 + TIME(0,10,0)</f>
        <v>45922.361111111153</v>
      </c>
      <c r="GS13" s="12">
        <f t="shared" ref="GS13" si="201">GR13 + TIME(0,10,0)</f>
        <v>45922.368055555598</v>
      </c>
      <c r="GT13" s="12">
        <f t="shared" ref="GT13" si="202">GS13 + TIME(0,10,0)</f>
        <v>45922.375000000044</v>
      </c>
      <c r="GU13" s="12">
        <f t="shared" ref="GU13" si="203">GT13 + TIME(0,10,0)</f>
        <v>45922.381944444489</v>
      </c>
      <c r="GV13" s="12">
        <f t="shared" ref="GV13" si="204">GU13 + TIME(0,10,0)</f>
        <v>45922.388888888934</v>
      </c>
      <c r="GW13" s="12">
        <f t="shared" ref="GW13" si="205">GV13 + TIME(0,10,0)</f>
        <v>45922.395833333379</v>
      </c>
      <c r="GX13" s="12">
        <f t="shared" ref="GX13" si="206">GW13 + TIME(0,10,0)</f>
        <v>45922.402777777825</v>
      </c>
      <c r="GY13" s="12">
        <f t="shared" ref="GY13" si="207">GX13 + TIME(0,10,0)</f>
        <v>45922.40972222227</v>
      </c>
      <c r="GZ13" s="12">
        <f t="shared" ref="GZ13" si="208">GY13 + TIME(0,10,0)</f>
        <v>45922.416666666715</v>
      </c>
      <c r="HA13" s="12">
        <f t="shared" ref="HA13" si="209">GZ13 + TIME(0,10,0)</f>
        <v>45922.42361111116</v>
      </c>
      <c r="HB13" s="12">
        <f t="shared" ref="HB13" si="210">HA13 + TIME(0,10,0)</f>
        <v>45922.430555555606</v>
      </c>
      <c r="HC13" s="12">
        <f t="shared" ref="HC13" si="211">HB13 + TIME(0,10,0)</f>
        <v>45922.437500000051</v>
      </c>
      <c r="HD13" s="12">
        <f t="shared" ref="HD13" si="212">HC13 + TIME(0,10,0)</f>
        <v>45922.444444444496</v>
      </c>
      <c r="HE13" s="12">
        <f t="shared" ref="HE13" si="213">HD13 + TIME(0,10,0)</f>
        <v>45922.451388888941</v>
      </c>
      <c r="HF13" s="12">
        <f t="shared" ref="HF13" si="214">HE13 + TIME(0,10,0)</f>
        <v>45922.458333333387</v>
      </c>
      <c r="HG13" s="12">
        <f t="shared" ref="HG13" si="215">HF13 + TIME(0,10,0)</f>
        <v>45922.465277777832</v>
      </c>
      <c r="HH13" s="12">
        <f t="shared" ref="HH13" si="216">HG13 + TIME(0,10,0)</f>
        <v>45922.472222222277</v>
      </c>
      <c r="HI13" s="12">
        <f t="shared" ref="HI13" si="217">HH13 + TIME(0,10,0)</f>
        <v>45922.479166666722</v>
      </c>
      <c r="HJ13" s="12">
        <f t="shared" ref="HJ13" si="218">HI13 + TIME(0,10,0)</f>
        <v>45922.486111111168</v>
      </c>
      <c r="HK13" s="12">
        <f t="shared" ref="HK13" si="219">HJ13 + TIME(0,10,0)</f>
        <v>45922.493055555613</v>
      </c>
      <c r="HL13" s="12">
        <f t="shared" ref="HL13" si="220">HK13 + TIME(0,10,0)</f>
        <v>45922.500000000058</v>
      </c>
      <c r="HM13" s="12">
        <f t="shared" ref="HM13" si="221">HL13 + TIME(0,10,0)</f>
        <v>45922.506944444503</v>
      </c>
      <c r="HN13" s="12">
        <f t="shared" ref="HN13" si="222">HM13 + TIME(0,10,0)</f>
        <v>45922.513888888949</v>
      </c>
      <c r="HO13" s="12">
        <f t="shared" ref="HO13" si="223">HN13 + TIME(0,10,0)</f>
        <v>45922.520833333394</v>
      </c>
      <c r="HP13" s="12">
        <f t="shared" ref="HP13" si="224">HO13 + TIME(0,10,0)</f>
        <v>45922.527777777839</v>
      </c>
      <c r="HQ13" s="12">
        <f t="shared" ref="HQ13" si="225">HP13 + TIME(0,10,0)</f>
        <v>45922.534722222284</v>
      </c>
      <c r="HR13" s="12">
        <f t="shared" ref="HR13" si="226">HQ13 + TIME(0,10,0)</f>
        <v>45922.54166666673</v>
      </c>
      <c r="HS13" s="12">
        <f t="shared" ref="HS13" si="227">HR13 + TIME(0,10,0)</f>
        <v>45922.548611111175</v>
      </c>
      <c r="HT13" s="12">
        <f t="shared" ref="HT13" si="228">HS13 + TIME(0,10,0)</f>
        <v>45922.55555555562</v>
      </c>
      <c r="HU13" s="12">
        <f t="shared" ref="HU13" si="229">HT13 + TIME(0,10,0)</f>
        <v>45922.562500000065</v>
      </c>
      <c r="HV13" s="12">
        <f t="shared" ref="HV13" si="230">HU13 + TIME(0,10,0)</f>
        <v>45922.569444444511</v>
      </c>
      <c r="HW13" s="12">
        <f t="shared" ref="HW13" si="231">HV13 + TIME(0,10,0)</f>
        <v>45922.576388888956</v>
      </c>
      <c r="HX13" s="12">
        <f t="shared" ref="HX13" si="232">HW13 + TIME(0,10,0)</f>
        <v>45922.583333333401</v>
      </c>
      <c r="HY13" s="12">
        <f t="shared" ref="HY13" si="233">HX13 + TIME(0,10,0)</f>
        <v>45922.590277777846</v>
      </c>
      <c r="HZ13" s="12">
        <f t="shared" ref="HZ13" si="234">HY13 + TIME(0,10,0)</f>
        <v>45922.597222222292</v>
      </c>
      <c r="IA13" s="12">
        <f t="shared" ref="IA13" si="235">HZ13 + TIME(0,10,0)</f>
        <v>45922.604166666737</v>
      </c>
      <c r="IB13" s="12">
        <f t="shared" ref="IB13" si="236">IA13 + TIME(0,10,0)</f>
        <v>45922.611111111182</v>
      </c>
      <c r="IC13" s="12">
        <f t="shared" ref="IC13" si="237">IB13 + TIME(0,10,0)</f>
        <v>45922.618055555628</v>
      </c>
      <c r="ID13" s="12">
        <f t="shared" ref="ID13" si="238">IC13 + TIME(0,10,0)</f>
        <v>45922.625000000073</v>
      </c>
      <c r="IE13" s="12">
        <f t="shared" ref="IE13" si="239">ID13 + TIME(0,10,0)</f>
        <v>45922.631944444518</v>
      </c>
      <c r="IF13" s="12">
        <f t="shared" ref="IF13" si="240">IE13 + TIME(0,10,0)</f>
        <v>45922.638888888963</v>
      </c>
      <c r="IG13" s="12">
        <f t="shared" ref="IG13" si="241">IF13 + TIME(0,10,0)</f>
        <v>45922.645833333409</v>
      </c>
      <c r="IH13" s="12">
        <f t="shared" ref="IH13" si="242">IG13 + TIME(0,10,0)</f>
        <v>45922.652777777854</v>
      </c>
      <c r="II13" s="12">
        <f t="shared" ref="II13" si="243">IH13 + TIME(0,10,0)</f>
        <v>45922.659722222299</v>
      </c>
      <c r="IJ13" s="12">
        <f t="shared" ref="IJ13" si="244">II13 + TIME(0,10,0)</f>
        <v>45922.666666666744</v>
      </c>
      <c r="IK13" s="12">
        <f t="shared" ref="IK13" si="245">IJ13 + TIME(0,10,0)</f>
        <v>45922.67361111119</v>
      </c>
      <c r="IL13" s="12">
        <f t="shared" ref="IL13" si="246">IK13 + TIME(0,10,0)</f>
        <v>45922.680555555635</v>
      </c>
      <c r="IM13" s="12">
        <f t="shared" ref="IM13" si="247">IL13 + TIME(0,10,0)</f>
        <v>45922.68750000008</v>
      </c>
      <c r="IN13" s="12">
        <f t="shared" ref="IN13" si="248">IM13 + TIME(0,10,0)</f>
        <v>45922.694444444525</v>
      </c>
      <c r="IO13" s="12">
        <f t="shared" ref="IO13" si="249">IN13 + TIME(0,10,0)</f>
        <v>45922.701388888971</v>
      </c>
      <c r="IP13" s="12">
        <f t="shared" ref="IP13" si="250">IO13 + TIME(0,10,0)</f>
        <v>45922.708333333416</v>
      </c>
      <c r="IQ13" s="12">
        <f t="shared" ref="IQ13" si="251">IP13 + TIME(0,10,0)</f>
        <v>45922.715277777861</v>
      </c>
      <c r="IR13" s="12">
        <f t="shared" ref="IR13" si="252">IQ13 + TIME(0,10,0)</f>
        <v>45922.722222222306</v>
      </c>
      <c r="IS13" s="12">
        <f t="shared" ref="IS13" si="253">IR13 + TIME(0,10,0)</f>
        <v>45922.729166666752</v>
      </c>
      <c r="IT13" s="12">
        <f t="shared" ref="IT13" si="254">IS13 + TIME(0,10,0)</f>
        <v>45922.736111111197</v>
      </c>
      <c r="IU13" s="12">
        <f t="shared" ref="IU13" si="255">IT13 + TIME(0,10,0)</f>
        <v>45922.743055555642</v>
      </c>
      <c r="IV13" s="12">
        <f t="shared" ref="IV13" si="256">IU13 + TIME(0,10,0)</f>
        <v>45922.750000000087</v>
      </c>
      <c r="IW13" s="12">
        <f t="shared" ref="IW13" si="257">IV13 + TIME(0,10,0)</f>
        <v>45922.756944444533</v>
      </c>
      <c r="IX13" s="12">
        <f t="shared" ref="IX13" si="258">IW13 + TIME(0,10,0)</f>
        <v>45922.763888888978</v>
      </c>
      <c r="IY13" s="12">
        <f t="shared" ref="IY13" si="259">IX13 + TIME(0,10,0)</f>
        <v>45922.770833333423</v>
      </c>
      <c r="IZ13" s="12">
        <f t="shared" ref="IZ13" si="260">IY13 + TIME(0,10,0)</f>
        <v>45922.777777777868</v>
      </c>
      <c r="JA13" s="12">
        <f t="shared" ref="JA13" si="261">IZ13 + TIME(0,10,0)</f>
        <v>45922.784722222314</v>
      </c>
      <c r="JB13" s="12">
        <f t="shared" ref="JB13" si="262">JA13 + TIME(0,10,0)</f>
        <v>45922.791666666759</v>
      </c>
      <c r="JC13" s="12">
        <f t="shared" ref="JC13" si="263">JB13 + TIME(0,10,0)</f>
        <v>45922.798611111204</v>
      </c>
      <c r="JD13" s="12">
        <f t="shared" ref="JD13" si="264">JC13 + TIME(0,10,0)</f>
        <v>45922.805555555649</v>
      </c>
      <c r="JE13" s="12">
        <f t="shared" ref="JE13" si="265">JD13 + TIME(0,10,0)</f>
        <v>45922.812500000095</v>
      </c>
      <c r="JF13" s="12">
        <f t="shared" ref="JF13" si="266">JE13 + TIME(0,10,0)</f>
        <v>45922.81944444454</v>
      </c>
      <c r="JG13" s="12">
        <f t="shared" ref="JG13" si="267">JF13 + TIME(0,10,0)</f>
        <v>45922.826388888985</v>
      </c>
      <c r="JH13" s="12">
        <f t="shared" ref="JH13" si="268">JG13 + TIME(0,10,0)</f>
        <v>45922.83333333343</v>
      </c>
      <c r="JI13" s="12">
        <f t="shared" ref="JI13" si="269">JH13 + TIME(0,10,0)</f>
        <v>45922.840277777876</v>
      </c>
      <c r="JJ13" s="12">
        <f t="shared" ref="JJ13" si="270">JI13 + TIME(0,10,0)</f>
        <v>45922.847222222321</v>
      </c>
      <c r="JK13" s="12">
        <f t="shared" ref="JK13" si="271">JJ13 + TIME(0,10,0)</f>
        <v>45922.854166666766</v>
      </c>
      <c r="JL13" s="12">
        <f t="shared" ref="JL13" si="272">JK13 + TIME(0,10,0)</f>
        <v>45922.861111111211</v>
      </c>
      <c r="JM13" s="12">
        <f t="shared" ref="JM13" si="273">JL13 + TIME(0,10,0)</f>
        <v>45922.868055555657</v>
      </c>
      <c r="JN13" s="12">
        <f t="shared" ref="JN13" si="274">JM13 + TIME(0,10,0)</f>
        <v>45922.875000000102</v>
      </c>
      <c r="JO13" s="12">
        <f t="shared" ref="JO13" si="275">JN13 + TIME(0,10,0)</f>
        <v>45922.881944444547</v>
      </c>
      <c r="JP13" s="12">
        <f t="shared" ref="JP13" si="276">JO13 + TIME(0,10,0)</f>
        <v>45922.888888888992</v>
      </c>
      <c r="JQ13" s="12">
        <f t="shared" ref="JQ13" si="277">JP13 + TIME(0,10,0)</f>
        <v>45922.895833333438</v>
      </c>
      <c r="JR13" s="12">
        <f t="shared" ref="JR13" si="278">JQ13 + TIME(0,10,0)</f>
        <v>45922.902777777883</v>
      </c>
      <c r="JS13" s="12">
        <f t="shared" ref="JS13" si="279">JR13 + TIME(0,10,0)</f>
        <v>45922.909722222328</v>
      </c>
      <c r="JT13" s="12">
        <f t="shared" ref="JT13" si="280">JS13 + TIME(0,10,0)</f>
        <v>45922.916666666773</v>
      </c>
      <c r="JU13" s="12">
        <f t="shared" ref="JU13" si="281">JT13 + TIME(0,10,0)</f>
        <v>45922.923611111219</v>
      </c>
      <c r="JV13" s="12">
        <f t="shared" ref="JV13" si="282">JU13 + TIME(0,10,0)</f>
        <v>45922.930555555664</v>
      </c>
      <c r="JW13" s="12">
        <f t="shared" ref="JW13" si="283">JV13 + TIME(0,10,0)</f>
        <v>45922.937500000109</v>
      </c>
      <c r="JX13" s="12">
        <f t="shared" ref="JX13" si="284">JW13 + TIME(0,10,0)</f>
        <v>45922.944444444554</v>
      </c>
      <c r="JY13" s="12">
        <f t="shared" ref="JY13" si="285">JX13 + TIME(0,10,0)</f>
        <v>45922.951388889</v>
      </c>
      <c r="JZ13" s="12">
        <f t="shared" ref="JZ13" si="286">JY13 + TIME(0,10,0)</f>
        <v>45922.958333333445</v>
      </c>
      <c r="KA13" s="12">
        <f t="shared" ref="KA13" si="287">JZ13 + TIME(0,10,0)</f>
        <v>45922.96527777789</v>
      </c>
      <c r="KB13" s="12">
        <f t="shared" ref="KB13" si="288">KA13 + TIME(0,10,0)</f>
        <v>45922.972222222335</v>
      </c>
      <c r="KC13" s="12">
        <f t="shared" ref="KC13" si="289">KB13 + TIME(0,10,0)</f>
        <v>45922.979166666781</v>
      </c>
      <c r="KD13" s="12">
        <f t="shared" ref="KD13" si="290">KC13 + TIME(0,10,0)</f>
        <v>45922.986111111226</v>
      </c>
      <c r="KE13" s="13">
        <f t="shared" ref="KE13" si="291">KD13 + TIME(0,10,0)</f>
        <v>45922.993055555671</v>
      </c>
      <c r="KF13" s="12">
        <f>KF12</f>
        <v>45923</v>
      </c>
      <c r="KG13" s="12">
        <f>KF13 + TIME(0,10,0)</f>
        <v>45923.006944444445</v>
      </c>
      <c r="KH13" s="12">
        <f t="shared" ref="KH13" si="292">KG13 + TIME(0,10,0)</f>
        <v>45923.013888888891</v>
      </c>
      <c r="KI13" s="12">
        <f t="shared" ref="KI13" si="293">KH13 + TIME(0,10,0)</f>
        <v>45923.020833333336</v>
      </c>
      <c r="KJ13" s="12">
        <f t="shared" ref="KJ13" si="294">KI13 + TIME(0,10,0)</f>
        <v>45923.027777777781</v>
      </c>
      <c r="KK13" s="12">
        <f t="shared" ref="KK13" si="295">KJ13 + TIME(0,10,0)</f>
        <v>45923.034722222226</v>
      </c>
      <c r="KL13" s="12">
        <f t="shared" ref="KL13" si="296">KK13 + TIME(0,10,0)</f>
        <v>45923.041666666672</v>
      </c>
      <c r="KM13" s="12">
        <f t="shared" ref="KM13" si="297">KL13 + TIME(0,10,0)</f>
        <v>45923.048611111117</v>
      </c>
      <c r="KN13" s="12">
        <f t="shared" ref="KN13" si="298">KM13 + TIME(0,10,0)</f>
        <v>45923.055555555562</v>
      </c>
      <c r="KO13" s="12">
        <f t="shared" ref="KO13" si="299">KN13 + TIME(0,10,0)</f>
        <v>45923.062500000007</v>
      </c>
      <c r="KP13" s="12">
        <f t="shared" ref="KP13" si="300">KO13 + TIME(0,10,0)</f>
        <v>45923.069444444453</v>
      </c>
      <c r="KQ13" s="12">
        <f t="shared" ref="KQ13" si="301">KP13 + TIME(0,10,0)</f>
        <v>45923.076388888898</v>
      </c>
      <c r="KR13" s="12">
        <f t="shared" ref="KR13" si="302">KQ13 + TIME(0,10,0)</f>
        <v>45923.083333333343</v>
      </c>
      <c r="KS13" s="12">
        <f t="shared" ref="KS13" si="303">KR13 + TIME(0,10,0)</f>
        <v>45923.090277777788</v>
      </c>
      <c r="KT13" s="12">
        <f t="shared" ref="KT13" si="304">KS13 + TIME(0,10,0)</f>
        <v>45923.097222222234</v>
      </c>
      <c r="KU13" s="12">
        <f t="shared" ref="KU13" si="305">KT13 + TIME(0,10,0)</f>
        <v>45923.104166666679</v>
      </c>
      <c r="KV13" s="12">
        <f t="shared" ref="KV13" si="306">KU13 + TIME(0,10,0)</f>
        <v>45923.111111111124</v>
      </c>
      <c r="KW13" s="12">
        <f t="shared" ref="KW13" si="307">KV13 + TIME(0,10,0)</f>
        <v>45923.118055555569</v>
      </c>
      <c r="KX13" s="12">
        <f t="shared" ref="KX13" si="308">KW13 + TIME(0,10,0)</f>
        <v>45923.125000000015</v>
      </c>
      <c r="KY13" s="12">
        <f t="shared" ref="KY13" si="309">KX13 + TIME(0,10,0)</f>
        <v>45923.13194444446</v>
      </c>
      <c r="KZ13" s="12">
        <f t="shared" ref="KZ13" si="310">KY13 + TIME(0,10,0)</f>
        <v>45923.138888888905</v>
      </c>
      <c r="LA13" s="12">
        <f t="shared" ref="LA13" si="311">KZ13 + TIME(0,10,0)</f>
        <v>45923.14583333335</v>
      </c>
      <c r="LB13" s="12">
        <f t="shared" ref="LB13" si="312">LA13 + TIME(0,10,0)</f>
        <v>45923.152777777796</v>
      </c>
      <c r="LC13" s="12">
        <f t="shared" ref="LC13" si="313">LB13 + TIME(0,10,0)</f>
        <v>45923.159722222241</v>
      </c>
      <c r="LD13" s="12">
        <f t="shared" ref="LD13" si="314">LC13 + TIME(0,10,0)</f>
        <v>45923.166666666686</v>
      </c>
      <c r="LE13" s="12">
        <f t="shared" ref="LE13" si="315">LD13 + TIME(0,10,0)</f>
        <v>45923.173611111131</v>
      </c>
      <c r="LF13" s="12">
        <f t="shared" ref="LF13" si="316">LE13 + TIME(0,10,0)</f>
        <v>45923.180555555577</v>
      </c>
      <c r="LG13" s="12">
        <f t="shared" ref="LG13" si="317">LF13 + TIME(0,10,0)</f>
        <v>45923.187500000022</v>
      </c>
      <c r="LH13" s="12">
        <f t="shared" ref="LH13" si="318">LG13 + TIME(0,10,0)</f>
        <v>45923.194444444467</v>
      </c>
      <c r="LI13" s="12">
        <f t="shared" ref="LI13" si="319">LH13 + TIME(0,10,0)</f>
        <v>45923.201388888912</v>
      </c>
      <c r="LJ13" s="12">
        <f t="shared" ref="LJ13" si="320">LI13 + TIME(0,10,0)</f>
        <v>45923.208333333358</v>
      </c>
      <c r="LK13" s="12">
        <f t="shared" ref="LK13" si="321">LJ13 + TIME(0,10,0)</f>
        <v>45923.215277777803</v>
      </c>
      <c r="LL13" s="12">
        <f t="shared" ref="LL13" si="322">LK13 + TIME(0,10,0)</f>
        <v>45923.222222222248</v>
      </c>
      <c r="LM13" s="12">
        <f t="shared" ref="LM13" si="323">LL13 + TIME(0,10,0)</f>
        <v>45923.229166666693</v>
      </c>
      <c r="LN13" s="12">
        <f t="shared" ref="LN13" si="324">LM13 + TIME(0,10,0)</f>
        <v>45923.236111111139</v>
      </c>
      <c r="LO13" s="12">
        <f t="shared" ref="LO13" si="325">LN13 + TIME(0,10,0)</f>
        <v>45923.243055555584</v>
      </c>
      <c r="LP13" s="12">
        <f t="shared" ref="LP13" si="326">LO13 + TIME(0,10,0)</f>
        <v>45923.250000000029</v>
      </c>
      <c r="LQ13" s="12">
        <f t="shared" ref="LQ13" si="327">LP13 + TIME(0,10,0)</f>
        <v>45923.256944444474</v>
      </c>
      <c r="LR13" s="12">
        <f t="shared" ref="LR13" si="328">LQ13 + TIME(0,10,0)</f>
        <v>45923.26388888892</v>
      </c>
      <c r="LS13" s="12">
        <f t="shared" ref="LS13" si="329">LR13 + TIME(0,10,0)</f>
        <v>45923.270833333365</v>
      </c>
      <c r="LT13" s="12">
        <f t="shared" ref="LT13" si="330">LS13 + TIME(0,10,0)</f>
        <v>45923.27777777781</v>
      </c>
      <c r="LU13" s="12">
        <f t="shared" ref="LU13" si="331">LT13 + TIME(0,10,0)</f>
        <v>45923.284722222255</v>
      </c>
      <c r="LV13" s="12">
        <f t="shared" ref="LV13" si="332">LU13 + TIME(0,10,0)</f>
        <v>45923.291666666701</v>
      </c>
      <c r="LW13" s="12">
        <f t="shared" ref="LW13" si="333">LV13 + TIME(0,10,0)</f>
        <v>45923.298611111146</v>
      </c>
      <c r="LX13" s="12">
        <f t="shared" ref="LX13" si="334">LW13 + TIME(0,10,0)</f>
        <v>45923.305555555591</v>
      </c>
      <c r="LY13" s="12">
        <f t="shared" ref="LY13" si="335">LX13 + TIME(0,10,0)</f>
        <v>45923.312500000036</v>
      </c>
      <c r="LZ13" s="12">
        <f t="shared" ref="LZ13" si="336">LY13 + TIME(0,10,0)</f>
        <v>45923.319444444482</v>
      </c>
      <c r="MA13" s="12">
        <f t="shared" ref="MA13" si="337">LZ13 + TIME(0,10,0)</f>
        <v>45923.326388888927</v>
      </c>
      <c r="MB13" s="12">
        <f t="shared" ref="MB13" si="338">MA13 + TIME(0,10,0)</f>
        <v>45923.333333333372</v>
      </c>
      <c r="MC13" s="12">
        <f t="shared" ref="MC13" si="339">MB13 + TIME(0,10,0)</f>
        <v>45923.340277777817</v>
      </c>
      <c r="MD13" s="12">
        <f t="shared" ref="MD13" si="340">MC13 + TIME(0,10,0)</f>
        <v>45923.347222222263</v>
      </c>
      <c r="ME13" s="12">
        <f t="shared" ref="ME13" si="341">MD13 + TIME(0,10,0)</f>
        <v>45923.354166666708</v>
      </c>
      <c r="MF13" s="12">
        <f t="shared" ref="MF13" si="342">ME13 + TIME(0,10,0)</f>
        <v>45923.361111111153</v>
      </c>
      <c r="MG13" s="12">
        <f t="shared" ref="MG13" si="343">MF13 + TIME(0,10,0)</f>
        <v>45923.368055555598</v>
      </c>
      <c r="MH13" s="12">
        <f t="shared" ref="MH13" si="344">MG13 + TIME(0,10,0)</f>
        <v>45923.375000000044</v>
      </c>
      <c r="MI13" s="12">
        <f t="shared" ref="MI13" si="345">MH13 + TIME(0,10,0)</f>
        <v>45923.381944444489</v>
      </c>
      <c r="MJ13" s="12">
        <f t="shared" ref="MJ13" si="346">MI13 + TIME(0,10,0)</f>
        <v>45923.388888888934</v>
      </c>
      <c r="MK13" s="12">
        <f t="shared" ref="MK13" si="347">MJ13 + TIME(0,10,0)</f>
        <v>45923.395833333379</v>
      </c>
      <c r="ML13" s="12">
        <f t="shared" ref="ML13" si="348">MK13 + TIME(0,10,0)</f>
        <v>45923.402777777825</v>
      </c>
      <c r="MM13" s="12">
        <f t="shared" ref="MM13" si="349">ML13 + TIME(0,10,0)</f>
        <v>45923.40972222227</v>
      </c>
      <c r="MN13" s="12">
        <f t="shared" ref="MN13" si="350">MM13 + TIME(0,10,0)</f>
        <v>45923.416666666715</v>
      </c>
      <c r="MO13" s="12">
        <f t="shared" ref="MO13" si="351">MN13 + TIME(0,10,0)</f>
        <v>45923.42361111116</v>
      </c>
      <c r="MP13" s="12">
        <f t="shared" ref="MP13" si="352">MO13 + TIME(0,10,0)</f>
        <v>45923.430555555606</v>
      </c>
      <c r="MQ13" s="12">
        <f t="shared" ref="MQ13" si="353">MP13 + TIME(0,10,0)</f>
        <v>45923.437500000051</v>
      </c>
      <c r="MR13" s="12">
        <f t="shared" ref="MR13" si="354">MQ13 + TIME(0,10,0)</f>
        <v>45923.444444444496</v>
      </c>
      <c r="MS13" s="12">
        <f t="shared" ref="MS13" si="355">MR13 + TIME(0,10,0)</f>
        <v>45923.451388888941</v>
      </c>
      <c r="MT13" s="12">
        <f t="shared" ref="MT13" si="356">MS13 + TIME(0,10,0)</f>
        <v>45923.458333333387</v>
      </c>
      <c r="MU13" s="12">
        <f t="shared" ref="MU13" si="357">MT13 + TIME(0,10,0)</f>
        <v>45923.465277777832</v>
      </c>
      <c r="MV13" s="12">
        <f t="shared" ref="MV13" si="358">MU13 + TIME(0,10,0)</f>
        <v>45923.472222222277</v>
      </c>
      <c r="MW13" s="12">
        <f t="shared" ref="MW13" si="359">MV13 + TIME(0,10,0)</f>
        <v>45923.479166666722</v>
      </c>
      <c r="MX13" s="12">
        <f t="shared" ref="MX13" si="360">MW13 + TIME(0,10,0)</f>
        <v>45923.486111111168</v>
      </c>
      <c r="MY13" s="12">
        <f t="shared" ref="MY13" si="361">MX13 + TIME(0,10,0)</f>
        <v>45923.493055555613</v>
      </c>
      <c r="MZ13" s="12">
        <f t="shared" ref="MZ13" si="362">MY13 + TIME(0,10,0)</f>
        <v>45923.500000000058</v>
      </c>
      <c r="NA13" s="12">
        <f t="shared" ref="NA13" si="363">MZ13 + TIME(0,10,0)</f>
        <v>45923.506944444503</v>
      </c>
      <c r="NB13" s="12">
        <f t="shared" ref="NB13" si="364">NA13 + TIME(0,10,0)</f>
        <v>45923.513888888949</v>
      </c>
      <c r="NC13" s="12">
        <f t="shared" ref="NC13" si="365">NB13 + TIME(0,10,0)</f>
        <v>45923.520833333394</v>
      </c>
      <c r="ND13" s="12">
        <f t="shared" ref="ND13" si="366">NC13 + TIME(0,10,0)</f>
        <v>45923.527777777839</v>
      </c>
      <c r="NE13" s="12">
        <f t="shared" ref="NE13" si="367">ND13 + TIME(0,10,0)</f>
        <v>45923.534722222284</v>
      </c>
      <c r="NF13" s="12">
        <f t="shared" ref="NF13" si="368">NE13 + TIME(0,10,0)</f>
        <v>45923.54166666673</v>
      </c>
      <c r="NG13" s="12">
        <f t="shared" ref="NG13" si="369">NF13 + TIME(0,10,0)</f>
        <v>45923.548611111175</v>
      </c>
      <c r="NH13" s="12">
        <f t="shared" ref="NH13" si="370">NG13 + TIME(0,10,0)</f>
        <v>45923.55555555562</v>
      </c>
      <c r="NI13" s="12">
        <f t="shared" ref="NI13" si="371">NH13 + TIME(0,10,0)</f>
        <v>45923.562500000065</v>
      </c>
      <c r="NJ13" s="12">
        <f t="shared" ref="NJ13" si="372">NI13 + TIME(0,10,0)</f>
        <v>45923.569444444511</v>
      </c>
      <c r="NK13" s="12">
        <f t="shared" ref="NK13" si="373">NJ13 + TIME(0,10,0)</f>
        <v>45923.576388888956</v>
      </c>
      <c r="NL13" s="12">
        <f t="shared" ref="NL13" si="374">NK13 + TIME(0,10,0)</f>
        <v>45923.583333333401</v>
      </c>
      <c r="NM13" s="12">
        <f t="shared" ref="NM13" si="375">NL13 + TIME(0,10,0)</f>
        <v>45923.590277777846</v>
      </c>
      <c r="NN13" s="12">
        <f t="shared" ref="NN13" si="376">NM13 + TIME(0,10,0)</f>
        <v>45923.597222222292</v>
      </c>
      <c r="NO13" s="12">
        <f t="shared" ref="NO13" si="377">NN13 + TIME(0,10,0)</f>
        <v>45923.604166666737</v>
      </c>
      <c r="NP13" s="12">
        <f t="shared" ref="NP13" si="378">NO13 + TIME(0,10,0)</f>
        <v>45923.611111111182</v>
      </c>
      <c r="NQ13" s="12">
        <f t="shared" ref="NQ13" si="379">NP13 + TIME(0,10,0)</f>
        <v>45923.618055555628</v>
      </c>
      <c r="NR13" s="12">
        <f t="shared" ref="NR13" si="380">NQ13 + TIME(0,10,0)</f>
        <v>45923.625000000073</v>
      </c>
      <c r="NS13" s="12">
        <f t="shared" ref="NS13" si="381">NR13 + TIME(0,10,0)</f>
        <v>45923.631944444518</v>
      </c>
      <c r="NT13" s="12">
        <f t="shared" ref="NT13" si="382">NS13 + TIME(0,10,0)</f>
        <v>45923.638888888963</v>
      </c>
      <c r="NU13" s="12">
        <f t="shared" ref="NU13" si="383">NT13 + TIME(0,10,0)</f>
        <v>45923.645833333409</v>
      </c>
      <c r="NV13" s="12">
        <f t="shared" ref="NV13" si="384">NU13 + TIME(0,10,0)</f>
        <v>45923.652777777854</v>
      </c>
      <c r="NW13" s="12">
        <f t="shared" ref="NW13" si="385">NV13 + TIME(0,10,0)</f>
        <v>45923.659722222299</v>
      </c>
      <c r="NX13" s="12">
        <f t="shared" ref="NX13" si="386">NW13 + TIME(0,10,0)</f>
        <v>45923.666666666744</v>
      </c>
      <c r="NY13" s="12">
        <f t="shared" ref="NY13" si="387">NX13 + TIME(0,10,0)</f>
        <v>45923.67361111119</v>
      </c>
      <c r="NZ13" s="12">
        <f t="shared" ref="NZ13" si="388">NY13 + TIME(0,10,0)</f>
        <v>45923.680555555635</v>
      </c>
      <c r="OA13" s="12">
        <f t="shared" ref="OA13" si="389">NZ13 + TIME(0,10,0)</f>
        <v>45923.68750000008</v>
      </c>
      <c r="OB13" s="12">
        <f t="shared" ref="OB13" si="390">OA13 + TIME(0,10,0)</f>
        <v>45923.694444444525</v>
      </c>
      <c r="OC13" s="12">
        <f t="shared" ref="OC13" si="391">OB13 + TIME(0,10,0)</f>
        <v>45923.701388888971</v>
      </c>
      <c r="OD13" s="12">
        <f t="shared" ref="OD13" si="392">OC13 + TIME(0,10,0)</f>
        <v>45923.708333333416</v>
      </c>
      <c r="OE13" s="12">
        <f t="shared" ref="OE13" si="393">OD13 + TIME(0,10,0)</f>
        <v>45923.715277777861</v>
      </c>
      <c r="OF13" s="12">
        <f t="shared" ref="OF13" si="394">OE13 + TIME(0,10,0)</f>
        <v>45923.722222222306</v>
      </c>
      <c r="OG13" s="12">
        <f t="shared" ref="OG13" si="395">OF13 + TIME(0,10,0)</f>
        <v>45923.729166666752</v>
      </c>
      <c r="OH13" s="12">
        <f t="shared" ref="OH13" si="396">OG13 + TIME(0,10,0)</f>
        <v>45923.736111111197</v>
      </c>
      <c r="OI13" s="12">
        <f t="shared" ref="OI13" si="397">OH13 + TIME(0,10,0)</f>
        <v>45923.743055555642</v>
      </c>
      <c r="OJ13" s="12">
        <f t="shared" ref="OJ13" si="398">OI13 + TIME(0,10,0)</f>
        <v>45923.750000000087</v>
      </c>
      <c r="OK13" s="12">
        <f t="shared" ref="OK13" si="399">OJ13 + TIME(0,10,0)</f>
        <v>45923.756944444533</v>
      </c>
      <c r="OL13" s="12">
        <f t="shared" ref="OL13" si="400">OK13 + TIME(0,10,0)</f>
        <v>45923.763888888978</v>
      </c>
      <c r="OM13" s="12">
        <f t="shared" ref="OM13" si="401">OL13 + TIME(0,10,0)</f>
        <v>45923.770833333423</v>
      </c>
      <c r="ON13" s="12">
        <f t="shared" ref="ON13" si="402">OM13 + TIME(0,10,0)</f>
        <v>45923.777777777868</v>
      </c>
      <c r="OO13" s="12">
        <f t="shared" ref="OO13" si="403">ON13 + TIME(0,10,0)</f>
        <v>45923.784722222314</v>
      </c>
      <c r="OP13" s="12">
        <f t="shared" ref="OP13" si="404">OO13 + TIME(0,10,0)</f>
        <v>45923.791666666759</v>
      </c>
      <c r="OQ13" s="12">
        <f t="shared" ref="OQ13" si="405">OP13 + TIME(0,10,0)</f>
        <v>45923.798611111204</v>
      </c>
      <c r="OR13" s="12">
        <f t="shared" ref="OR13" si="406">OQ13 + TIME(0,10,0)</f>
        <v>45923.805555555649</v>
      </c>
      <c r="OS13" s="12">
        <f t="shared" ref="OS13" si="407">OR13 + TIME(0,10,0)</f>
        <v>45923.812500000095</v>
      </c>
      <c r="OT13" s="12">
        <f t="shared" ref="OT13" si="408">OS13 + TIME(0,10,0)</f>
        <v>45923.81944444454</v>
      </c>
      <c r="OU13" s="12">
        <f t="shared" ref="OU13" si="409">OT13 + TIME(0,10,0)</f>
        <v>45923.826388888985</v>
      </c>
      <c r="OV13" s="12">
        <f t="shared" ref="OV13" si="410">OU13 + TIME(0,10,0)</f>
        <v>45923.83333333343</v>
      </c>
      <c r="OW13" s="12">
        <f t="shared" ref="OW13" si="411">OV13 + TIME(0,10,0)</f>
        <v>45923.840277777876</v>
      </c>
      <c r="OX13" s="12">
        <f t="shared" ref="OX13" si="412">OW13 + TIME(0,10,0)</f>
        <v>45923.847222222321</v>
      </c>
      <c r="OY13" s="12">
        <f t="shared" ref="OY13" si="413">OX13 + TIME(0,10,0)</f>
        <v>45923.854166666766</v>
      </c>
      <c r="OZ13" s="12">
        <f t="shared" ref="OZ13" si="414">OY13 + TIME(0,10,0)</f>
        <v>45923.861111111211</v>
      </c>
      <c r="PA13" s="12">
        <f t="shared" ref="PA13" si="415">OZ13 + TIME(0,10,0)</f>
        <v>45923.868055555657</v>
      </c>
      <c r="PB13" s="12">
        <f t="shared" ref="PB13" si="416">PA13 + TIME(0,10,0)</f>
        <v>45923.875000000102</v>
      </c>
      <c r="PC13" s="12">
        <f t="shared" ref="PC13" si="417">PB13 + TIME(0,10,0)</f>
        <v>45923.881944444547</v>
      </c>
      <c r="PD13" s="12">
        <f t="shared" ref="PD13" si="418">PC13 + TIME(0,10,0)</f>
        <v>45923.888888888992</v>
      </c>
      <c r="PE13" s="12">
        <f t="shared" ref="PE13" si="419">PD13 + TIME(0,10,0)</f>
        <v>45923.895833333438</v>
      </c>
      <c r="PF13" s="12">
        <f t="shared" ref="PF13" si="420">PE13 + TIME(0,10,0)</f>
        <v>45923.902777777883</v>
      </c>
      <c r="PG13" s="12">
        <f t="shared" ref="PG13" si="421">PF13 + TIME(0,10,0)</f>
        <v>45923.909722222328</v>
      </c>
      <c r="PH13" s="12">
        <f t="shared" ref="PH13" si="422">PG13 + TIME(0,10,0)</f>
        <v>45923.916666666773</v>
      </c>
      <c r="PI13" s="12">
        <f t="shared" ref="PI13" si="423">PH13 + TIME(0,10,0)</f>
        <v>45923.923611111219</v>
      </c>
      <c r="PJ13" s="12">
        <f t="shared" ref="PJ13" si="424">PI13 + TIME(0,10,0)</f>
        <v>45923.930555555664</v>
      </c>
      <c r="PK13" s="12">
        <f t="shared" ref="PK13" si="425">PJ13 + TIME(0,10,0)</f>
        <v>45923.937500000109</v>
      </c>
      <c r="PL13" s="12">
        <f t="shared" ref="PL13" si="426">PK13 + TIME(0,10,0)</f>
        <v>45923.944444444554</v>
      </c>
      <c r="PM13" s="12">
        <f t="shared" ref="PM13" si="427">PL13 + TIME(0,10,0)</f>
        <v>45923.951388889</v>
      </c>
      <c r="PN13" s="12">
        <f t="shared" ref="PN13" si="428">PM13 + TIME(0,10,0)</f>
        <v>45923.958333333445</v>
      </c>
      <c r="PO13" s="12">
        <f t="shared" ref="PO13" si="429">PN13 + TIME(0,10,0)</f>
        <v>45923.96527777789</v>
      </c>
      <c r="PP13" s="12">
        <f t="shared" ref="PP13" si="430">PO13 + TIME(0,10,0)</f>
        <v>45923.972222222335</v>
      </c>
      <c r="PQ13" s="12">
        <f t="shared" ref="PQ13" si="431">PP13 + TIME(0,10,0)</f>
        <v>45923.979166666781</v>
      </c>
      <c r="PR13" s="12">
        <f t="shared" ref="PR13" si="432">PQ13 + TIME(0,10,0)</f>
        <v>45923.986111111226</v>
      </c>
      <c r="PS13" s="13">
        <f t="shared" ref="PS13" si="433">PR13 + TIME(0,10,0)</f>
        <v>45923.993055555671</v>
      </c>
      <c r="PT13" s="12">
        <f>PT12</f>
        <v>45924</v>
      </c>
      <c r="PU13" s="12">
        <f>PT13 + TIME(0,10,0)</f>
        <v>45924.006944444445</v>
      </c>
      <c r="PV13" s="12">
        <f t="shared" ref="PV13" si="434">PU13 + TIME(0,10,0)</f>
        <v>45924.013888888891</v>
      </c>
      <c r="PW13" s="12">
        <f t="shared" ref="PW13" si="435">PV13 + TIME(0,10,0)</f>
        <v>45924.020833333336</v>
      </c>
      <c r="PX13" s="12">
        <f t="shared" ref="PX13" si="436">PW13 + TIME(0,10,0)</f>
        <v>45924.027777777781</v>
      </c>
      <c r="PY13" s="12">
        <f t="shared" ref="PY13" si="437">PX13 + TIME(0,10,0)</f>
        <v>45924.034722222226</v>
      </c>
      <c r="PZ13" s="12">
        <f t="shared" ref="PZ13" si="438">PY13 + TIME(0,10,0)</f>
        <v>45924.041666666672</v>
      </c>
      <c r="QA13" s="12">
        <f t="shared" ref="QA13" si="439">PZ13 + TIME(0,10,0)</f>
        <v>45924.048611111117</v>
      </c>
      <c r="QB13" s="12">
        <f t="shared" ref="QB13" si="440">QA13 + TIME(0,10,0)</f>
        <v>45924.055555555562</v>
      </c>
      <c r="QC13" s="12">
        <f t="shared" ref="QC13" si="441">QB13 + TIME(0,10,0)</f>
        <v>45924.062500000007</v>
      </c>
      <c r="QD13" s="12">
        <f t="shared" ref="QD13" si="442">QC13 + TIME(0,10,0)</f>
        <v>45924.069444444453</v>
      </c>
      <c r="QE13" s="12">
        <f t="shared" ref="QE13" si="443">QD13 + TIME(0,10,0)</f>
        <v>45924.076388888898</v>
      </c>
      <c r="QF13" s="12">
        <f t="shared" ref="QF13" si="444">QE13 + TIME(0,10,0)</f>
        <v>45924.083333333343</v>
      </c>
      <c r="QG13" s="12">
        <f t="shared" ref="QG13" si="445">QF13 + TIME(0,10,0)</f>
        <v>45924.090277777788</v>
      </c>
      <c r="QH13" s="12">
        <f t="shared" ref="QH13" si="446">QG13 + TIME(0,10,0)</f>
        <v>45924.097222222234</v>
      </c>
      <c r="QI13" s="12">
        <f t="shared" ref="QI13" si="447">QH13 + TIME(0,10,0)</f>
        <v>45924.104166666679</v>
      </c>
      <c r="QJ13" s="12">
        <f t="shared" ref="QJ13" si="448">QI13 + TIME(0,10,0)</f>
        <v>45924.111111111124</v>
      </c>
      <c r="QK13" s="12">
        <f t="shared" ref="QK13" si="449">QJ13 + TIME(0,10,0)</f>
        <v>45924.118055555569</v>
      </c>
      <c r="QL13" s="12">
        <f t="shared" ref="QL13" si="450">QK13 + TIME(0,10,0)</f>
        <v>45924.125000000015</v>
      </c>
      <c r="QM13" s="12">
        <f t="shared" ref="QM13" si="451">QL13 + TIME(0,10,0)</f>
        <v>45924.13194444446</v>
      </c>
      <c r="QN13" s="12">
        <f t="shared" ref="QN13" si="452">QM13 + TIME(0,10,0)</f>
        <v>45924.138888888905</v>
      </c>
      <c r="QO13" s="12">
        <f t="shared" ref="QO13" si="453">QN13 + TIME(0,10,0)</f>
        <v>45924.14583333335</v>
      </c>
      <c r="QP13" s="12">
        <f t="shared" ref="QP13" si="454">QO13 + TIME(0,10,0)</f>
        <v>45924.152777777796</v>
      </c>
      <c r="QQ13" s="12">
        <f t="shared" ref="QQ13" si="455">QP13 + TIME(0,10,0)</f>
        <v>45924.159722222241</v>
      </c>
      <c r="QR13" s="12">
        <f t="shared" ref="QR13" si="456">QQ13 + TIME(0,10,0)</f>
        <v>45924.166666666686</v>
      </c>
      <c r="QS13" s="12">
        <f t="shared" ref="QS13" si="457">QR13 + TIME(0,10,0)</f>
        <v>45924.173611111131</v>
      </c>
      <c r="QT13" s="12">
        <f t="shared" ref="QT13" si="458">QS13 + TIME(0,10,0)</f>
        <v>45924.180555555577</v>
      </c>
      <c r="QU13" s="12">
        <f t="shared" ref="QU13" si="459">QT13 + TIME(0,10,0)</f>
        <v>45924.187500000022</v>
      </c>
      <c r="QV13" s="12">
        <f t="shared" ref="QV13" si="460">QU13 + TIME(0,10,0)</f>
        <v>45924.194444444467</v>
      </c>
      <c r="QW13" s="12">
        <f t="shared" ref="QW13" si="461">QV13 + TIME(0,10,0)</f>
        <v>45924.201388888912</v>
      </c>
      <c r="QX13" s="12">
        <f t="shared" ref="QX13" si="462">QW13 + TIME(0,10,0)</f>
        <v>45924.208333333358</v>
      </c>
      <c r="QY13" s="12">
        <f t="shared" ref="QY13" si="463">QX13 + TIME(0,10,0)</f>
        <v>45924.215277777803</v>
      </c>
      <c r="QZ13" s="12">
        <f t="shared" ref="QZ13" si="464">QY13 + TIME(0,10,0)</f>
        <v>45924.222222222248</v>
      </c>
      <c r="RA13" s="12">
        <f t="shared" ref="RA13" si="465">QZ13 + TIME(0,10,0)</f>
        <v>45924.229166666693</v>
      </c>
      <c r="RB13" s="12">
        <f t="shared" ref="RB13" si="466">RA13 + TIME(0,10,0)</f>
        <v>45924.236111111139</v>
      </c>
      <c r="RC13" s="12">
        <f t="shared" ref="RC13" si="467">RB13 + TIME(0,10,0)</f>
        <v>45924.243055555584</v>
      </c>
      <c r="RD13" s="12">
        <f t="shared" ref="RD13" si="468">RC13 + TIME(0,10,0)</f>
        <v>45924.250000000029</v>
      </c>
      <c r="RE13" s="12">
        <f t="shared" ref="RE13" si="469">RD13 + TIME(0,10,0)</f>
        <v>45924.256944444474</v>
      </c>
      <c r="RF13" s="12">
        <f t="shared" ref="RF13" si="470">RE13 + TIME(0,10,0)</f>
        <v>45924.26388888892</v>
      </c>
      <c r="RG13" s="12">
        <f t="shared" ref="RG13" si="471">RF13 + TIME(0,10,0)</f>
        <v>45924.270833333365</v>
      </c>
      <c r="RH13" s="12">
        <f t="shared" ref="RH13" si="472">RG13 + TIME(0,10,0)</f>
        <v>45924.27777777781</v>
      </c>
      <c r="RI13" s="12">
        <f t="shared" ref="RI13" si="473">RH13 + TIME(0,10,0)</f>
        <v>45924.284722222255</v>
      </c>
      <c r="RJ13" s="12">
        <f t="shared" ref="RJ13" si="474">RI13 + TIME(0,10,0)</f>
        <v>45924.291666666701</v>
      </c>
      <c r="RK13" s="12">
        <f t="shared" ref="RK13" si="475">RJ13 + TIME(0,10,0)</f>
        <v>45924.298611111146</v>
      </c>
      <c r="RL13" s="12">
        <f t="shared" ref="RL13" si="476">RK13 + TIME(0,10,0)</f>
        <v>45924.305555555591</v>
      </c>
      <c r="RM13" s="12">
        <f t="shared" ref="RM13" si="477">RL13 + TIME(0,10,0)</f>
        <v>45924.312500000036</v>
      </c>
      <c r="RN13" s="12">
        <f t="shared" ref="RN13" si="478">RM13 + TIME(0,10,0)</f>
        <v>45924.319444444482</v>
      </c>
      <c r="RO13" s="12">
        <f t="shared" ref="RO13" si="479">RN13 + TIME(0,10,0)</f>
        <v>45924.326388888927</v>
      </c>
      <c r="RP13" s="12">
        <f t="shared" ref="RP13" si="480">RO13 + TIME(0,10,0)</f>
        <v>45924.333333333372</v>
      </c>
      <c r="RQ13" s="12">
        <f t="shared" ref="RQ13" si="481">RP13 + TIME(0,10,0)</f>
        <v>45924.340277777817</v>
      </c>
      <c r="RR13" s="12">
        <f t="shared" ref="RR13" si="482">RQ13 + TIME(0,10,0)</f>
        <v>45924.347222222263</v>
      </c>
      <c r="RS13" s="12">
        <f t="shared" ref="RS13" si="483">RR13 + TIME(0,10,0)</f>
        <v>45924.354166666708</v>
      </c>
      <c r="RT13" s="12">
        <f t="shared" ref="RT13" si="484">RS13 + TIME(0,10,0)</f>
        <v>45924.361111111153</v>
      </c>
      <c r="RU13" s="12">
        <f t="shared" ref="RU13" si="485">RT13 + TIME(0,10,0)</f>
        <v>45924.368055555598</v>
      </c>
      <c r="RV13" s="12">
        <f t="shared" ref="RV13" si="486">RU13 + TIME(0,10,0)</f>
        <v>45924.375000000044</v>
      </c>
      <c r="RW13" s="12">
        <f t="shared" ref="RW13" si="487">RV13 + TIME(0,10,0)</f>
        <v>45924.381944444489</v>
      </c>
      <c r="RX13" s="12">
        <f t="shared" ref="RX13" si="488">RW13 + TIME(0,10,0)</f>
        <v>45924.388888888934</v>
      </c>
      <c r="RY13" s="12">
        <f t="shared" ref="RY13" si="489">RX13 + TIME(0,10,0)</f>
        <v>45924.395833333379</v>
      </c>
      <c r="RZ13" s="12">
        <f t="shared" ref="RZ13" si="490">RY13 + TIME(0,10,0)</f>
        <v>45924.402777777825</v>
      </c>
      <c r="SA13" s="12">
        <f t="shared" ref="SA13" si="491">RZ13 + TIME(0,10,0)</f>
        <v>45924.40972222227</v>
      </c>
      <c r="SB13" s="12">
        <f t="shared" ref="SB13" si="492">SA13 + TIME(0,10,0)</f>
        <v>45924.416666666715</v>
      </c>
      <c r="SC13" s="12">
        <f t="shared" ref="SC13" si="493">SB13 + TIME(0,10,0)</f>
        <v>45924.42361111116</v>
      </c>
      <c r="SD13" s="12">
        <f t="shared" ref="SD13" si="494">SC13 + TIME(0,10,0)</f>
        <v>45924.430555555606</v>
      </c>
      <c r="SE13" s="12">
        <f t="shared" ref="SE13" si="495">SD13 + TIME(0,10,0)</f>
        <v>45924.437500000051</v>
      </c>
      <c r="SF13" s="12">
        <f t="shared" ref="SF13" si="496">SE13 + TIME(0,10,0)</f>
        <v>45924.444444444496</v>
      </c>
      <c r="SG13" s="12">
        <f t="shared" ref="SG13" si="497">SF13 + TIME(0,10,0)</f>
        <v>45924.451388888941</v>
      </c>
      <c r="SH13" s="12">
        <f t="shared" ref="SH13" si="498">SG13 + TIME(0,10,0)</f>
        <v>45924.458333333387</v>
      </c>
      <c r="SI13" s="12">
        <f t="shared" ref="SI13" si="499">SH13 + TIME(0,10,0)</f>
        <v>45924.465277777832</v>
      </c>
      <c r="SJ13" s="12">
        <f t="shared" ref="SJ13" si="500">SI13 + TIME(0,10,0)</f>
        <v>45924.472222222277</v>
      </c>
      <c r="SK13" s="12">
        <f t="shared" ref="SK13" si="501">SJ13 + TIME(0,10,0)</f>
        <v>45924.479166666722</v>
      </c>
      <c r="SL13" s="12">
        <f t="shared" ref="SL13" si="502">SK13 + TIME(0,10,0)</f>
        <v>45924.486111111168</v>
      </c>
      <c r="SM13" s="12">
        <f t="shared" ref="SM13" si="503">SL13 + TIME(0,10,0)</f>
        <v>45924.493055555613</v>
      </c>
      <c r="SN13" s="12">
        <f t="shared" ref="SN13" si="504">SM13 + TIME(0,10,0)</f>
        <v>45924.500000000058</v>
      </c>
      <c r="SO13" s="12">
        <f t="shared" ref="SO13" si="505">SN13 + TIME(0,10,0)</f>
        <v>45924.506944444503</v>
      </c>
      <c r="SP13" s="12">
        <f t="shared" ref="SP13" si="506">SO13 + TIME(0,10,0)</f>
        <v>45924.513888888949</v>
      </c>
      <c r="SQ13" s="12">
        <f t="shared" ref="SQ13" si="507">SP13 + TIME(0,10,0)</f>
        <v>45924.520833333394</v>
      </c>
      <c r="SR13" s="12">
        <f t="shared" ref="SR13" si="508">SQ13 + TIME(0,10,0)</f>
        <v>45924.527777777839</v>
      </c>
      <c r="SS13" s="12">
        <f t="shared" ref="SS13" si="509">SR13 + TIME(0,10,0)</f>
        <v>45924.534722222284</v>
      </c>
      <c r="ST13" s="12">
        <f t="shared" ref="ST13" si="510">SS13 + TIME(0,10,0)</f>
        <v>45924.54166666673</v>
      </c>
      <c r="SU13" s="12">
        <f t="shared" ref="SU13" si="511">ST13 + TIME(0,10,0)</f>
        <v>45924.548611111175</v>
      </c>
      <c r="SV13" s="12">
        <f t="shared" ref="SV13" si="512">SU13 + TIME(0,10,0)</f>
        <v>45924.55555555562</v>
      </c>
      <c r="SW13" s="12">
        <f t="shared" ref="SW13" si="513">SV13 + TIME(0,10,0)</f>
        <v>45924.562500000065</v>
      </c>
      <c r="SX13" s="12">
        <f t="shared" ref="SX13" si="514">SW13 + TIME(0,10,0)</f>
        <v>45924.569444444511</v>
      </c>
      <c r="SY13" s="12">
        <f t="shared" ref="SY13" si="515">SX13 + TIME(0,10,0)</f>
        <v>45924.576388888956</v>
      </c>
      <c r="SZ13" s="12">
        <f t="shared" ref="SZ13" si="516">SY13 + TIME(0,10,0)</f>
        <v>45924.583333333401</v>
      </c>
      <c r="TA13" s="12">
        <f t="shared" ref="TA13" si="517">SZ13 + TIME(0,10,0)</f>
        <v>45924.590277777846</v>
      </c>
      <c r="TB13" s="12">
        <f t="shared" ref="TB13" si="518">TA13 + TIME(0,10,0)</f>
        <v>45924.597222222292</v>
      </c>
      <c r="TC13" s="12">
        <f t="shared" ref="TC13" si="519">TB13 + TIME(0,10,0)</f>
        <v>45924.604166666737</v>
      </c>
      <c r="TD13" s="12">
        <f t="shared" ref="TD13" si="520">TC13 + TIME(0,10,0)</f>
        <v>45924.611111111182</v>
      </c>
      <c r="TE13" s="12">
        <f t="shared" ref="TE13" si="521">TD13 + TIME(0,10,0)</f>
        <v>45924.618055555628</v>
      </c>
      <c r="TF13" s="12">
        <f t="shared" ref="TF13" si="522">TE13 + TIME(0,10,0)</f>
        <v>45924.625000000073</v>
      </c>
      <c r="TG13" s="12">
        <f t="shared" ref="TG13" si="523">TF13 + TIME(0,10,0)</f>
        <v>45924.631944444518</v>
      </c>
      <c r="TH13" s="12">
        <f t="shared" ref="TH13" si="524">TG13 + TIME(0,10,0)</f>
        <v>45924.638888888963</v>
      </c>
      <c r="TI13" s="12">
        <f t="shared" ref="TI13" si="525">TH13 + TIME(0,10,0)</f>
        <v>45924.645833333409</v>
      </c>
      <c r="TJ13" s="12">
        <f t="shared" ref="TJ13" si="526">TI13 + TIME(0,10,0)</f>
        <v>45924.652777777854</v>
      </c>
      <c r="TK13" s="12">
        <f t="shared" ref="TK13" si="527">TJ13 + TIME(0,10,0)</f>
        <v>45924.659722222299</v>
      </c>
      <c r="TL13" s="12">
        <f t="shared" ref="TL13" si="528">TK13 + TIME(0,10,0)</f>
        <v>45924.666666666744</v>
      </c>
      <c r="TM13" s="12">
        <f t="shared" ref="TM13" si="529">TL13 + TIME(0,10,0)</f>
        <v>45924.67361111119</v>
      </c>
      <c r="TN13" s="12">
        <f t="shared" ref="TN13" si="530">TM13 + TIME(0,10,0)</f>
        <v>45924.680555555635</v>
      </c>
      <c r="TO13" s="12">
        <f t="shared" ref="TO13" si="531">TN13 + TIME(0,10,0)</f>
        <v>45924.68750000008</v>
      </c>
      <c r="TP13" s="12">
        <f t="shared" ref="TP13" si="532">TO13 + TIME(0,10,0)</f>
        <v>45924.694444444525</v>
      </c>
      <c r="TQ13" s="12">
        <f t="shared" ref="TQ13" si="533">TP13 + TIME(0,10,0)</f>
        <v>45924.701388888971</v>
      </c>
      <c r="TR13" s="12">
        <f t="shared" ref="TR13" si="534">TQ13 + TIME(0,10,0)</f>
        <v>45924.708333333416</v>
      </c>
      <c r="TS13" s="12">
        <f t="shared" ref="TS13" si="535">TR13 + TIME(0,10,0)</f>
        <v>45924.715277777861</v>
      </c>
      <c r="TT13" s="12">
        <f t="shared" ref="TT13" si="536">TS13 + TIME(0,10,0)</f>
        <v>45924.722222222306</v>
      </c>
      <c r="TU13" s="12">
        <f t="shared" ref="TU13" si="537">TT13 + TIME(0,10,0)</f>
        <v>45924.729166666752</v>
      </c>
      <c r="TV13" s="12">
        <f t="shared" ref="TV13" si="538">TU13 + TIME(0,10,0)</f>
        <v>45924.736111111197</v>
      </c>
      <c r="TW13" s="12">
        <f t="shared" ref="TW13" si="539">TV13 + TIME(0,10,0)</f>
        <v>45924.743055555642</v>
      </c>
      <c r="TX13" s="12">
        <f t="shared" ref="TX13" si="540">TW13 + TIME(0,10,0)</f>
        <v>45924.750000000087</v>
      </c>
      <c r="TY13" s="12">
        <f t="shared" ref="TY13" si="541">TX13 + TIME(0,10,0)</f>
        <v>45924.756944444533</v>
      </c>
      <c r="TZ13" s="12">
        <f t="shared" ref="TZ13" si="542">TY13 + TIME(0,10,0)</f>
        <v>45924.763888888978</v>
      </c>
      <c r="UA13" s="12">
        <f t="shared" ref="UA13" si="543">TZ13 + TIME(0,10,0)</f>
        <v>45924.770833333423</v>
      </c>
      <c r="UB13" s="12">
        <f t="shared" ref="UB13" si="544">UA13 + TIME(0,10,0)</f>
        <v>45924.777777777868</v>
      </c>
      <c r="UC13" s="12">
        <f t="shared" ref="UC13" si="545">UB13 + TIME(0,10,0)</f>
        <v>45924.784722222314</v>
      </c>
      <c r="UD13" s="12">
        <f t="shared" ref="UD13" si="546">UC13 + TIME(0,10,0)</f>
        <v>45924.791666666759</v>
      </c>
      <c r="UE13" s="12">
        <f t="shared" ref="UE13" si="547">UD13 + TIME(0,10,0)</f>
        <v>45924.798611111204</v>
      </c>
      <c r="UF13" s="12">
        <f t="shared" ref="UF13" si="548">UE13 + TIME(0,10,0)</f>
        <v>45924.805555555649</v>
      </c>
      <c r="UG13" s="12">
        <f t="shared" ref="UG13" si="549">UF13 + TIME(0,10,0)</f>
        <v>45924.812500000095</v>
      </c>
      <c r="UH13" s="12">
        <f t="shared" ref="UH13" si="550">UG13 + TIME(0,10,0)</f>
        <v>45924.81944444454</v>
      </c>
      <c r="UI13" s="12">
        <f t="shared" ref="UI13" si="551">UH13 + TIME(0,10,0)</f>
        <v>45924.826388888985</v>
      </c>
      <c r="UJ13" s="12">
        <f t="shared" ref="UJ13" si="552">UI13 + TIME(0,10,0)</f>
        <v>45924.83333333343</v>
      </c>
      <c r="UK13" s="12">
        <f t="shared" ref="UK13" si="553">UJ13 + TIME(0,10,0)</f>
        <v>45924.840277777876</v>
      </c>
      <c r="UL13" s="12">
        <f t="shared" ref="UL13" si="554">UK13 + TIME(0,10,0)</f>
        <v>45924.847222222321</v>
      </c>
      <c r="UM13" s="12">
        <f t="shared" ref="UM13" si="555">UL13 + TIME(0,10,0)</f>
        <v>45924.854166666766</v>
      </c>
      <c r="UN13" s="12">
        <f t="shared" ref="UN13" si="556">UM13 + TIME(0,10,0)</f>
        <v>45924.861111111211</v>
      </c>
      <c r="UO13" s="12">
        <f t="shared" ref="UO13" si="557">UN13 + TIME(0,10,0)</f>
        <v>45924.868055555657</v>
      </c>
      <c r="UP13" s="12">
        <f t="shared" ref="UP13" si="558">UO13 + TIME(0,10,0)</f>
        <v>45924.875000000102</v>
      </c>
      <c r="UQ13" s="12">
        <f t="shared" ref="UQ13" si="559">UP13 + TIME(0,10,0)</f>
        <v>45924.881944444547</v>
      </c>
      <c r="UR13" s="12">
        <f t="shared" ref="UR13" si="560">UQ13 + TIME(0,10,0)</f>
        <v>45924.888888888992</v>
      </c>
      <c r="US13" s="12">
        <f t="shared" ref="US13" si="561">UR13 + TIME(0,10,0)</f>
        <v>45924.895833333438</v>
      </c>
      <c r="UT13" s="12">
        <f t="shared" ref="UT13" si="562">US13 + TIME(0,10,0)</f>
        <v>45924.902777777883</v>
      </c>
      <c r="UU13" s="12">
        <f t="shared" ref="UU13" si="563">UT13 + TIME(0,10,0)</f>
        <v>45924.909722222328</v>
      </c>
      <c r="UV13" s="12">
        <f t="shared" ref="UV13" si="564">UU13 + TIME(0,10,0)</f>
        <v>45924.916666666773</v>
      </c>
      <c r="UW13" s="12">
        <f t="shared" ref="UW13" si="565">UV13 + TIME(0,10,0)</f>
        <v>45924.923611111219</v>
      </c>
      <c r="UX13" s="12">
        <f t="shared" ref="UX13" si="566">UW13 + TIME(0,10,0)</f>
        <v>45924.930555555664</v>
      </c>
      <c r="UY13" s="12">
        <f t="shared" ref="UY13" si="567">UX13 + TIME(0,10,0)</f>
        <v>45924.937500000109</v>
      </c>
      <c r="UZ13" s="12">
        <f t="shared" ref="UZ13" si="568">UY13 + TIME(0,10,0)</f>
        <v>45924.944444444554</v>
      </c>
      <c r="VA13" s="12">
        <f t="shared" ref="VA13" si="569">UZ13 + TIME(0,10,0)</f>
        <v>45924.951388889</v>
      </c>
      <c r="VB13" s="12">
        <f t="shared" ref="VB13" si="570">VA13 + TIME(0,10,0)</f>
        <v>45924.958333333445</v>
      </c>
      <c r="VC13" s="12">
        <f t="shared" ref="VC13" si="571">VB13 + TIME(0,10,0)</f>
        <v>45924.96527777789</v>
      </c>
      <c r="VD13" s="12">
        <f t="shared" ref="VD13" si="572">VC13 + TIME(0,10,0)</f>
        <v>45924.972222222335</v>
      </c>
      <c r="VE13" s="12">
        <f t="shared" ref="VE13" si="573">VD13 + TIME(0,10,0)</f>
        <v>45924.979166666781</v>
      </c>
      <c r="VF13" s="12">
        <f t="shared" ref="VF13" si="574">VE13 + TIME(0,10,0)</f>
        <v>45924.986111111226</v>
      </c>
      <c r="VG13" s="13">
        <f t="shared" ref="VG13" si="575">VF13 + TIME(0,10,0)</f>
        <v>45924.993055555671</v>
      </c>
      <c r="VH13" s="12">
        <f>VH12</f>
        <v>45925</v>
      </c>
      <c r="VI13" s="12">
        <f>VH13 + TIME(0,10,0)</f>
        <v>45925.006944444445</v>
      </c>
      <c r="VJ13" s="12">
        <f t="shared" ref="VJ13" si="576">VI13 + TIME(0,10,0)</f>
        <v>45925.013888888891</v>
      </c>
      <c r="VK13" s="12">
        <f t="shared" ref="VK13" si="577">VJ13 + TIME(0,10,0)</f>
        <v>45925.020833333336</v>
      </c>
      <c r="VL13" s="12">
        <f t="shared" ref="VL13" si="578">VK13 + TIME(0,10,0)</f>
        <v>45925.027777777781</v>
      </c>
      <c r="VM13" s="12">
        <f t="shared" ref="VM13" si="579">VL13 + TIME(0,10,0)</f>
        <v>45925.034722222226</v>
      </c>
      <c r="VN13" s="12">
        <f t="shared" ref="VN13" si="580">VM13 + TIME(0,10,0)</f>
        <v>45925.041666666672</v>
      </c>
      <c r="VO13" s="12">
        <f t="shared" ref="VO13" si="581">VN13 + TIME(0,10,0)</f>
        <v>45925.048611111117</v>
      </c>
      <c r="VP13" s="12">
        <f t="shared" ref="VP13" si="582">VO13 + TIME(0,10,0)</f>
        <v>45925.055555555562</v>
      </c>
      <c r="VQ13" s="12">
        <f t="shared" ref="VQ13" si="583">VP13 + TIME(0,10,0)</f>
        <v>45925.062500000007</v>
      </c>
      <c r="VR13" s="12">
        <f t="shared" ref="VR13" si="584">VQ13 + TIME(0,10,0)</f>
        <v>45925.069444444453</v>
      </c>
      <c r="VS13" s="12">
        <f t="shared" ref="VS13" si="585">VR13 + TIME(0,10,0)</f>
        <v>45925.076388888898</v>
      </c>
      <c r="VT13" s="12">
        <f t="shared" ref="VT13" si="586">VS13 + TIME(0,10,0)</f>
        <v>45925.083333333343</v>
      </c>
      <c r="VU13" s="12">
        <f t="shared" ref="VU13" si="587">VT13 + TIME(0,10,0)</f>
        <v>45925.090277777788</v>
      </c>
      <c r="VV13" s="12">
        <f t="shared" ref="VV13" si="588">VU13 + TIME(0,10,0)</f>
        <v>45925.097222222234</v>
      </c>
      <c r="VW13" s="12">
        <f t="shared" ref="VW13" si="589">VV13 + TIME(0,10,0)</f>
        <v>45925.104166666679</v>
      </c>
      <c r="VX13" s="12">
        <f t="shared" ref="VX13" si="590">VW13 + TIME(0,10,0)</f>
        <v>45925.111111111124</v>
      </c>
      <c r="VY13" s="12">
        <f t="shared" ref="VY13" si="591">VX13 + TIME(0,10,0)</f>
        <v>45925.118055555569</v>
      </c>
      <c r="VZ13" s="12">
        <f t="shared" ref="VZ13" si="592">VY13 + TIME(0,10,0)</f>
        <v>45925.125000000015</v>
      </c>
      <c r="WA13" s="12">
        <f t="shared" ref="WA13" si="593">VZ13 + TIME(0,10,0)</f>
        <v>45925.13194444446</v>
      </c>
      <c r="WB13" s="12">
        <f t="shared" ref="WB13" si="594">WA13 + TIME(0,10,0)</f>
        <v>45925.138888888905</v>
      </c>
      <c r="WC13" s="12">
        <f t="shared" ref="WC13" si="595">WB13 + TIME(0,10,0)</f>
        <v>45925.14583333335</v>
      </c>
      <c r="WD13" s="12">
        <f t="shared" ref="WD13" si="596">WC13 + TIME(0,10,0)</f>
        <v>45925.152777777796</v>
      </c>
      <c r="WE13" s="12">
        <f t="shared" ref="WE13" si="597">WD13 + TIME(0,10,0)</f>
        <v>45925.159722222241</v>
      </c>
      <c r="WF13" s="12">
        <f t="shared" ref="WF13" si="598">WE13 + TIME(0,10,0)</f>
        <v>45925.166666666686</v>
      </c>
      <c r="WG13" s="12">
        <f t="shared" ref="WG13" si="599">WF13 + TIME(0,10,0)</f>
        <v>45925.173611111131</v>
      </c>
      <c r="WH13" s="12">
        <f t="shared" ref="WH13" si="600">WG13 + TIME(0,10,0)</f>
        <v>45925.180555555577</v>
      </c>
      <c r="WI13" s="12">
        <f t="shared" ref="WI13" si="601">WH13 + TIME(0,10,0)</f>
        <v>45925.187500000022</v>
      </c>
      <c r="WJ13" s="12">
        <f t="shared" ref="WJ13" si="602">WI13 + TIME(0,10,0)</f>
        <v>45925.194444444467</v>
      </c>
      <c r="WK13" s="12">
        <f t="shared" ref="WK13" si="603">WJ13 + TIME(0,10,0)</f>
        <v>45925.201388888912</v>
      </c>
      <c r="WL13" s="12">
        <f t="shared" ref="WL13" si="604">WK13 + TIME(0,10,0)</f>
        <v>45925.208333333358</v>
      </c>
      <c r="WM13" s="12">
        <f t="shared" ref="WM13" si="605">WL13 + TIME(0,10,0)</f>
        <v>45925.215277777803</v>
      </c>
      <c r="WN13" s="12">
        <f t="shared" ref="WN13" si="606">WM13 + TIME(0,10,0)</f>
        <v>45925.222222222248</v>
      </c>
      <c r="WO13" s="12">
        <f t="shared" ref="WO13" si="607">WN13 + TIME(0,10,0)</f>
        <v>45925.229166666693</v>
      </c>
      <c r="WP13" s="12">
        <f t="shared" ref="WP13" si="608">WO13 + TIME(0,10,0)</f>
        <v>45925.236111111139</v>
      </c>
      <c r="WQ13" s="12">
        <f t="shared" ref="WQ13" si="609">WP13 + TIME(0,10,0)</f>
        <v>45925.243055555584</v>
      </c>
      <c r="WR13" s="12">
        <f t="shared" ref="WR13" si="610">WQ13 + TIME(0,10,0)</f>
        <v>45925.250000000029</v>
      </c>
      <c r="WS13" s="12">
        <f t="shared" ref="WS13" si="611">WR13 + TIME(0,10,0)</f>
        <v>45925.256944444474</v>
      </c>
      <c r="WT13" s="12">
        <f t="shared" ref="WT13" si="612">WS13 + TIME(0,10,0)</f>
        <v>45925.26388888892</v>
      </c>
      <c r="WU13" s="12">
        <f t="shared" ref="WU13" si="613">WT13 + TIME(0,10,0)</f>
        <v>45925.270833333365</v>
      </c>
      <c r="WV13" s="12">
        <f t="shared" ref="WV13" si="614">WU13 + TIME(0,10,0)</f>
        <v>45925.27777777781</v>
      </c>
      <c r="WW13" s="12">
        <f t="shared" ref="WW13" si="615">WV13 + TIME(0,10,0)</f>
        <v>45925.284722222255</v>
      </c>
      <c r="WX13" s="12">
        <f t="shared" ref="WX13" si="616">WW13 + TIME(0,10,0)</f>
        <v>45925.291666666701</v>
      </c>
      <c r="WY13" s="12">
        <f t="shared" ref="WY13" si="617">WX13 + TIME(0,10,0)</f>
        <v>45925.298611111146</v>
      </c>
      <c r="WZ13" s="12">
        <f t="shared" ref="WZ13" si="618">WY13 + TIME(0,10,0)</f>
        <v>45925.305555555591</v>
      </c>
      <c r="XA13" s="12">
        <f t="shared" ref="XA13" si="619">WZ13 + TIME(0,10,0)</f>
        <v>45925.312500000036</v>
      </c>
      <c r="XB13" s="12">
        <f t="shared" ref="XB13" si="620">XA13 + TIME(0,10,0)</f>
        <v>45925.319444444482</v>
      </c>
      <c r="XC13" s="12">
        <f t="shared" ref="XC13" si="621">XB13 + TIME(0,10,0)</f>
        <v>45925.326388888927</v>
      </c>
      <c r="XD13" s="12">
        <f t="shared" ref="XD13" si="622">XC13 + TIME(0,10,0)</f>
        <v>45925.333333333372</v>
      </c>
      <c r="XE13" s="12">
        <f t="shared" ref="XE13" si="623">XD13 + TIME(0,10,0)</f>
        <v>45925.340277777817</v>
      </c>
      <c r="XF13" s="12">
        <f t="shared" ref="XF13" si="624">XE13 + TIME(0,10,0)</f>
        <v>45925.347222222263</v>
      </c>
      <c r="XG13" s="12">
        <f t="shared" ref="XG13" si="625">XF13 + TIME(0,10,0)</f>
        <v>45925.354166666708</v>
      </c>
      <c r="XH13" s="12">
        <f t="shared" ref="XH13" si="626">XG13 + TIME(0,10,0)</f>
        <v>45925.361111111153</v>
      </c>
      <c r="XI13" s="12">
        <f t="shared" ref="XI13" si="627">XH13 + TIME(0,10,0)</f>
        <v>45925.368055555598</v>
      </c>
      <c r="XJ13" s="12">
        <f t="shared" ref="XJ13" si="628">XI13 + TIME(0,10,0)</f>
        <v>45925.375000000044</v>
      </c>
      <c r="XK13" s="12">
        <f t="shared" ref="XK13" si="629">XJ13 + TIME(0,10,0)</f>
        <v>45925.381944444489</v>
      </c>
      <c r="XL13" s="12">
        <f t="shared" ref="XL13" si="630">XK13 + TIME(0,10,0)</f>
        <v>45925.388888888934</v>
      </c>
      <c r="XM13" s="12">
        <f t="shared" ref="XM13" si="631">XL13 + TIME(0,10,0)</f>
        <v>45925.395833333379</v>
      </c>
      <c r="XN13" s="12">
        <f t="shared" ref="XN13" si="632">XM13 + TIME(0,10,0)</f>
        <v>45925.402777777825</v>
      </c>
      <c r="XO13" s="12">
        <f t="shared" ref="XO13" si="633">XN13 + TIME(0,10,0)</f>
        <v>45925.40972222227</v>
      </c>
      <c r="XP13" s="12">
        <f t="shared" ref="XP13" si="634">XO13 + TIME(0,10,0)</f>
        <v>45925.416666666715</v>
      </c>
      <c r="XQ13" s="12">
        <f t="shared" ref="XQ13" si="635">XP13 + TIME(0,10,0)</f>
        <v>45925.42361111116</v>
      </c>
      <c r="XR13" s="12">
        <f t="shared" ref="XR13" si="636">XQ13 + TIME(0,10,0)</f>
        <v>45925.430555555606</v>
      </c>
      <c r="XS13" s="12">
        <f t="shared" ref="XS13" si="637">XR13 + TIME(0,10,0)</f>
        <v>45925.437500000051</v>
      </c>
      <c r="XT13" s="12">
        <f t="shared" ref="XT13" si="638">XS13 + TIME(0,10,0)</f>
        <v>45925.444444444496</v>
      </c>
      <c r="XU13" s="12">
        <f t="shared" ref="XU13" si="639">XT13 + TIME(0,10,0)</f>
        <v>45925.451388888941</v>
      </c>
      <c r="XV13" s="12">
        <f t="shared" ref="XV13" si="640">XU13 + TIME(0,10,0)</f>
        <v>45925.458333333387</v>
      </c>
      <c r="XW13" s="12">
        <f t="shared" ref="XW13" si="641">XV13 + TIME(0,10,0)</f>
        <v>45925.465277777832</v>
      </c>
      <c r="XX13" s="12">
        <f t="shared" ref="XX13" si="642">XW13 + TIME(0,10,0)</f>
        <v>45925.472222222277</v>
      </c>
      <c r="XY13" s="12">
        <f t="shared" ref="XY13" si="643">XX13 + TIME(0,10,0)</f>
        <v>45925.479166666722</v>
      </c>
      <c r="XZ13" s="12">
        <f t="shared" ref="XZ13" si="644">XY13 + TIME(0,10,0)</f>
        <v>45925.486111111168</v>
      </c>
      <c r="YA13" s="12">
        <f t="shared" ref="YA13" si="645">XZ13 + TIME(0,10,0)</f>
        <v>45925.493055555613</v>
      </c>
      <c r="YB13" s="12">
        <f t="shared" ref="YB13" si="646">YA13 + TIME(0,10,0)</f>
        <v>45925.500000000058</v>
      </c>
      <c r="YC13" s="12">
        <f t="shared" ref="YC13" si="647">YB13 + TIME(0,10,0)</f>
        <v>45925.506944444503</v>
      </c>
      <c r="YD13" s="12">
        <f t="shared" ref="YD13" si="648">YC13 + TIME(0,10,0)</f>
        <v>45925.513888888949</v>
      </c>
      <c r="YE13" s="12">
        <f t="shared" ref="YE13" si="649">YD13 + TIME(0,10,0)</f>
        <v>45925.520833333394</v>
      </c>
      <c r="YF13" s="12">
        <f t="shared" ref="YF13" si="650">YE13 + TIME(0,10,0)</f>
        <v>45925.527777777839</v>
      </c>
      <c r="YG13" s="12">
        <f t="shared" ref="YG13" si="651">YF13 + TIME(0,10,0)</f>
        <v>45925.534722222284</v>
      </c>
      <c r="YH13" s="12">
        <f t="shared" ref="YH13" si="652">YG13 + TIME(0,10,0)</f>
        <v>45925.54166666673</v>
      </c>
      <c r="YI13" s="12">
        <f t="shared" ref="YI13" si="653">YH13 + TIME(0,10,0)</f>
        <v>45925.548611111175</v>
      </c>
      <c r="YJ13" s="12">
        <f t="shared" ref="YJ13" si="654">YI13 + TIME(0,10,0)</f>
        <v>45925.55555555562</v>
      </c>
      <c r="YK13" s="12">
        <f t="shared" ref="YK13" si="655">YJ13 + TIME(0,10,0)</f>
        <v>45925.562500000065</v>
      </c>
      <c r="YL13" s="12">
        <f t="shared" ref="YL13" si="656">YK13 + TIME(0,10,0)</f>
        <v>45925.569444444511</v>
      </c>
      <c r="YM13" s="12">
        <f t="shared" ref="YM13" si="657">YL13 + TIME(0,10,0)</f>
        <v>45925.576388888956</v>
      </c>
      <c r="YN13" s="12">
        <f t="shared" ref="YN13" si="658">YM13 + TIME(0,10,0)</f>
        <v>45925.583333333401</v>
      </c>
      <c r="YO13" s="12">
        <f t="shared" ref="YO13" si="659">YN13 + TIME(0,10,0)</f>
        <v>45925.590277777846</v>
      </c>
      <c r="YP13" s="12">
        <f t="shared" ref="YP13" si="660">YO13 + TIME(0,10,0)</f>
        <v>45925.597222222292</v>
      </c>
      <c r="YQ13" s="12">
        <f t="shared" ref="YQ13" si="661">YP13 + TIME(0,10,0)</f>
        <v>45925.604166666737</v>
      </c>
      <c r="YR13" s="12">
        <f t="shared" ref="YR13" si="662">YQ13 + TIME(0,10,0)</f>
        <v>45925.611111111182</v>
      </c>
      <c r="YS13" s="12">
        <f t="shared" ref="YS13" si="663">YR13 + TIME(0,10,0)</f>
        <v>45925.618055555628</v>
      </c>
      <c r="YT13" s="12">
        <f t="shared" ref="YT13" si="664">YS13 + TIME(0,10,0)</f>
        <v>45925.625000000073</v>
      </c>
      <c r="YU13" s="12">
        <f t="shared" ref="YU13" si="665">YT13 + TIME(0,10,0)</f>
        <v>45925.631944444518</v>
      </c>
      <c r="YV13" s="12">
        <f t="shared" ref="YV13" si="666">YU13 + TIME(0,10,0)</f>
        <v>45925.638888888963</v>
      </c>
      <c r="YW13" s="12">
        <f t="shared" ref="YW13" si="667">YV13 + TIME(0,10,0)</f>
        <v>45925.645833333409</v>
      </c>
      <c r="YX13" s="12">
        <f t="shared" ref="YX13" si="668">YW13 + TIME(0,10,0)</f>
        <v>45925.652777777854</v>
      </c>
      <c r="YY13" s="12">
        <f t="shared" ref="YY13" si="669">YX13 + TIME(0,10,0)</f>
        <v>45925.659722222299</v>
      </c>
      <c r="YZ13" s="12">
        <f t="shared" ref="YZ13" si="670">YY13 + TIME(0,10,0)</f>
        <v>45925.666666666744</v>
      </c>
      <c r="ZA13" s="12">
        <f t="shared" ref="ZA13" si="671">YZ13 + TIME(0,10,0)</f>
        <v>45925.67361111119</v>
      </c>
      <c r="ZB13" s="12">
        <f t="shared" ref="ZB13" si="672">ZA13 + TIME(0,10,0)</f>
        <v>45925.680555555635</v>
      </c>
      <c r="ZC13" s="12">
        <f t="shared" ref="ZC13" si="673">ZB13 + TIME(0,10,0)</f>
        <v>45925.68750000008</v>
      </c>
      <c r="ZD13" s="12">
        <f t="shared" ref="ZD13" si="674">ZC13 + TIME(0,10,0)</f>
        <v>45925.694444444525</v>
      </c>
      <c r="ZE13" s="12">
        <f t="shared" ref="ZE13" si="675">ZD13 + TIME(0,10,0)</f>
        <v>45925.701388888971</v>
      </c>
      <c r="ZF13" s="12">
        <f t="shared" ref="ZF13" si="676">ZE13 + TIME(0,10,0)</f>
        <v>45925.708333333416</v>
      </c>
      <c r="ZG13" s="12">
        <f t="shared" ref="ZG13" si="677">ZF13 + TIME(0,10,0)</f>
        <v>45925.715277777861</v>
      </c>
      <c r="ZH13" s="12">
        <f t="shared" ref="ZH13" si="678">ZG13 + TIME(0,10,0)</f>
        <v>45925.722222222306</v>
      </c>
      <c r="ZI13" s="12">
        <f t="shared" ref="ZI13" si="679">ZH13 + TIME(0,10,0)</f>
        <v>45925.729166666752</v>
      </c>
      <c r="ZJ13" s="12">
        <f t="shared" ref="ZJ13" si="680">ZI13 + TIME(0,10,0)</f>
        <v>45925.736111111197</v>
      </c>
      <c r="ZK13" s="12">
        <f t="shared" ref="ZK13" si="681">ZJ13 + TIME(0,10,0)</f>
        <v>45925.743055555642</v>
      </c>
      <c r="ZL13" s="12">
        <f t="shared" ref="ZL13" si="682">ZK13 + TIME(0,10,0)</f>
        <v>45925.750000000087</v>
      </c>
      <c r="ZM13" s="12">
        <f t="shared" ref="ZM13" si="683">ZL13 + TIME(0,10,0)</f>
        <v>45925.756944444533</v>
      </c>
      <c r="ZN13" s="12">
        <f t="shared" ref="ZN13" si="684">ZM13 + TIME(0,10,0)</f>
        <v>45925.763888888978</v>
      </c>
      <c r="ZO13" s="12">
        <f t="shared" ref="ZO13" si="685">ZN13 + TIME(0,10,0)</f>
        <v>45925.770833333423</v>
      </c>
      <c r="ZP13" s="12">
        <f t="shared" ref="ZP13" si="686">ZO13 + TIME(0,10,0)</f>
        <v>45925.777777777868</v>
      </c>
      <c r="ZQ13" s="12">
        <f t="shared" ref="ZQ13" si="687">ZP13 + TIME(0,10,0)</f>
        <v>45925.784722222314</v>
      </c>
      <c r="ZR13" s="12">
        <f t="shared" ref="ZR13" si="688">ZQ13 + TIME(0,10,0)</f>
        <v>45925.791666666759</v>
      </c>
      <c r="ZS13" s="12">
        <f t="shared" ref="ZS13" si="689">ZR13 + TIME(0,10,0)</f>
        <v>45925.798611111204</v>
      </c>
      <c r="ZT13" s="12">
        <f t="shared" ref="ZT13" si="690">ZS13 + TIME(0,10,0)</f>
        <v>45925.805555555649</v>
      </c>
      <c r="ZU13" s="12">
        <f t="shared" ref="ZU13" si="691">ZT13 + TIME(0,10,0)</f>
        <v>45925.812500000095</v>
      </c>
      <c r="ZV13" s="12">
        <f t="shared" ref="ZV13" si="692">ZU13 + TIME(0,10,0)</f>
        <v>45925.81944444454</v>
      </c>
      <c r="ZW13" s="12">
        <f t="shared" ref="ZW13" si="693">ZV13 + TIME(0,10,0)</f>
        <v>45925.826388888985</v>
      </c>
      <c r="ZX13" s="12">
        <f t="shared" ref="ZX13" si="694">ZW13 + TIME(0,10,0)</f>
        <v>45925.83333333343</v>
      </c>
      <c r="ZY13" s="12">
        <f t="shared" ref="ZY13" si="695">ZX13 + TIME(0,10,0)</f>
        <v>45925.840277777876</v>
      </c>
      <c r="ZZ13" s="12">
        <f t="shared" ref="ZZ13" si="696">ZY13 + TIME(0,10,0)</f>
        <v>45925.847222222321</v>
      </c>
      <c r="AAA13" s="12">
        <f t="shared" ref="AAA13" si="697">ZZ13 + TIME(0,10,0)</f>
        <v>45925.854166666766</v>
      </c>
      <c r="AAB13" s="12">
        <f t="shared" ref="AAB13" si="698">AAA13 + TIME(0,10,0)</f>
        <v>45925.861111111211</v>
      </c>
      <c r="AAC13" s="12">
        <f t="shared" ref="AAC13" si="699">AAB13 + TIME(0,10,0)</f>
        <v>45925.868055555657</v>
      </c>
      <c r="AAD13" s="12">
        <f t="shared" ref="AAD13" si="700">AAC13 + TIME(0,10,0)</f>
        <v>45925.875000000102</v>
      </c>
      <c r="AAE13" s="12">
        <f t="shared" ref="AAE13" si="701">AAD13 + TIME(0,10,0)</f>
        <v>45925.881944444547</v>
      </c>
      <c r="AAF13" s="12">
        <f t="shared" ref="AAF13" si="702">AAE13 + TIME(0,10,0)</f>
        <v>45925.888888888992</v>
      </c>
      <c r="AAG13" s="12">
        <f t="shared" ref="AAG13" si="703">AAF13 + TIME(0,10,0)</f>
        <v>45925.895833333438</v>
      </c>
      <c r="AAH13" s="12">
        <f t="shared" ref="AAH13" si="704">AAG13 + TIME(0,10,0)</f>
        <v>45925.902777777883</v>
      </c>
      <c r="AAI13" s="12">
        <f t="shared" ref="AAI13" si="705">AAH13 + TIME(0,10,0)</f>
        <v>45925.909722222328</v>
      </c>
      <c r="AAJ13" s="12">
        <f t="shared" ref="AAJ13" si="706">AAI13 + TIME(0,10,0)</f>
        <v>45925.916666666773</v>
      </c>
      <c r="AAK13" s="12">
        <f t="shared" ref="AAK13" si="707">AAJ13 + TIME(0,10,0)</f>
        <v>45925.923611111219</v>
      </c>
      <c r="AAL13" s="12">
        <f t="shared" ref="AAL13" si="708">AAK13 + TIME(0,10,0)</f>
        <v>45925.930555555664</v>
      </c>
      <c r="AAM13" s="12">
        <f t="shared" ref="AAM13" si="709">AAL13 + TIME(0,10,0)</f>
        <v>45925.937500000109</v>
      </c>
      <c r="AAN13" s="12">
        <f t="shared" ref="AAN13" si="710">AAM13 + TIME(0,10,0)</f>
        <v>45925.944444444554</v>
      </c>
      <c r="AAO13" s="12">
        <f t="shared" ref="AAO13" si="711">AAN13 + TIME(0,10,0)</f>
        <v>45925.951388889</v>
      </c>
      <c r="AAP13" s="12">
        <f t="shared" ref="AAP13" si="712">AAO13 + TIME(0,10,0)</f>
        <v>45925.958333333445</v>
      </c>
      <c r="AAQ13" s="12">
        <f t="shared" ref="AAQ13" si="713">AAP13 + TIME(0,10,0)</f>
        <v>45925.96527777789</v>
      </c>
      <c r="AAR13" s="12">
        <f t="shared" ref="AAR13" si="714">AAQ13 + TIME(0,10,0)</f>
        <v>45925.972222222335</v>
      </c>
      <c r="AAS13" s="12">
        <f t="shared" ref="AAS13" si="715">AAR13 + TIME(0,10,0)</f>
        <v>45925.979166666781</v>
      </c>
      <c r="AAT13" s="12">
        <f t="shared" ref="AAT13" si="716">AAS13 + TIME(0,10,0)</f>
        <v>45925.986111111226</v>
      </c>
      <c r="AAU13" s="13">
        <f t="shared" ref="AAU13" si="717">AAT13 + TIME(0,10,0)</f>
        <v>45925.993055555671</v>
      </c>
      <c r="AAV13" s="12">
        <f>AAV12</f>
        <v>45926</v>
      </c>
      <c r="AAW13" s="12">
        <f>AAV13 + TIME(0,10,0)</f>
        <v>45926.006944444445</v>
      </c>
      <c r="AAX13" s="12">
        <f t="shared" ref="AAX13" si="718">AAW13 + TIME(0,10,0)</f>
        <v>45926.013888888891</v>
      </c>
      <c r="AAY13" s="12">
        <f t="shared" ref="AAY13" si="719">AAX13 + TIME(0,10,0)</f>
        <v>45926.020833333336</v>
      </c>
      <c r="AAZ13" s="12">
        <f t="shared" ref="AAZ13" si="720">AAY13 + TIME(0,10,0)</f>
        <v>45926.027777777781</v>
      </c>
      <c r="ABA13" s="12">
        <f t="shared" ref="ABA13" si="721">AAZ13 + TIME(0,10,0)</f>
        <v>45926.034722222226</v>
      </c>
      <c r="ABB13" s="12">
        <f t="shared" ref="ABB13" si="722">ABA13 + TIME(0,10,0)</f>
        <v>45926.041666666672</v>
      </c>
      <c r="ABC13" s="12">
        <f t="shared" ref="ABC13" si="723">ABB13 + TIME(0,10,0)</f>
        <v>45926.048611111117</v>
      </c>
      <c r="ABD13" s="12">
        <f t="shared" ref="ABD13" si="724">ABC13 + TIME(0,10,0)</f>
        <v>45926.055555555562</v>
      </c>
      <c r="ABE13" s="12">
        <f t="shared" ref="ABE13" si="725">ABD13 + TIME(0,10,0)</f>
        <v>45926.062500000007</v>
      </c>
      <c r="ABF13" s="12">
        <f t="shared" ref="ABF13" si="726">ABE13 + TIME(0,10,0)</f>
        <v>45926.069444444453</v>
      </c>
      <c r="ABG13" s="12">
        <f t="shared" ref="ABG13" si="727">ABF13 + TIME(0,10,0)</f>
        <v>45926.076388888898</v>
      </c>
      <c r="ABH13" s="12">
        <f t="shared" ref="ABH13" si="728">ABG13 + TIME(0,10,0)</f>
        <v>45926.083333333343</v>
      </c>
      <c r="ABI13" s="12">
        <f t="shared" ref="ABI13" si="729">ABH13 + TIME(0,10,0)</f>
        <v>45926.090277777788</v>
      </c>
      <c r="ABJ13" s="12">
        <f t="shared" ref="ABJ13" si="730">ABI13 + TIME(0,10,0)</f>
        <v>45926.097222222234</v>
      </c>
      <c r="ABK13" s="12">
        <f t="shared" ref="ABK13" si="731">ABJ13 + TIME(0,10,0)</f>
        <v>45926.104166666679</v>
      </c>
      <c r="ABL13" s="12">
        <f t="shared" ref="ABL13" si="732">ABK13 + TIME(0,10,0)</f>
        <v>45926.111111111124</v>
      </c>
      <c r="ABM13" s="12">
        <f t="shared" ref="ABM13" si="733">ABL13 + TIME(0,10,0)</f>
        <v>45926.118055555569</v>
      </c>
      <c r="ABN13" s="12">
        <f t="shared" ref="ABN13" si="734">ABM13 + TIME(0,10,0)</f>
        <v>45926.125000000015</v>
      </c>
      <c r="ABO13" s="12">
        <f t="shared" ref="ABO13" si="735">ABN13 + TIME(0,10,0)</f>
        <v>45926.13194444446</v>
      </c>
      <c r="ABP13" s="12">
        <f t="shared" ref="ABP13" si="736">ABO13 + TIME(0,10,0)</f>
        <v>45926.138888888905</v>
      </c>
      <c r="ABQ13" s="12">
        <f t="shared" ref="ABQ13" si="737">ABP13 + TIME(0,10,0)</f>
        <v>45926.14583333335</v>
      </c>
      <c r="ABR13" s="12">
        <f t="shared" ref="ABR13" si="738">ABQ13 + TIME(0,10,0)</f>
        <v>45926.152777777796</v>
      </c>
      <c r="ABS13" s="12">
        <f t="shared" ref="ABS13" si="739">ABR13 + TIME(0,10,0)</f>
        <v>45926.159722222241</v>
      </c>
      <c r="ABT13" s="12">
        <f t="shared" ref="ABT13" si="740">ABS13 + TIME(0,10,0)</f>
        <v>45926.166666666686</v>
      </c>
      <c r="ABU13" s="12">
        <f t="shared" ref="ABU13" si="741">ABT13 + TIME(0,10,0)</f>
        <v>45926.173611111131</v>
      </c>
      <c r="ABV13" s="12">
        <f t="shared" ref="ABV13" si="742">ABU13 + TIME(0,10,0)</f>
        <v>45926.180555555577</v>
      </c>
      <c r="ABW13" s="12">
        <f t="shared" ref="ABW13" si="743">ABV13 + TIME(0,10,0)</f>
        <v>45926.187500000022</v>
      </c>
      <c r="ABX13" s="12">
        <f t="shared" ref="ABX13" si="744">ABW13 + TIME(0,10,0)</f>
        <v>45926.194444444467</v>
      </c>
      <c r="ABY13" s="12">
        <f t="shared" ref="ABY13" si="745">ABX13 + TIME(0,10,0)</f>
        <v>45926.201388888912</v>
      </c>
      <c r="ABZ13" s="12">
        <f t="shared" ref="ABZ13" si="746">ABY13 + TIME(0,10,0)</f>
        <v>45926.208333333358</v>
      </c>
      <c r="ACA13" s="12">
        <f t="shared" ref="ACA13" si="747">ABZ13 + TIME(0,10,0)</f>
        <v>45926.215277777803</v>
      </c>
      <c r="ACB13" s="12">
        <f t="shared" ref="ACB13" si="748">ACA13 + TIME(0,10,0)</f>
        <v>45926.222222222248</v>
      </c>
      <c r="ACC13" s="12">
        <f t="shared" ref="ACC13" si="749">ACB13 + TIME(0,10,0)</f>
        <v>45926.229166666693</v>
      </c>
      <c r="ACD13" s="12">
        <f t="shared" ref="ACD13" si="750">ACC13 + TIME(0,10,0)</f>
        <v>45926.236111111139</v>
      </c>
      <c r="ACE13" s="12">
        <f t="shared" ref="ACE13" si="751">ACD13 + TIME(0,10,0)</f>
        <v>45926.243055555584</v>
      </c>
      <c r="ACF13" s="12">
        <f t="shared" ref="ACF13" si="752">ACE13 + TIME(0,10,0)</f>
        <v>45926.250000000029</v>
      </c>
      <c r="ACG13" s="12">
        <f t="shared" ref="ACG13" si="753">ACF13 + TIME(0,10,0)</f>
        <v>45926.256944444474</v>
      </c>
      <c r="ACH13" s="12">
        <f t="shared" ref="ACH13" si="754">ACG13 + TIME(0,10,0)</f>
        <v>45926.26388888892</v>
      </c>
      <c r="ACI13" s="12">
        <f t="shared" ref="ACI13" si="755">ACH13 + TIME(0,10,0)</f>
        <v>45926.270833333365</v>
      </c>
      <c r="ACJ13" s="12">
        <f t="shared" ref="ACJ13" si="756">ACI13 + TIME(0,10,0)</f>
        <v>45926.27777777781</v>
      </c>
      <c r="ACK13" s="12">
        <f t="shared" ref="ACK13" si="757">ACJ13 + TIME(0,10,0)</f>
        <v>45926.284722222255</v>
      </c>
      <c r="ACL13" s="12">
        <f t="shared" ref="ACL13" si="758">ACK13 + TIME(0,10,0)</f>
        <v>45926.291666666701</v>
      </c>
      <c r="ACM13" s="12">
        <f t="shared" ref="ACM13" si="759">ACL13 + TIME(0,10,0)</f>
        <v>45926.298611111146</v>
      </c>
      <c r="ACN13" s="12">
        <f t="shared" ref="ACN13" si="760">ACM13 + TIME(0,10,0)</f>
        <v>45926.305555555591</v>
      </c>
      <c r="ACO13" s="12">
        <f t="shared" ref="ACO13" si="761">ACN13 + TIME(0,10,0)</f>
        <v>45926.312500000036</v>
      </c>
      <c r="ACP13" s="12">
        <f t="shared" ref="ACP13" si="762">ACO13 + TIME(0,10,0)</f>
        <v>45926.319444444482</v>
      </c>
      <c r="ACQ13" s="12">
        <f t="shared" ref="ACQ13" si="763">ACP13 + TIME(0,10,0)</f>
        <v>45926.326388888927</v>
      </c>
      <c r="ACR13" s="12">
        <f t="shared" ref="ACR13" si="764">ACQ13 + TIME(0,10,0)</f>
        <v>45926.333333333372</v>
      </c>
      <c r="ACS13" s="12">
        <f t="shared" ref="ACS13" si="765">ACR13 + TIME(0,10,0)</f>
        <v>45926.340277777817</v>
      </c>
      <c r="ACT13" s="12">
        <f t="shared" ref="ACT13" si="766">ACS13 + TIME(0,10,0)</f>
        <v>45926.347222222263</v>
      </c>
      <c r="ACU13" s="12">
        <f t="shared" ref="ACU13" si="767">ACT13 + TIME(0,10,0)</f>
        <v>45926.354166666708</v>
      </c>
      <c r="ACV13" s="12">
        <f t="shared" ref="ACV13" si="768">ACU13 + TIME(0,10,0)</f>
        <v>45926.361111111153</v>
      </c>
      <c r="ACW13" s="12">
        <f t="shared" ref="ACW13" si="769">ACV13 + TIME(0,10,0)</f>
        <v>45926.368055555598</v>
      </c>
      <c r="ACX13" s="12">
        <f t="shared" ref="ACX13" si="770">ACW13 + TIME(0,10,0)</f>
        <v>45926.375000000044</v>
      </c>
      <c r="ACY13" s="12">
        <f t="shared" ref="ACY13" si="771">ACX13 + TIME(0,10,0)</f>
        <v>45926.381944444489</v>
      </c>
      <c r="ACZ13" s="12">
        <f t="shared" ref="ACZ13" si="772">ACY13 + TIME(0,10,0)</f>
        <v>45926.388888888934</v>
      </c>
      <c r="ADA13" s="12">
        <f t="shared" ref="ADA13" si="773">ACZ13 + TIME(0,10,0)</f>
        <v>45926.395833333379</v>
      </c>
      <c r="ADB13" s="12">
        <f t="shared" ref="ADB13" si="774">ADA13 + TIME(0,10,0)</f>
        <v>45926.402777777825</v>
      </c>
      <c r="ADC13" s="12">
        <f t="shared" ref="ADC13" si="775">ADB13 + TIME(0,10,0)</f>
        <v>45926.40972222227</v>
      </c>
      <c r="ADD13" s="12">
        <f t="shared" ref="ADD13" si="776">ADC13 + TIME(0,10,0)</f>
        <v>45926.416666666715</v>
      </c>
      <c r="ADE13" s="12">
        <f t="shared" ref="ADE13" si="777">ADD13 + TIME(0,10,0)</f>
        <v>45926.42361111116</v>
      </c>
      <c r="ADF13" s="12">
        <f t="shared" ref="ADF13" si="778">ADE13 + TIME(0,10,0)</f>
        <v>45926.430555555606</v>
      </c>
      <c r="ADG13" s="12">
        <f t="shared" ref="ADG13" si="779">ADF13 + TIME(0,10,0)</f>
        <v>45926.437500000051</v>
      </c>
      <c r="ADH13" s="12">
        <f t="shared" ref="ADH13" si="780">ADG13 + TIME(0,10,0)</f>
        <v>45926.444444444496</v>
      </c>
      <c r="ADI13" s="12">
        <f t="shared" ref="ADI13" si="781">ADH13 + TIME(0,10,0)</f>
        <v>45926.451388888941</v>
      </c>
      <c r="ADJ13" s="12">
        <f t="shared" ref="ADJ13" si="782">ADI13 + TIME(0,10,0)</f>
        <v>45926.458333333387</v>
      </c>
      <c r="ADK13" s="12">
        <f t="shared" ref="ADK13" si="783">ADJ13 + TIME(0,10,0)</f>
        <v>45926.465277777832</v>
      </c>
      <c r="ADL13" s="12">
        <f t="shared" ref="ADL13" si="784">ADK13 + TIME(0,10,0)</f>
        <v>45926.472222222277</v>
      </c>
      <c r="ADM13" s="12">
        <f t="shared" ref="ADM13" si="785">ADL13 + TIME(0,10,0)</f>
        <v>45926.479166666722</v>
      </c>
      <c r="ADN13" s="12">
        <f t="shared" ref="ADN13" si="786">ADM13 + TIME(0,10,0)</f>
        <v>45926.486111111168</v>
      </c>
      <c r="ADO13" s="12">
        <f t="shared" ref="ADO13" si="787">ADN13 + TIME(0,10,0)</f>
        <v>45926.493055555613</v>
      </c>
      <c r="ADP13" s="12">
        <f t="shared" ref="ADP13" si="788">ADO13 + TIME(0,10,0)</f>
        <v>45926.500000000058</v>
      </c>
      <c r="ADQ13" s="12">
        <f t="shared" ref="ADQ13" si="789">ADP13 + TIME(0,10,0)</f>
        <v>45926.506944444503</v>
      </c>
      <c r="ADR13" s="12">
        <f t="shared" ref="ADR13" si="790">ADQ13 + TIME(0,10,0)</f>
        <v>45926.513888888949</v>
      </c>
      <c r="ADS13" s="12">
        <f t="shared" ref="ADS13" si="791">ADR13 + TIME(0,10,0)</f>
        <v>45926.520833333394</v>
      </c>
      <c r="ADT13" s="12">
        <f t="shared" ref="ADT13" si="792">ADS13 + TIME(0,10,0)</f>
        <v>45926.527777777839</v>
      </c>
      <c r="ADU13" s="12">
        <f t="shared" ref="ADU13" si="793">ADT13 + TIME(0,10,0)</f>
        <v>45926.534722222284</v>
      </c>
      <c r="ADV13" s="12">
        <f t="shared" ref="ADV13" si="794">ADU13 + TIME(0,10,0)</f>
        <v>45926.54166666673</v>
      </c>
      <c r="ADW13" s="12">
        <f t="shared" ref="ADW13" si="795">ADV13 + TIME(0,10,0)</f>
        <v>45926.548611111175</v>
      </c>
      <c r="ADX13" s="12">
        <f t="shared" ref="ADX13" si="796">ADW13 + TIME(0,10,0)</f>
        <v>45926.55555555562</v>
      </c>
      <c r="ADY13" s="12">
        <f t="shared" ref="ADY13" si="797">ADX13 + TIME(0,10,0)</f>
        <v>45926.562500000065</v>
      </c>
      <c r="ADZ13" s="12">
        <f t="shared" ref="ADZ13" si="798">ADY13 + TIME(0,10,0)</f>
        <v>45926.569444444511</v>
      </c>
      <c r="AEA13" s="12">
        <f t="shared" ref="AEA13" si="799">ADZ13 + TIME(0,10,0)</f>
        <v>45926.576388888956</v>
      </c>
      <c r="AEB13" s="12">
        <f t="shared" ref="AEB13" si="800">AEA13 + TIME(0,10,0)</f>
        <v>45926.583333333401</v>
      </c>
      <c r="AEC13" s="12">
        <f t="shared" ref="AEC13" si="801">AEB13 + TIME(0,10,0)</f>
        <v>45926.590277777846</v>
      </c>
      <c r="AED13" s="12">
        <f t="shared" ref="AED13" si="802">AEC13 + TIME(0,10,0)</f>
        <v>45926.597222222292</v>
      </c>
      <c r="AEE13" s="12">
        <f t="shared" ref="AEE13" si="803">AED13 + TIME(0,10,0)</f>
        <v>45926.604166666737</v>
      </c>
      <c r="AEF13" s="12">
        <f t="shared" ref="AEF13" si="804">AEE13 + TIME(0,10,0)</f>
        <v>45926.611111111182</v>
      </c>
      <c r="AEG13" s="12">
        <f t="shared" ref="AEG13" si="805">AEF13 + TIME(0,10,0)</f>
        <v>45926.618055555628</v>
      </c>
      <c r="AEH13" s="12">
        <f t="shared" ref="AEH13" si="806">AEG13 + TIME(0,10,0)</f>
        <v>45926.625000000073</v>
      </c>
      <c r="AEI13" s="12">
        <f t="shared" ref="AEI13" si="807">AEH13 + TIME(0,10,0)</f>
        <v>45926.631944444518</v>
      </c>
      <c r="AEJ13" s="12">
        <f t="shared" ref="AEJ13" si="808">AEI13 + TIME(0,10,0)</f>
        <v>45926.638888888963</v>
      </c>
      <c r="AEK13" s="12">
        <f t="shared" ref="AEK13" si="809">AEJ13 + TIME(0,10,0)</f>
        <v>45926.645833333409</v>
      </c>
      <c r="AEL13" s="12">
        <f t="shared" ref="AEL13" si="810">AEK13 + TIME(0,10,0)</f>
        <v>45926.652777777854</v>
      </c>
      <c r="AEM13" s="12">
        <f t="shared" ref="AEM13" si="811">AEL13 + TIME(0,10,0)</f>
        <v>45926.659722222299</v>
      </c>
      <c r="AEN13" s="12">
        <f t="shared" ref="AEN13" si="812">AEM13 + TIME(0,10,0)</f>
        <v>45926.666666666744</v>
      </c>
      <c r="AEO13" s="12">
        <f t="shared" ref="AEO13" si="813">AEN13 + TIME(0,10,0)</f>
        <v>45926.67361111119</v>
      </c>
      <c r="AEP13" s="12">
        <f t="shared" ref="AEP13" si="814">AEO13 + TIME(0,10,0)</f>
        <v>45926.680555555635</v>
      </c>
      <c r="AEQ13" s="12">
        <f t="shared" ref="AEQ13" si="815">AEP13 + TIME(0,10,0)</f>
        <v>45926.68750000008</v>
      </c>
      <c r="AER13" s="12">
        <f t="shared" ref="AER13" si="816">AEQ13 + TIME(0,10,0)</f>
        <v>45926.694444444525</v>
      </c>
      <c r="AES13" s="12">
        <f t="shared" ref="AES13" si="817">AER13 + TIME(0,10,0)</f>
        <v>45926.701388888971</v>
      </c>
      <c r="AET13" s="12">
        <f t="shared" ref="AET13" si="818">AES13 + TIME(0,10,0)</f>
        <v>45926.708333333416</v>
      </c>
      <c r="AEU13" s="12">
        <f t="shared" ref="AEU13" si="819">AET13 + TIME(0,10,0)</f>
        <v>45926.715277777861</v>
      </c>
      <c r="AEV13" s="12">
        <f t="shared" ref="AEV13" si="820">AEU13 + TIME(0,10,0)</f>
        <v>45926.722222222306</v>
      </c>
      <c r="AEW13" s="12">
        <f t="shared" ref="AEW13" si="821">AEV13 + TIME(0,10,0)</f>
        <v>45926.729166666752</v>
      </c>
      <c r="AEX13" s="12">
        <f t="shared" ref="AEX13" si="822">AEW13 + TIME(0,10,0)</f>
        <v>45926.736111111197</v>
      </c>
      <c r="AEY13" s="12">
        <f t="shared" ref="AEY13" si="823">AEX13 + TIME(0,10,0)</f>
        <v>45926.743055555642</v>
      </c>
      <c r="AEZ13" s="12">
        <f t="shared" ref="AEZ13" si="824">AEY13 + TIME(0,10,0)</f>
        <v>45926.750000000087</v>
      </c>
      <c r="AFA13" s="12">
        <f t="shared" ref="AFA13" si="825">AEZ13 + TIME(0,10,0)</f>
        <v>45926.756944444533</v>
      </c>
      <c r="AFB13" s="12">
        <f t="shared" ref="AFB13" si="826">AFA13 + TIME(0,10,0)</f>
        <v>45926.763888888978</v>
      </c>
      <c r="AFC13" s="12">
        <f t="shared" ref="AFC13" si="827">AFB13 + TIME(0,10,0)</f>
        <v>45926.770833333423</v>
      </c>
      <c r="AFD13" s="12">
        <f t="shared" ref="AFD13" si="828">AFC13 + TIME(0,10,0)</f>
        <v>45926.777777777868</v>
      </c>
      <c r="AFE13" s="12">
        <f t="shared" ref="AFE13" si="829">AFD13 + TIME(0,10,0)</f>
        <v>45926.784722222314</v>
      </c>
      <c r="AFF13" s="12">
        <f t="shared" ref="AFF13" si="830">AFE13 + TIME(0,10,0)</f>
        <v>45926.791666666759</v>
      </c>
      <c r="AFG13" s="12">
        <f t="shared" ref="AFG13" si="831">AFF13 + TIME(0,10,0)</f>
        <v>45926.798611111204</v>
      </c>
      <c r="AFH13" s="12">
        <f t="shared" ref="AFH13" si="832">AFG13 + TIME(0,10,0)</f>
        <v>45926.805555555649</v>
      </c>
      <c r="AFI13" s="12">
        <f t="shared" ref="AFI13" si="833">AFH13 + TIME(0,10,0)</f>
        <v>45926.812500000095</v>
      </c>
      <c r="AFJ13" s="12">
        <f t="shared" ref="AFJ13" si="834">AFI13 + TIME(0,10,0)</f>
        <v>45926.81944444454</v>
      </c>
      <c r="AFK13" s="12">
        <f t="shared" ref="AFK13" si="835">AFJ13 + TIME(0,10,0)</f>
        <v>45926.826388888985</v>
      </c>
      <c r="AFL13" s="12">
        <f t="shared" ref="AFL13" si="836">AFK13 + TIME(0,10,0)</f>
        <v>45926.83333333343</v>
      </c>
      <c r="AFM13" s="12">
        <f t="shared" ref="AFM13" si="837">AFL13 + TIME(0,10,0)</f>
        <v>45926.840277777876</v>
      </c>
      <c r="AFN13" s="12">
        <f t="shared" ref="AFN13" si="838">AFM13 + TIME(0,10,0)</f>
        <v>45926.847222222321</v>
      </c>
      <c r="AFO13" s="12">
        <f t="shared" ref="AFO13" si="839">AFN13 + TIME(0,10,0)</f>
        <v>45926.854166666766</v>
      </c>
      <c r="AFP13" s="12">
        <f t="shared" ref="AFP13" si="840">AFO13 + TIME(0,10,0)</f>
        <v>45926.861111111211</v>
      </c>
      <c r="AFQ13" s="12">
        <f t="shared" ref="AFQ13" si="841">AFP13 + TIME(0,10,0)</f>
        <v>45926.868055555657</v>
      </c>
      <c r="AFR13" s="12">
        <f t="shared" ref="AFR13" si="842">AFQ13 + TIME(0,10,0)</f>
        <v>45926.875000000102</v>
      </c>
      <c r="AFS13" s="12">
        <f t="shared" ref="AFS13" si="843">AFR13 + TIME(0,10,0)</f>
        <v>45926.881944444547</v>
      </c>
      <c r="AFT13" s="12">
        <f t="shared" ref="AFT13" si="844">AFS13 + TIME(0,10,0)</f>
        <v>45926.888888888992</v>
      </c>
      <c r="AFU13" s="12">
        <f t="shared" ref="AFU13" si="845">AFT13 + TIME(0,10,0)</f>
        <v>45926.895833333438</v>
      </c>
      <c r="AFV13" s="12">
        <f t="shared" ref="AFV13" si="846">AFU13 + TIME(0,10,0)</f>
        <v>45926.902777777883</v>
      </c>
      <c r="AFW13" s="12">
        <f t="shared" ref="AFW13" si="847">AFV13 + TIME(0,10,0)</f>
        <v>45926.909722222328</v>
      </c>
      <c r="AFX13" s="12">
        <f t="shared" ref="AFX13" si="848">AFW13 + TIME(0,10,0)</f>
        <v>45926.916666666773</v>
      </c>
      <c r="AFY13" s="12">
        <f t="shared" ref="AFY13" si="849">AFX13 + TIME(0,10,0)</f>
        <v>45926.923611111219</v>
      </c>
      <c r="AFZ13" s="12">
        <f t="shared" ref="AFZ13" si="850">AFY13 + TIME(0,10,0)</f>
        <v>45926.930555555664</v>
      </c>
      <c r="AGA13" s="12">
        <f t="shared" ref="AGA13" si="851">AFZ13 + TIME(0,10,0)</f>
        <v>45926.937500000109</v>
      </c>
      <c r="AGB13" s="12">
        <f t="shared" ref="AGB13" si="852">AGA13 + TIME(0,10,0)</f>
        <v>45926.944444444554</v>
      </c>
      <c r="AGC13" s="12">
        <f t="shared" ref="AGC13" si="853">AGB13 + TIME(0,10,0)</f>
        <v>45926.951388889</v>
      </c>
      <c r="AGD13" s="12">
        <f t="shared" ref="AGD13" si="854">AGC13 + TIME(0,10,0)</f>
        <v>45926.958333333445</v>
      </c>
      <c r="AGE13" s="12">
        <f t="shared" ref="AGE13" si="855">AGD13 + TIME(0,10,0)</f>
        <v>45926.96527777789</v>
      </c>
      <c r="AGF13" s="12">
        <f t="shared" ref="AGF13" si="856">AGE13 + TIME(0,10,0)</f>
        <v>45926.972222222335</v>
      </c>
      <c r="AGG13" s="12">
        <f t="shared" ref="AGG13" si="857">AGF13 + TIME(0,10,0)</f>
        <v>45926.979166666781</v>
      </c>
      <c r="AGH13" s="12">
        <f t="shared" ref="AGH13" si="858">AGG13 + TIME(0,10,0)</f>
        <v>45926.986111111226</v>
      </c>
      <c r="AGI13" s="13">
        <f t="shared" ref="AGI13" si="859">AGH13 + TIME(0,10,0)</f>
        <v>45926.993055555671</v>
      </c>
      <c r="AGJ13" s="12">
        <f>AGJ12</f>
        <v>45927</v>
      </c>
      <c r="AGK13" s="12">
        <f>AGJ13 + TIME(0,10,0)</f>
        <v>45927.006944444445</v>
      </c>
      <c r="AGL13" s="12">
        <f t="shared" ref="AGL13" si="860">AGK13 + TIME(0,10,0)</f>
        <v>45927.013888888891</v>
      </c>
      <c r="AGM13" s="12">
        <f t="shared" ref="AGM13" si="861">AGL13 + TIME(0,10,0)</f>
        <v>45927.020833333336</v>
      </c>
      <c r="AGN13" s="12">
        <f t="shared" ref="AGN13" si="862">AGM13 + TIME(0,10,0)</f>
        <v>45927.027777777781</v>
      </c>
      <c r="AGO13" s="12">
        <f t="shared" ref="AGO13" si="863">AGN13 + TIME(0,10,0)</f>
        <v>45927.034722222226</v>
      </c>
      <c r="AGP13" s="12">
        <f t="shared" ref="AGP13" si="864">AGO13 + TIME(0,10,0)</f>
        <v>45927.041666666672</v>
      </c>
      <c r="AGQ13" s="12">
        <f t="shared" ref="AGQ13" si="865">AGP13 + TIME(0,10,0)</f>
        <v>45927.048611111117</v>
      </c>
      <c r="AGR13" s="12">
        <f t="shared" ref="AGR13" si="866">AGQ13 + TIME(0,10,0)</f>
        <v>45927.055555555562</v>
      </c>
      <c r="AGS13" s="12">
        <f t="shared" ref="AGS13" si="867">AGR13 + TIME(0,10,0)</f>
        <v>45927.062500000007</v>
      </c>
      <c r="AGT13" s="12">
        <f t="shared" ref="AGT13" si="868">AGS13 + TIME(0,10,0)</f>
        <v>45927.069444444453</v>
      </c>
      <c r="AGU13" s="12">
        <f t="shared" ref="AGU13" si="869">AGT13 + TIME(0,10,0)</f>
        <v>45927.076388888898</v>
      </c>
      <c r="AGV13" s="12">
        <f t="shared" ref="AGV13" si="870">AGU13 + TIME(0,10,0)</f>
        <v>45927.083333333343</v>
      </c>
      <c r="AGW13" s="12">
        <f t="shared" ref="AGW13" si="871">AGV13 + TIME(0,10,0)</f>
        <v>45927.090277777788</v>
      </c>
      <c r="AGX13" s="12">
        <f t="shared" ref="AGX13" si="872">AGW13 + TIME(0,10,0)</f>
        <v>45927.097222222234</v>
      </c>
      <c r="AGY13" s="12">
        <f t="shared" ref="AGY13" si="873">AGX13 + TIME(0,10,0)</f>
        <v>45927.104166666679</v>
      </c>
      <c r="AGZ13" s="12">
        <f t="shared" ref="AGZ13" si="874">AGY13 + TIME(0,10,0)</f>
        <v>45927.111111111124</v>
      </c>
      <c r="AHA13" s="12">
        <f t="shared" ref="AHA13" si="875">AGZ13 + TIME(0,10,0)</f>
        <v>45927.118055555569</v>
      </c>
      <c r="AHB13" s="12">
        <f t="shared" ref="AHB13" si="876">AHA13 + TIME(0,10,0)</f>
        <v>45927.125000000015</v>
      </c>
      <c r="AHC13" s="12">
        <f t="shared" ref="AHC13" si="877">AHB13 + TIME(0,10,0)</f>
        <v>45927.13194444446</v>
      </c>
      <c r="AHD13" s="12">
        <f t="shared" ref="AHD13" si="878">AHC13 + TIME(0,10,0)</f>
        <v>45927.138888888905</v>
      </c>
      <c r="AHE13" s="12">
        <f t="shared" ref="AHE13" si="879">AHD13 + TIME(0,10,0)</f>
        <v>45927.14583333335</v>
      </c>
      <c r="AHF13" s="12">
        <f t="shared" ref="AHF13" si="880">AHE13 + TIME(0,10,0)</f>
        <v>45927.152777777796</v>
      </c>
      <c r="AHG13" s="12">
        <f t="shared" ref="AHG13" si="881">AHF13 + TIME(0,10,0)</f>
        <v>45927.159722222241</v>
      </c>
      <c r="AHH13" s="12">
        <f t="shared" ref="AHH13" si="882">AHG13 + TIME(0,10,0)</f>
        <v>45927.166666666686</v>
      </c>
      <c r="AHI13" s="12">
        <f t="shared" ref="AHI13" si="883">AHH13 + TIME(0,10,0)</f>
        <v>45927.173611111131</v>
      </c>
      <c r="AHJ13" s="12">
        <f t="shared" ref="AHJ13" si="884">AHI13 + TIME(0,10,0)</f>
        <v>45927.180555555577</v>
      </c>
      <c r="AHK13" s="12">
        <f t="shared" ref="AHK13" si="885">AHJ13 + TIME(0,10,0)</f>
        <v>45927.187500000022</v>
      </c>
      <c r="AHL13" s="12">
        <f t="shared" ref="AHL13" si="886">AHK13 + TIME(0,10,0)</f>
        <v>45927.194444444467</v>
      </c>
      <c r="AHM13" s="12">
        <f t="shared" ref="AHM13" si="887">AHL13 + TIME(0,10,0)</f>
        <v>45927.201388888912</v>
      </c>
      <c r="AHN13" s="12">
        <f t="shared" ref="AHN13" si="888">AHM13 + TIME(0,10,0)</f>
        <v>45927.208333333358</v>
      </c>
      <c r="AHO13" s="12">
        <f t="shared" ref="AHO13" si="889">AHN13 + TIME(0,10,0)</f>
        <v>45927.215277777803</v>
      </c>
      <c r="AHP13" s="12">
        <f t="shared" ref="AHP13" si="890">AHO13 + TIME(0,10,0)</f>
        <v>45927.222222222248</v>
      </c>
      <c r="AHQ13" s="12">
        <f t="shared" ref="AHQ13" si="891">AHP13 + TIME(0,10,0)</f>
        <v>45927.229166666693</v>
      </c>
      <c r="AHR13" s="12">
        <f t="shared" ref="AHR13" si="892">AHQ13 + TIME(0,10,0)</f>
        <v>45927.236111111139</v>
      </c>
      <c r="AHS13" s="12">
        <f t="shared" ref="AHS13" si="893">AHR13 + TIME(0,10,0)</f>
        <v>45927.243055555584</v>
      </c>
      <c r="AHT13" s="12">
        <f t="shared" ref="AHT13" si="894">AHS13 + TIME(0,10,0)</f>
        <v>45927.250000000029</v>
      </c>
      <c r="AHU13" s="12">
        <f t="shared" ref="AHU13" si="895">AHT13 + TIME(0,10,0)</f>
        <v>45927.256944444474</v>
      </c>
      <c r="AHV13" s="12">
        <f t="shared" ref="AHV13" si="896">AHU13 + TIME(0,10,0)</f>
        <v>45927.26388888892</v>
      </c>
      <c r="AHW13" s="12">
        <f t="shared" ref="AHW13" si="897">AHV13 + TIME(0,10,0)</f>
        <v>45927.270833333365</v>
      </c>
      <c r="AHX13" s="12">
        <f t="shared" ref="AHX13" si="898">AHW13 + TIME(0,10,0)</f>
        <v>45927.27777777781</v>
      </c>
      <c r="AHY13" s="12">
        <f t="shared" ref="AHY13" si="899">AHX13 + TIME(0,10,0)</f>
        <v>45927.284722222255</v>
      </c>
      <c r="AHZ13" s="12">
        <f t="shared" ref="AHZ13" si="900">AHY13 + TIME(0,10,0)</f>
        <v>45927.291666666701</v>
      </c>
      <c r="AIA13" s="12">
        <f t="shared" ref="AIA13" si="901">AHZ13 + TIME(0,10,0)</f>
        <v>45927.298611111146</v>
      </c>
      <c r="AIB13" s="12">
        <f t="shared" ref="AIB13" si="902">AIA13 + TIME(0,10,0)</f>
        <v>45927.305555555591</v>
      </c>
      <c r="AIC13" s="12">
        <f t="shared" ref="AIC13" si="903">AIB13 + TIME(0,10,0)</f>
        <v>45927.312500000036</v>
      </c>
      <c r="AID13" s="12">
        <f t="shared" ref="AID13" si="904">AIC13 + TIME(0,10,0)</f>
        <v>45927.319444444482</v>
      </c>
      <c r="AIE13" s="12">
        <f t="shared" ref="AIE13" si="905">AID13 + TIME(0,10,0)</f>
        <v>45927.326388888927</v>
      </c>
      <c r="AIF13" s="12">
        <f t="shared" ref="AIF13" si="906">AIE13 + TIME(0,10,0)</f>
        <v>45927.333333333372</v>
      </c>
      <c r="AIG13" s="12">
        <f t="shared" ref="AIG13" si="907">AIF13 + TIME(0,10,0)</f>
        <v>45927.340277777817</v>
      </c>
      <c r="AIH13" s="12">
        <f t="shared" ref="AIH13" si="908">AIG13 + TIME(0,10,0)</f>
        <v>45927.347222222263</v>
      </c>
      <c r="AII13" s="12">
        <f t="shared" ref="AII13" si="909">AIH13 + TIME(0,10,0)</f>
        <v>45927.354166666708</v>
      </c>
      <c r="AIJ13" s="12">
        <f t="shared" ref="AIJ13" si="910">AII13 + TIME(0,10,0)</f>
        <v>45927.361111111153</v>
      </c>
      <c r="AIK13" s="12">
        <f t="shared" ref="AIK13" si="911">AIJ13 + TIME(0,10,0)</f>
        <v>45927.368055555598</v>
      </c>
      <c r="AIL13" s="12">
        <f t="shared" ref="AIL13" si="912">AIK13 + TIME(0,10,0)</f>
        <v>45927.375000000044</v>
      </c>
      <c r="AIM13" s="12">
        <f t="shared" ref="AIM13" si="913">AIL13 + TIME(0,10,0)</f>
        <v>45927.381944444489</v>
      </c>
      <c r="AIN13" s="12">
        <f t="shared" ref="AIN13" si="914">AIM13 + TIME(0,10,0)</f>
        <v>45927.388888888934</v>
      </c>
      <c r="AIO13" s="12">
        <f t="shared" ref="AIO13" si="915">AIN13 + TIME(0,10,0)</f>
        <v>45927.395833333379</v>
      </c>
      <c r="AIP13" s="12">
        <f t="shared" ref="AIP13" si="916">AIO13 + TIME(0,10,0)</f>
        <v>45927.402777777825</v>
      </c>
      <c r="AIQ13" s="12">
        <f t="shared" ref="AIQ13" si="917">AIP13 + TIME(0,10,0)</f>
        <v>45927.40972222227</v>
      </c>
      <c r="AIR13" s="12">
        <f t="shared" ref="AIR13" si="918">AIQ13 + TIME(0,10,0)</f>
        <v>45927.416666666715</v>
      </c>
      <c r="AIS13" s="12">
        <f t="shared" ref="AIS13" si="919">AIR13 + TIME(0,10,0)</f>
        <v>45927.42361111116</v>
      </c>
      <c r="AIT13" s="12">
        <f t="shared" ref="AIT13" si="920">AIS13 + TIME(0,10,0)</f>
        <v>45927.430555555606</v>
      </c>
      <c r="AIU13" s="12">
        <f t="shared" ref="AIU13" si="921">AIT13 + TIME(0,10,0)</f>
        <v>45927.437500000051</v>
      </c>
      <c r="AIV13" s="12">
        <f t="shared" ref="AIV13" si="922">AIU13 + TIME(0,10,0)</f>
        <v>45927.444444444496</v>
      </c>
      <c r="AIW13" s="12">
        <f t="shared" ref="AIW13" si="923">AIV13 + TIME(0,10,0)</f>
        <v>45927.451388888941</v>
      </c>
      <c r="AIX13" s="12">
        <f t="shared" ref="AIX13" si="924">AIW13 + TIME(0,10,0)</f>
        <v>45927.458333333387</v>
      </c>
      <c r="AIY13" s="12">
        <f t="shared" ref="AIY13" si="925">AIX13 + TIME(0,10,0)</f>
        <v>45927.465277777832</v>
      </c>
      <c r="AIZ13" s="12">
        <f t="shared" ref="AIZ13" si="926">AIY13 + TIME(0,10,0)</f>
        <v>45927.472222222277</v>
      </c>
      <c r="AJA13" s="12">
        <f t="shared" ref="AJA13" si="927">AIZ13 + TIME(0,10,0)</f>
        <v>45927.479166666722</v>
      </c>
      <c r="AJB13" s="12">
        <f t="shared" ref="AJB13" si="928">AJA13 + TIME(0,10,0)</f>
        <v>45927.486111111168</v>
      </c>
      <c r="AJC13" s="12">
        <f t="shared" ref="AJC13" si="929">AJB13 + TIME(0,10,0)</f>
        <v>45927.493055555613</v>
      </c>
      <c r="AJD13" s="12">
        <f t="shared" ref="AJD13" si="930">AJC13 + TIME(0,10,0)</f>
        <v>45927.500000000058</v>
      </c>
      <c r="AJE13" s="12">
        <f t="shared" ref="AJE13" si="931">AJD13 + TIME(0,10,0)</f>
        <v>45927.506944444503</v>
      </c>
      <c r="AJF13" s="12">
        <f t="shared" ref="AJF13" si="932">AJE13 + TIME(0,10,0)</f>
        <v>45927.513888888949</v>
      </c>
      <c r="AJG13" s="12">
        <f t="shared" ref="AJG13" si="933">AJF13 + TIME(0,10,0)</f>
        <v>45927.520833333394</v>
      </c>
      <c r="AJH13" s="12">
        <f t="shared" ref="AJH13" si="934">AJG13 + TIME(0,10,0)</f>
        <v>45927.527777777839</v>
      </c>
      <c r="AJI13" s="12">
        <f t="shared" ref="AJI13" si="935">AJH13 + TIME(0,10,0)</f>
        <v>45927.534722222284</v>
      </c>
      <c r="AJJ13" s="12">
        <f t="shared" ref="AJJ13" si="936">AJI13 + TIME(0,10,0)</f>
        <v>45927.54166666673</v>
      </c>
      <c r="AJK13" s="12">
        <f t="shared" ref="AJK13" si="937">AJJ13 + TIME(0,10,0)</f>
        <v>45927.548611111175</v>
      </c>
      <c r="AJL13" s="12">
        <f t="shared" ref="AJL13" si="938">AJK13 + TIME(0,10,0)</f>
        <v>45927.55555555562</v>
      </c>
      <c r="AJM13" s="12">
        <f t="shared" ref="AJM13" si="939">AJL13 + TIME(0,10,0)</f>
        <v>45927.562500000065</v>
      </c>
      <c r="AJN13" s="12">
        <f t="shared" ref="AJN13" si="940">AJM13 + TIME(0,10,0)</f>
        <v>45927.569444444511</v>
      </c>
      <c r="AJO13" s="12">
        <f t="shared" ref="AJO13" si="941">AJN13 + TIME(0,10,0)</f>
        <v>45927.576388888956</v>
      </c>
      <c r="AJP13" s="12">
        <f t="shared" ref="AJP13" si="942">AJO13 + TIME(0,10,0)</f>
        <v>45927.583333333401</v>
      </c>
      <c r="AJQ13" s="12">
        <f t="shared" ref="AJQ13" si="943">AJP13 + TIME(0,10,0)</f>
        <v>45927.590277777846</v>
      </c>
      <c r="AJR13" s="12">
        <f t="shared" ref="AJR13" si="944">AJQ13 + TIME(0,10,0)</f>
        <v>45927.597222222292</v>
      </c>
      <c r="AJS13" s="12">
        <f t="shared" ref="AJS13" si="945">AJR13 + TIME(0,10,0)</f>
        <v>45927.604166666737</v>
      </c>
      <c r="AJT13" s="12">
        <f t="shared" ref="AJT13" si="946">AJS13 + TIME(0,10,0)</f>
        <v>45927.611111111182</v>
      </c>
      <c r="AJU13" s="12">
        <f t="shared" ref="AJU13" si="947">AJT13 + TIME(0,10,0)</f>
        <v>45927.618055555628</v>
      </c>
      <c r="AJV13" s="12">
        <f t="shared" ref="AJV13" si="948">AJU13 + TIME(0,10,0)</f>
        <v>45927.625000000073</v>
      </c>
      <c r="AJW13" s="12">
        <f t="shared" ref="AJW13" si="949">AJV13 + TIME(0,10,0)</f>
        <v>45927.631944444518</v>
      </c>
      <c r="AJX13" s="12">
        <f t="shared" ref="AJX13" si="950">AJW13 + TIME(0,10,0)</f>
        <v>45927.638888888963</v>
      </c>
      <c r="AJY13" s="12">
        <f t="shared" ref="AJY13" si="951">AJX13 + TIME(0,10,0)</f>
        <v>45927.645833333409</v>
      </c>
      <c r="AJZ13" s="12">
        <f t="shared" ref="AJZ13" si="952">AJY13 + TIME(0,10,0)</f>
        <v>45927.652777777854</v>
      </c>
      <c r="AKA13" s="12">
        <f t="shared" ref="AKA13" si="953">AJZ13 + TIME(0,10,0)</f>
        <v>45927.659722222299</v>
      </c>
      <c r="AKB13" s="12">
        <f t="shared" ref="AKB13" si="954">AKA13 + TIME(0,10,0)</f>
        <v>45927.666666666744</v>
      </c>
      <c r="AKC13" s="12">
        <f t="shared" ref="AKC13" si="955">AKB13 + TIME(0,10,0)</f>
        <v>45927.67361111119</v>
      </c>
      <c r="AKD13" s="12">
        <f t="shared" ref="AKD13" si="956">AKC13 + TIME(0,10,0)</f>
        <v>45927.680555555635</v>
      </c>
      <c r="AKE13" s="12">
        <f t="shared" ref="AKE13" si="957">AKD13 + TIME(0,10,0)</f>
        <v>45927.68750000008</v>
      </c>
      <c r="AKF13" s="12">
        <f t="shared" ref="AKF13" si="958">AKE13 + TIME(0,10,0)</f>
        <v>45927.694444444525</v>
      </c>
      <c r="AKG13" s="12">
        <f t="shared" ref="AKG13" si="959">AKF13 + TIME(0,10,0)</f>
        <v>45927.701388888971</v>
      </c>
      <c r="AKH13" s="12">
        <f t="shared" ref="AKH13" si="960">AKG13 + TIME(0,10,0)</f>
        <v>45927.708333333416</v>
      </c>
      <c r="AKI13" s="12">
        <f t="shared" ref="AKI13" si="961">AKH13 + TIME(0,10,0)</f>
        <v>45927.715277777861</v>
      </c>
      <c r="AKJ13" s="12">
        <f t="shared" ref="AKJ13" si="962">AKI13 + TIME(0,10,0)</f>
        <v>45927.722222222306</v>
      </c>
      <c r="AKK13" s="12">
        <f t="shared" ref="AKK13" si="963">AKJ13 + TIME(0,10,0)</f>
        <v>45927.729166666752</v>
      </c>
      <c r="AKL13" s="12">
        <f t="shared" ref="AKL13" si="964">AKK13 + TIME(0,10,0)</f>
        <v>45927.736111111197</v>
      </c>
      <c r="AKM13" s="12">
        <f t="shared" ref="AKM13" si="965">AKL13 + TIME(0,10,0)</f>
        <v>45927.743055555642</v>
      </c>
      <c r="AKN13" s="12">
        <f t="shared" ref="AKN13" si="966">AKM13 + TIME(0,10,0)</f>
        <v>45927.750000000087</v>
      </c>
      <c r="AKO13" s="12">
        <f t="shared" ref="AKO13" si="967">AKN13 + TIME(0,10,0)</f>
        <v>45927.756944444533</v>
      </c>
      <c r="AKP13" s="12">
        <f t="shared" ref="AKP13" si="968">AKO13 + TIME(0,10,0)</f>
        <v>45927.763888888978</v>
      </c>
      <c r="AKQ13" s="12">
        <f t="shared" ref="AKQ13" si="969">AKP13 + TIME(0,10,0)</f>
        <v>45927.770833333423</v>
      </c>
      <c r="AKR13" s="12">
        <f t="shared" ref="AKR13" si="970">AKQ13 + TIME(0,10,0)</f>
        <v>45927.777777777868</v>
      </c>
      <c r="AKS13" s="12">
        <f t="shared" ref="AKS13" si="971">AKR13 + TIME(0,10,0)</f>
        <v>45927.784722222314</v>
      </c>
      <c r="AKT13" s="12">
        <f t="shared" ref="AKT13" si="972">AKS13 + TIME(0,10,0)</f>
        <v>45927.791666666759</v>
      </c>
      <c r="AKU13" s="12">
        <f t="shared" ref="AKU13" si="973">AKT13 + TIME(0,10,0)</f>
        <v>45927.798611111204</v>
      </c>
      <c r="AKV13" s="12">
        <f t="shared" ref="AKV13" si="974">AKU13 + TIME(0,10,0)</f>
        <v>45927.805555555649</v>
      </c>
      <c r="AKW13" s="12">
        <f t="shared" ref="AKW13" si="975">AKV13 + TIME(0,10,0)</f>
        <v>45927.812500000095</v>
      </c>
      <c r="AKX13" s="12">
        <f t="shared" ref="AKX13" si="976">AKW13 + TIME(0,10,0)</f>
        <v>45927.81944444454</v>
      </c>
      <c r="AKY13" s="12">
        <f t="shared" ref="AKY13" si="977">AKX13 + TIME(0,10,0)</f>
        <v>45927.826388888985</v>
      </c>
      <c r="AKZ13" s="12">
        <f t="shared" ref="AKZ13" si="978">AKY13 + TIME(0,10,0)</f>
        <v>45927.83333333343</v>
      </c>
      <c r="ALA13" s="12">
        <f t="shared" ref="ALA13" si="979">AKZ13 + TIME(0,10,0)</f>
        <v>45927.840277777876</v>
      </c>
      <c r="ALB13" s="12">
        <f t="shared" ref="ALB13" si="980">ALA13 + TIME(0,10,0)</f>
        <v>45927.847222222321</v>
      </c>
      <c r="ALC13" s="12">
        <f t="shared" ref="ALC13" si="981">ALB13 + TIME(0,10,0)</f>
        <v>45927.854166666766</v>
      </c>
      <c r="ALD13" s="12">
        <f t="shared" ref="ALD13" si="982">ALC13 + TIME(0,10,0)</f>
        <v>45927.861111111211</v>
      </c>
      <c r="ALE13" s="12">
        <f t="shared" ref="ALE13" si="983">ALD13 + TIME(0,10,0)</f>
        <v>45927.868055555657</v>
      </c>
      <c r="ALF13" s="12">
        <f t="shared" ref="ALF13" si="984">ALE13 + TIME(0,10,0)</f>
        <v>45927.875000000102</v>
      </c>
      <c r="ALG13" s="12">
        <f t="shared" ref="ALG13" si="985">ALF13 + TIME(0,10,0)</f>
        <v>45927.881944444547</v>
      </c>
      <c r="ALH13" s="12">
        <f t="shared" ref="ALH13" si="986">ALG13 + TIME(0,10,0)</f>
        <v>45927.888888888992</v>
      </c>
      <c r="ALI13" s="12">
        <f t="shared" ref="ALI13" si="987">ALH13 + TIME(0,10,0)</f>
        <v>45927.895833333438</v>
      </c>
      <c r="ALJ13" s="12">
        <f t="shared" ref="ALJ13" si="988">ALI13 + TIME(0,10,0)</f>
        <v>45927.902777777883</v>
      </c>
      <c r="ALK13" s="12">
        <f t="shared" ref="ALK13" si="989">ALJ13 + TIME(0,10,0)</f>
        <v>45927.909722222328</v>
      </c>
      <c r="ALL13" s="12">
        <f t="shared" ref="ALL13" si="990">ALK13 + TIME(0,10,0)</f>
        <v>45927.916666666773</v>
      </c>
      <c r="ALM13" s="12">
        <f t="shared" ref="ALM13" si="991">ALL13 + TIME(0,10,0)</f>
        <v>45927.923611111219</v>
      </c>
      <c r="ALN13" s="12">
        <f t="shared" ref="ALN13" si="992">ALM13 + TIME(0,10,0)</f>
        <v>45927.930555555664</v>
      </c>
      <c r="ALO13" s="12">
        <f t="shared" ref="ALO13" si="993">ALN13 + TIME(0,10,0)</f>
        <v>45927.937500000109</v>
      </c>
      <c r="ALP13" s="12">
        <f t="shared" ref="ALP13" si="994">ALO13 + TIME(0,10,0)</f>
        <v>45927.944444444554</v>
      </c>
      <c r="ALQ13" s="12">
        <f t="shared" ref="ALQ13" si="995">ALP13 + TIME(0,10,0)</f>
        <v>45927.951388889</v>
      </c>
      <c r="ALR13" s="12">
        <f t="shared" ref="ALR13" si="996">ALQ13 + TIME(0,10,0)</f>
        <v>45927.958333333445</v>
      </c>
      <c r="ALS13" s="12">
        <f t="shared" ref="ALS13" si="997">ALR13 + TIME(0,10,0)</f>
        <v>45927.96527777789</v>
      </c>
      <c r="ALT13" s="12">
        <f t="shared" ref="ALT13" si="998">ALS13 + TIME(0,10,0)</f>
        <v>45927.972222222335</v>
      </c>
      <c r="ALU13" s="12">
        <f t="shared" ref="ALU13" si="999">ALT13 + TIME(0,10,0)</f>
        <v>45927.979166666781</v>
      </c>
      <c r="ALV13" s="12">
        <f t="shared" ref="ALV13" si="1000">ALU13 + TIME(0,10,0)</f>
        <v>45927.986111111226</v>
      </c>
      <c r="ALW13" s="13">
        <f t="shared" ref="ALW13" si="1001">ALV13 + TIME(0,10,0)</f>
        <v>45927.993055555671</v>
      </c>
    </row>
    <row r="14" spans="1:1011" x14ac:dyDescent="0.25"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4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4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4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4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4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4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  <c r="AKO14" s="1"/>
      <c r="AKP14" s="1"/>
      <c r="AKQ14" s="1"/>
      <c r="AKR14" s="1"/>
      <c r="AKS14" s="1"/>
      <c r="AKT14" s="1"/>
      <c r="AKU14" s="1"/>
      <c r="AKV14" s="1"/>
      <c r="AKW14" s="1"/>
      <c r="AKX14" s="1"/>
      <c r="AKY14" s="1"/>
      <c r="AKZ14" s="1"/>
      <c r="ALA14" s="1"/>
      <c r="ALB14" s="1"/>
      <c r="ALC14" s="1"/>
      <c r="ALD14" s="1"/>
      <c r="ALE14" s="1"/>
      <c r="ALF14" s="1"/>
      <c r="ALG14" s="1"/>
      <c r="ALH14" s="1"/>
      <c r="ALI14" s="1"/>
      <c r="ALJ14" s="1"/>
      <c r="ALK14" s="1"/>
      <c r="ALL14" s="1"/>
      <c r="ALM14" s="1"/>
      <c r="ALN14" s="1"/>
      <c r="ALO14" s="1"/>
      <c r="ALP14" s="1"/>
      <c r="ALQ14" s="1"/>
      <c r="ALR14" s="1"/>
      <c r="ALS14" s="1"/>
      <c r="ALT14" s="1"/>
      <c r="ALU14" s="1"/>
      <c r="ALV14" s="1"/>
      <c r="ALW14" s="14"/>
    </row>
    <row r="15" spans="1:1011" x14ac:dyDescent="0.25">
      <c r="B15" s="10" t="s">
        <v>5</v>
      </c>
      <c r="C15" s="9"/>
      <c r="D15" s="11" t="str">
        <f>IF(D$16="M0","M0", "M1")</f>
        <v>M0</v>
      </c>
      <c r="E15" s="11" t="str">
        <f t="shared" ref="E15:BP15" si="1002">IF(E$16="M0","M0", "M1")</f>
        <v>M0</v>
      </c>
      <c r="F15" s="11" t="str">
        <f t="shared" si="1002"/>
        <v>M0</v>
      </c>
      <c r="G15" s="11" t="str">
        <f t="shared" si="1002"/>
        <v>M0</v>
      </c>
      <c r="H15" s="11" t="str">
        <f t="shared" si="1002"/>
        <v>M0</v>
      </c>
      <c r="I15" s="11" t="str">
        <f t="shared" si="1002"/>
        <v>M0</v>
      </c>
      <c r="J15" s="11" t="str">
        <f t="shared" si="1002"/>
        <v>M0</v>
      </c>
      <c r="K15" s="11" t="str">
        <f t="shared" si="1002"/>
        <v>M1</v>
      </c>
      <c r="L15" s="11" t="str">
        <f t="shared" si="1002"/>
        <v>M0</v>
      </c>
      <c r="M15" s="11" t="str">
        <f t="shared" si="1002"/>
        <v>M0</v>
      </c>
      <c r="N15" s="11" t="str">
        <f t="shared" si="1002"/>
        <v>M0</v>
      </c>
      <c r="O15" s="11" t="str">
        <f t="shared" si="1002"/>
        <v>M0</v>
      </c>
      <c r="P15" s="11" t="str">
        <f t="shared" si="1002"/>
        <v>M0</v>
      </c>
      <c r="Q15" s="11" t="str">
        <f t="shared" si="1002"/>
        <v>M0</v>
      </c>
      <c r="R15" s="11" t="str">
        <f t="shared" si="1002"/>
        <v>M0</v>
      </c>
      <c r="S15" s="11" t="str">
        <f t="shared" si="1002"/>
        <v>M0</v>
      </c>
      <c r="T15" s="11" t="str">
        <f t="shared" si="1002"/>
        <v>M0</v>
      </c>
      <c r="U15" s="11" t="str">
        <f t="shared" si="1002"/>
        <v>M0</v>
      </c>
      <c r="V15" s="11" t="str">
        <f t="shared" si="1002"/>
        <v>M0</v>
      </c>
      <c r="W15" s="11" t="str">
        <f t="shared" si="1002"/>
        <v>M0</v>
      </c>
      <c r="X15" s="11" t="str">
        <f t="shared" si="1002"/>
        <v>M0</v>
      </c>
      <c r="Y15" s="11" t="str">
        <f t="shared" si="1002"/>
        <v>M0</v>
      </c>
      <c r="Z15" s="11" t="str">
        <f t="shared" si="1002"/>
        <v>M0</v>
      </c>
      <c r="AA15" s="11" t="str">
        <f t="shared" si="1002"/>
        <v>M0</v>
      </c>
      <c r="AB15" s="11" t="str">
        <f t="shared" si="1002"/>
        <v>M0</v>
      </c>
      <c r="AC15" s="11" t="str">
        <f t="shared" si="1002"/>
        <v>M0</v>
      </c>
      <c r="AD15" s="11" t="str">
        <f t="shared" si="1002"/>
        <v>M0</v>
      </c>
      <c r="AE15" s="11" t="str">
        <f t="shared" si="1002"/>
        <v>M0</v>
      </c>
      <c r="AF15" s="11" t="str">
        <f t="shared" si="1002"/>
        <v>M0</v>
      </c>
      <c r="AG15" s="11" t="str">
        <f t="shared" si="1002"/>
        <v>M0</v>
      </c>
      <c r="AH15" s="11" t="str">
        <f t="shared" si="1002"/>
        <v>M0</v>
      </c>
      <c r="AI15" s="11" t="str">
        <f t="shared" si="1002"/>
        <v>M0</v>
      </c>
      <c r="AJ15" s="11" t="str">
        <f t="shared" si="1002"/>
        <v>M0</v>
      </c>
      <c r="AK15" s="11" t="str">
        <f t="shared" si="1002"/>
        <v>M0</v>
      </c>
      <c r="AL15" s="11" t="str">
        <f t="shared" si="1002"/>
        <v>M0</v>
      </c>
      <c r="AM15" s="11" t="str">
        <f t="shared" si="1002"/>
        <v>M0</v>
      </c>
      <c r="AN15" s="11" t="str">
        <f t="shared" si="1002"/>
        <v>M0</v>
      </c>
      <c r="AO15" s="11" t="str">
        <f t="shared" si="1002"/>
        <v>M0</v>
      </c>
      <c r="AP15" s="11" t="str">
        <f t="shared" si="1002"/>
        <v>M0</v>
      </c>
      <c r="AQ15" s="11" t="str">
        <f t="shared" si="1002"/>
        <v>M0</v>
      </c>
      <c r="AR15" s="11" t="str">
        <f t="shared" si="1002"/>
        <v>M0</v>
      </c>
      <c r="AS15" s="11" t="str">
        <f t="shared" si="1002"/>
        <v>M0</v>
      </c>
      <c r="AT15" s="11" t="str">
        <f t="shared" si="1002"/>
        <v>M0</v>
      </c>
      <c r="AU15" s="11" t="str">
        <f t="shared" si="1002"/>
        <v>M0</v>
      </c>
      <c r="AV15" s="11" t="str">
        <f t="shared" si="1002"/>
        <v>M0</v>
      </c>
      <c r="AW15" s="11" t="str">
        <f t="shared" si="1002"/>
        <v>M0</v>
      </c>
      <c r="AX15" s="11" t="str">
        <f t="shared" si="1002"/>
        <v>M0</v>
      </c>
      <c r="AY15" s="11" t="str">
        <f t="shared" si="1002"/>
        <v>M0</v>
      </c>
      <c r="AZ15" s="11" t="str">
        <f t="shared" si="1002"/>
        <v>M0</v>
      </c>
      <c r="BA15" s="11" t="str">
        <f t="shared" si="1002"/>
        <v>M0</v>
      </c>
      <c r="BB15" s="11" t="str">
        <f t="shared" si="1002"/>
        <v>M0</v>
      </c>
      <c r="BC15" s="11" t="str">
        <f t="shared" si="1002"/>
        <v>M0</v>
      </c>
      <c r="BD15" s="11" t="str">
        <f t="shared" si="1002"/>
        <v>M0</v>
      </c>
      <c r="BE15" s="11" t="str">
        <f t="shared" si="1002"/>
        <v>M0</v>
      </c>
      <c r="BF15" s="11" t="str">
        <f t="shared" si="1002"/>
        <v>M0</v>
      </c>
      <c r="BG15" s="11" t="str">
        <f t="shared" si="1002"/>
        <v>M0</v>
      </c>
      <c r="BH15" s="11" t="str">
        <f t="shared" si="1002"/>
        <v>M0</v>
      </c>
      <c r="BI15" s="11" t="str">
        <f t="shared" si="1002"/>
        <v>M0</v>
      </c>
      <c r="BJ15" s="11" t="str">
        <f t="shared" si="1002"/>
        <v>M0</v>
      </c>
      <c r="BK15" s="11" t="str">
        <f t="shared" si="1002"/>
        <v>M0</v>
      </c>
      <c r="BL15" s="11" t="str">
        <f t="shared" si="1002"/>
        <v>M0</v>
      </c>
      <c r="BM15" s="11" t="str">
        <f t="shared" si="1002"/>
        <v>M0</v>
      </c>
      <c r="BN15" s="11" t="str">
        <f t="shared" si="1002"/>
        <v>M0</v>
      </c>
      <c r="BO15" s="11" t="str">
        <f t="shared" si="1002"/>
        <v>M0</v>
      </c>
      <c r="BP15" s="11" t="str">
        <f t="shared" si="1002"/>
        <v>M0</v>
      </c>
      <c r="BQ15" s="11" t="str">
        <f t="shared" ref="BQ15:EB15" si="1003">IF(BQ$16="M0","M0", "M1")</f>
        <v>M0</v>
      </c>
      <c r="BR15" s="11" t="str">
        <f t="shared" si="1003"/>
        <v>M0</v>
      </c>
      <c r="BS15" s="11" t="str">
        <f t="shared" si="1003"/>
        <v>M0</v>
      </c>
      <c r="BT15" s="11" t="str">
        <f t="shared" si="1003"/>
        <v>M0</v>
      </c>
      <c r="BU15" s="11" t="str">
        <f t="shared" si="1003"/>
        <v>M0</v>
      </c>
      <c r="BV15" s="11" t="str">
        <f t="shared" si="1003"/>
        <v>M0</v>
      </c>
      <c r="BW15" s="11" t="str">
        <f t="shared" si="1003"/>
        <v>M0</v>
      </c>
      <c r="BX15" s="11" t="str">
        <f t="shared" si="1003"/>
        <v>M0</v>
      </c>
      <c r="BY15" s="11" t="str">
        <f t="shared" si="1003"/>
        <v>M0</v>
      </c>
      <c r="BZ15" s="11" t="str">
        <f t="shared" si="1003"/>
        <v>M0</v>
      </c>
      <c r="CA15" s="11" t="str">
        <f t="shared" si="1003"/>
        <v>M0</v>
      </c>
      <c r="CB15" s="11" t="str">
        <f t="shared" si="1003"/>
        <v>M0</v>
      </c>
      <c r="CC15" s="11" t="str">
        <f t="shared" si="1003"/>
        <v>M0</v>
      </c>
      <c r="CD15" s="11" t="str">
        <f t="shared" si="1003"/>
        <v>M0</v>
      </c>
      <c r="CE15" s="11" t="str">
        <f t="shared" si="1003"/>
        <v>M0</v>
      </c>
      <c r="CF15" s="11" t="str">
        <f t="shared" si="1003"/>
        <v>M0</v>
      </c>
      <c r="CG15" s="11" t="str">
        <f t="shared" si="1003"/>
        <v>M0</v>
      </c>
      <c r="CH15" s="11" t="str">
        <f t="shared" si="1003"/>
        <v>M0</v>
      </c>
      <c r="CI15" s="11" t="str">
        <f t="shared" si="1003"/>
        <v>M0</v>
      </c>
      <c r="CJ15" s="11" t="str">
        <f t="shared" si="1003"/>
        <v>M0</v>
      </c>
      <c r="CK15" s="11" t="str">
        <f t="shared" si="1003"/>
        <v>M1</v>
      </c>
      <c r="CL15" s="11" t="str">
        <f t="shared" si="1003"/>
        <v>M0</v>
      </c>
      <c r="CM15" s="11" t="str">
        <f t="shared" si="1003"/>
        <v>M0</v>
      </c>
      <c r="CN15" s="11" t="str">
        <f t="shared" si="1003"/>
        <v>M0</v>
      </c>
      <c r="CO15" s="11" t="str">
        <f t="shared" si="1003"/>
        <v>M0</v>
      </c>
      <c r="CP15" s="11" t="str">
        <f t="shared" si="1003"/>
        <v>M0</v>
      </c>
      <c r="CQ15" s="11" t="str">
        <f t="shared" si="1003"/>
        <v>M0</v>
      </c>
      <c r="CR15" s="11" t="str">
        <f t="shared" si="1003"/>
        <v>M0</v>
      </c>
      <c r="CS15" s="11" t="str">
        <f t="shared" si="1003"/>
        <v>M0</v>
      </c>
      <c r="CT15" s="11" t="str">
        <f t="shared" si="1003"/>
        <v>M0</v>
      </c>
      <c r="CU15" s="11" t="str">
        <f t="shared" si="1003"/>
        <v>M0</v>
      </c>
      <c r="CV15" s="11" t="str">
        <f t="shared" si="1003"/>
        <v>M0</v>
      </c>
      <c r="CW15" s="11" t="str">
        <f t="shared" si="1003"/>
        <v>M0</v>
      </c>
      <c r="CX15" s="11" t="str">
        <f t="shared" si="1003"/>
        <v>M0</v>
      </c>
      <c r="CY15" s="11" t="str">
        <f t="shared" si="1003"/>
        <v>M0</v>
      </c>
      <c r="CZ15" s="11" t="str">
        <f t="shared" si="1003"/>
        <v>M0</v>
      </c>
      <c r="DA15" s="11" t="str">
        <f t="shared" si="1003"/>
        <v>M0</v>
      </c>
      <c r="DB15" s="11" t="str">
        <f t="shared" si="1003"/>
        <v>M0</v>
      </c>
      <c r="DC15" s="11" t="str">
        <f t="shared" si="1003"/>
        <v>M0</v>
      </c>
      <c r="DD15" s="11" t="str">
        <f t="shared" si="1003"/>
        <v>M0</v>
      </c>
      <c r="DE15" s="11" t="str">
        <f t="shared" si="1003"/>
        <v>M0</v>
      </c>
      <c r="DF15" s="11" t="str">
        <f t="shared" si="1003"/>
        <v>M0</v>
      </c>
      <c r="DG15" s="11" t="str">
        <f t="shared" si="1003"/>
        <v>M0</v>
      </c>
      <c r="DH15" s="11" t="str">
        <f t="shared" si="1003"/>
        <v>M0</v>
      </c>
      <c r="DI15" s="11" t="str">
        <f t="shared" si="1003"/>
        <v>M0</v>
      </c>
      <c r="DJ15" s="11" t="str">
        <f t="shared" si="1003"/>
        <v>M0</v>
      </c>
      <c r="DK15" s="11" t="str">
        <f t="shared" si="1003"/>
        <v>M0</v>
      </c>
      <c r="DL15" s="11" t="str">
        <f t="shared" si="1003"/>
        <v>M0</v>
      </c>
      <c r="DM15" s="11" t="str">
        <f t="shared" si="1003"/>
        <v>M0</v>
      </c>
      <c r="DN15" s="11" t="str">
        <f t="shared" si="1003"/>
        <v>M0</v>
      </c>
      <c r="DO15" s="11" t="str">
        <f t="shared" si="1003"/>
        <v>M0</v>
      </c>
      <c r="DP15" s="11" t="str">
        <f t="shared" si="1003"/>
        <v>M0</v>
      </c>
      <c r="DQ15" s="11" t="str">
        <f t="shared" si="1003"/>
        <v>M0</v>
      </c>
      <c r="DR15" s="11" t="str">
        <f t="shared" si="1003"/>
        <v>M0</v>
      </c>
      <c r="DS15" s="11" t="str">
        <f t="shared" si="1003"/>
        <v>M0</v>
      </c>
      <c r="DT15" s="11" t="str">
        <f t="shared" si="1003"/>
        <v>M0</v>
      </c>
      <c r="DU15" s="11" t="str">
        <f t="shared" si="1003"/>
        <v>M0</v>
      </c>
      <c r="DV15" s="11" t="str">
        <f t="shared" si="1003"/>
        <v>M0</v>
      </c>
      <c r="DW15" s="11" t="str">
        <f t="shared" si="1003"/>
        <v>M0</v>
      </c>
      <c r="DX15" s="11" t="str">
        <f t="shared" si="1003"/>
        <v>M0</v>
      </c>
      <c r="DY15" s="11" t="str">
        <f t="shared" si="1003"/>
        <v>M0</v>
      </c>
      <c r="DZ15" s="11" t="str">
        <f t="shared" si="1003"/>
        <v>M0</v>
      </c>
      <c r="EA15" s="11" t="str">
        <f t="shared" si="1003"/>
        <v>M0</v>
      </c>
      <c r="EB15" s="11" t="str">
        <f t="shared" si="1003"/>
        <v>M0</v>
      </c>
      <c r="EC15" s="11" t="str">
        <f t="shared" ref="EC15:GN15" si="1004">IF(EC$16="M0","M0", "M1")</f>
        <v>M0</v>
      </c>
      <c r="ED15" s="11" t="str">
        <f t="shared" si="1004"/>
        <v>M0</v>
      </c>
      <c r="EE15" s="11" t="str">
        <f t="shared" si="1004"/>
        <v>M0</v>
      </c>
      <c r="EF15" s="11" t="str">
        <f t="shared" si="1004"/>
        <v>M0</v>
      </c>
      <c r="EG15" s="11" t="str">
        <f t="shared" si="1004"/>
        <v>M0</v>
      </c>
      <c r="EH15" s="11" t="str">
        <f t="shared" si="1004"/>
        <v>M0</v>
      </c>
      <c r="EI15" s="11" t="str">
        <f t="shared" si="1004"/>
        <v>M0</v>
      </c>
      <c r="EJ15" s="11" t="str">
        <f t="shared" si="1004"/>
        <v>M0</v>
      </c>
      <c r="EK15" s="11" t="str">
        <f t="shared" si="1004"/>
        <v>M0</v>
      </c>
      <c r="EL15" s="11" t="str">
        <f t="shared" si="1004"/>
        <v>M0</v>
      </c>
      <c r="EM15" s="11" t="str">
        <f t="shared" si="1004"/>
        <v>M0</v>
      </c>
      <c r="EN15" s="11" t="str">
        <f t="shared" si="1004"/>
        <v>M0</v>
      </c>
      <c r="EO15" s="11" t="str">
        <f t="shared" si="1004"/>
        <v>M0</v>
      </c>
      <c r="EP15" s="11" t="str">
        <f t="shared" si="1004"/>
        <v>M0</v>
      </c>
      <c r="EQ15" s="11" t="str">
        <f t="shared" si="1004"/>
        <v>M0</v>
      </c>
      <c r="ER15" s="11" t="str">
        <f t="shared" si="1004"/>
        <v>M0</v>
      </c>
      <c r="ES15" s="11" t="str">
        <f t="shared" si="1004"/>
        <v>M0</v>
      </c>
      <c r="ET15" s="11" t="str">
        <f t="shared" si="1004"/>
        <v>M0</v>
      </c>
      <c r="EU15" s="11" t="str">
        <f t="shared" si="1004"/>
        <v>M0</v>
      </c>
      <c r="EV15" s="11" t="str">
        <f t="shared" si="1004"/>
        <v>M0</v>
      </c>
      <c r="EW15" s="11" t="str">
        <f t="shared" si="1004"/>
        <v>M0</v>
      </c>
      <c r="EX15" s="11" t="str">
        <f t="shared" si="1004"/>
        <v>M0</v>
      </c>
      <c r="EY15" s="11" t="str">
        <f t="shared" si="1004"/>
        <v>M0</v>
      </c>
      <c r="EZ15" s="11" t="str">
        <f t="shared" si="1004"/>
        <v>M0</v>
      </c>
      <c r="FA15" s="11" t="str">
        <f t="shared" si="1004"/>
        <v>M0</v>
      </c>
      <c r="FB15" s="11" t="str">
        <f t="shared" si="1004"/>
        <v>M0</v>
      </c>
      <c r="FC15" s="11" t="str">
        <f t="shared" si="1004"/>
        <v>M0</v>
      </c>
      <c r="FD15" s="11" t="str">
        <f t="shared" si="1004"/>
        <v>M0</v>
      </c>
      <c r="FE15" s="11" t="str">
        <f t="shared" si="1004"/>
        <v>M0</v>
      </c>
      <c r="FF15" s="11" t="str">
        <f t="shared" si="1004"/>
        <v>M0</v>
      </c>
      <c r="FG15" s="11" t="str">
        <f t="shared" si="1004"/>
        <v>M0</v>
      </c>
      <c r="FH15" s="11" t="str">
        <f t="shared" si="1004"/>
        <v>M0</v>
      </c>
      <c r="FI15" s="11" t="str">
        <f t="shared" si="1004"/>
        <v>M0</v>
      </c>
      <c r="FJ15" s="11" t="str">
        <f t="shared" si="1004"/>
        <v>M0</v>
      </c>
      <c r="FK15" s="11" t="str">
        <f t="shared" si="1004"/>
        <v>M0</v>
      </c>
      <c r="FL15" s="11" t="str">
        <f t="shared" si="1004"/>
        <v>M0</v>
      </c>
      <c r="FM15" s="11" t="str">
        <f t="shared" si="1004"/>
        <v>M0</v>
      </c>
      <c r="FN15" s="11" t="str">
        <f t="shared" si="1004"/>
        <v>M0</v>
      </c>
      <c r="FO15" s="11" t="str">
        <f t="shared" si="1004"/>
        <v>M0</v>
      </c>
      <c r="FP15" s="11" t="str">
        <f t="shared" si="1004"/>
        <v>M0</v>
      </c>
      <c r="FQ15" s="11" t="str">
        <f t="shared" si="1004"/>
        <v>M0</v>
      </c>
      <c r="FR15" s="11" t="str">
        <f t="shared" si="1004"/>
        <v>M0</v>
      </c>
      <c r="FS15" s="11" t="str">
        <f t="shared" si="1004"/>
        <v>M0</v>
      </c>
      <c r="FT15" s="11" t="str">
        <f t="shared" si="1004"/>
        <v>M0</v>
      </c>
      <c r="FU15" s="11" t="str">
        <f t="shared" si="1004"/>
        <v>M0</v>
      </c>
      <c r="FV15" s="11" t="str">
        <f t="shared" si="1004"/>
        <v>M0</v>
      </c>
      <c r="FW15" s="11" t="str">
        <f t="shared" si="1004"/>
        <v>M0</v>
      </c>
      <c r="FX15" s="11" t="str">
        <f t="shared" si="1004"/>
        <v>M0</v>
      </c>
      <c r="FY15" s="11" t="str">
        <f t="shared" si="1004"/>
        <v>M0</v>
      </c>
      <c r="FZ15" s="11" t="str">
        <f t="shared" si="1004"/>
        <v>M0</v>
      </c>
      <c r="GA15" s="11" t="str">
        <f t="shared" si="1004"/>
        <v>M0</v>
      </c>
      <c r="GB15" s="11" t="str">
        <f t="shared" si="1004"/>
        <v>M0</v>
      </c>
      <c r="GC15" s="11" t="str">
        <f t="shared" si="1004"/>
        <v>M0</v>
      </c>
      <c r="GD15" s="11" t="str">
        <f t="shared" si="1004"/>
        <v>M0</v>
      </c>
      <c r="GE15" s="11" t="str">
        <f t="shared" si="1004"/>
        <v>M0</v>
      </c>
      <c r="GF15" s="11" t="str">
        <f t="shared" si="1004"/>
        <v>M0</v>
      </c>
      <c r="GG15" s="11" t="str">
        <f t="shared" si="1004"/>
        <v>M0</v>
      </c>
      <c r="GH15" s="11" t="str">
        <f t="shared" si="1004"/>
        <v>M0</v>
      </c>
      <c r="GI15" s="11" t="str">
        <f t="shared" si="1004"/>
        <v>M0</v>
      </c>
      <c r="GJ15" s="11" t="str">
        <f t="shared" si="1004"/>
        <v>M0</v>
      </c>
      <c r="GK15" s="11" t="str">
        <f t="shared" si="1004"/>
        <v>M0</v>
      </c>
      <c r="GL15" s="11" t="str">
        <f t="shared" si="1004"/>
        <v>M0</v>
      </c>
      <c r="GM15" s="11" t="str">
        <f t="shared" si="1004"/>
        <v>M0</v>
      </c>
      <c r="GN15" s="11" t="str">
        <f t="shared" si="1004"/>
        <v>M0</v>
      </c>
      <c r="GO15" s="11" t="str">
        <f t="shared" ref="GO15:IZ15" si="1005">IF(GO$16="M0","M0", "M1")</f>
        <v>M0</v>
      </c>
      <c r="GP15" s="11" t="str">
        <f t="shared" si="1005"/>
        <v>M0</v>
      </c>
      <c r="GQ15" s="11" t="str">
        <f t="shared" si="1005"/>
        <v>M0</v>
      </c>
      <c r="GR15" s="11" t="str">
        <f t="shared" si="1005"/>
        <v>M0</v>
      </c>
      <c r="GS15" s="11" t="str">
        <f t="shared" si="1005"/>
        <v>M0</v>
      </c>
      <c r="GT15" s="11" t="str">
        <f t="shared" si="1005"/>
        <v>M0</v>
      </c>
      <c r="GU15" s="11" t="str">
        <f t="shared" si="1005"/>
        <v>M0</v>
      </c>
      <c r="GV15" s="11" t="str">
        <f t="shared" si="1005"/>
        <v>M0</v>
      </c>
      <c r="GW15" s="11" t="str">
        <f t="shared" si="1005"/>
        <v>M0</v>
      </c>
      <c r="GX15" s="11" t="str">
        <f t="shared" si="1005"/>
        <v>M0</v>
      </c>
      <c r="GY15" s="11" t="str">
        <f t="shared" si="1005"/>
        <v>M0</v>
      </c>
      <c r="GZ15" s="11" t="str">
        <f t="shared" si="1005"/>
        <v>M0</v>
      </c>
      <c r="HA15" s="11" t="str">
        <f t="shared" si="1005"/>
        <v>M0</v>
      </c>
      <c r="HB15" s="11" t="str">
        <f t="shared" si="1005"/>
        <v>M0</v>
      </c>
      <c r="HC15" s="11" t="str">
        <f t="shared" si="1005"/>
        <v>M0</v>
      </c>
      <c r="HD15" s="11" t="str">
        <f t="shared" si="1005"/>
        <v>M0</v>
      </c>
      <c r="HE15" s="11" t="str">
        <f t="shared" si="1005"/>
        <v>M0</v>
      </c>
      <c r="HF15" s="11" t="str">
        <f t="shared" si="1005"/>
        <v>M0</v>
      </c>
      <c r="HG15" s="11" t="str">
        <f t="shared" si="1005"/>
        <v>M0</v>
      </c>
      <c r="HH15" s="11" t="str">
        <f t="shared" si="1005"/>
        <v>M0</v>
      </c>
      <c r="HI15" s="11" t="str">
        <f t="shared" si="1005"/>
        <v>M0</v>
      </c>
      <c r="HJ15" s="11" t="str">
        <f t="shared" si="1005"/>
        <v>M0</v>
      </c>
      <c r="HK15" s="11" t="str">
        <f t="shared" si="1005"/>
        <v>M0</v>
      </c>
      <c r="HL15" s="11" t="str">
        <f t="shared" si="1005"/>
        <v>M0</v>
      </c>
      <c r="HM15" s="11" t="str">
        <f t="shared" si="1005"/>
        <v>M0</v>
      </c>
      <c r="HN15" s="11" t="str">
        <f t="shared" si="1005"/>
        <v>M0</v>
      </c>
      <c r="HO15" s="11" t="str">
        <f t="shared" si="1005"/>
        <v>M0</v>
      </c>
      <c r="HP15" s="11" t="str">
        <f t="shared" si="1005"/>
        <v>M0</v>
      </c>
      <c r="HQ15" s="11" t="str">
        <f t="shared" si="1005"/>
        <v>M0</v>
      </c>
      <c r="HR15" s="11" t="str">
        <f t="shared" si="1005"/>
        <v>M0</v>
      </c>
      <c r="HS15" s="11" t="str">
        <f t="shared" si="1005"/>
        <v>M0</v>
      </c>
      <c r="HT15" s="11" t="str">
        <f t="shared" si="1005"/>
        <v>M0</v>
      </c>
      <c r="HU15" s="11" t="str">
        <f t="shared" si="1005"/>
        <v>M0</v>
      </c>
      <c r="HV15" s="11" t="str">
        <f t="shared" si="1005"/>
        <v>M0</v>
      </c>
      <c r="HW15" s="11" t="str">
        <f t="shared" si="1005"/>
        <v>M0</v>
      </c>
      <c r="HX15" s="11" t="str">
        <f t="shared" si="1005"/>
        <v>M0</v>
      </c>
      <c r="HY15" s="11" t="str">
        <f t="shared" si="1005"/>
        <v>M0</v>
      </c>
      <c r="HZ15" s="11" t="str">
        <f t="shared" si="1005"/>
        <v>M0</v>
      </c>
      <c r="IA15" s="11" t="str">
        <f t="shared" si="1005"/>
        <v>M0</v>
      </c>
      <c r="IB15" s="11" t="str">
        <f t="shared" si="1005"/>
        <v>M0</v>
      </c>
      <c r="IC15" s="11" t="str">
        <f t="shared" si="1005"/>
        <v>M0</v>
      </c>
      <c r="ID15" s="11" t="str">
        <f t="shared" si="1005"/>
        <v>M0</v>
      </c>
      <c r="IE15" s="11" t="str">
        <f t="shared" si="1005"/>
        <v>M0</v>
      </c>
      <c r="IF15" s="11" t="str">
        <f t="shared" si="1005"/>
        <v>M0</v>
      </c>
      <c r="IG15" s="11" t="str">
        <f t="shared" si="1005"/>
        <v>M0</v>
      </c>
      <c r="IH15" s="11" t="str">
        <f t="shared" si="1005"/>
        <v>M0</v>
      </c>
      <c r="II15" s="11" t="str">
        <f t="shared" si="1005"/>
        <v>M0</v>
      </c>
      <c r="IJ15" s="11" t="str">
        <f t="shared" si="1005"/>
        <v>M0</v>
      </c>
      <c r="IK15" s="11" t="str">
        <f t="shared" si="1005"/>
        <v>M0</v>
      </c>
      <c r="IL15" s="11" t="str">
        <f t="shared" si="1005"/>
        <v>M0</v>
      </c>
      <c r="IM15" s="11" t="str">
        <f t="shared" si="1005"/>
        <v>M0</v>
      </c>
      <c r="IN15" s="11" t="str">
        <f t="shared" si="1005"/>
        <v>M0</v>
      </c>
      <c r="IO15" s="11" t="str">
        <f t="shared" si="1005"/>
        <v>M0</v>
      </c>
      <c r="IP15" s="11" t="str">
        <f t="shared" si="1005"/>
        <v>M0</v>
      </c>
      <c r="IQ15" s="11" t="str">
        <f t="shared" si="1005"/>
        <v>M0</v>
      </c>
      <c r="IR15" s="11" t="str">
        <f t="shared" si="1005"/>
        <v>M0</v>
      </c>
      <c r="IS15" s="11" t="str">
        <f t="shared" si="1005"/>
        <v>M0</v>
      </c>
      <c r="IT15" s="11" t="str">
        <f t="shared" si="1005"/>
        <v>M0</v>
      </c>
      <c r="IU15" s="11" t="str">
        <f t="shared" si="1005"/>
        <v>M0</v>
      </c>
      <c r="IV15" s="11" t="str">
        <f t="shared" si="1005"/>
        <v>M0</v>
      </c>
      <c r="IW15" s="11" t="str">
        <f t="shared" si="1005"/>
        <v>M0</v>
      </c>
      <c r="IX15" s="11" t="str">
        <f t="shared" si="1005"/>
        <v>M0</v>
      </c>
      <c r="IY15" s="11" t="str">
        <f t="shared" si="1005"/>
        <v>M0</v>
      </c>
      <c r="IZ15" s="11" t="str">
        <f t="shared" si="1005"/>
        <v>M0</v>
      </c>
      <c r="JA15" s="11" t="str">
        <f t="shared" ref="JA15:LL15" si="1006">IF(JA$16="M0","M0", "M1")</f>
        <v>M0</v>
      </c>
      <c r="JB15" s="11" t="str">
        <f t="shared" si="1006"/>
        <v>M0</v>
      </c>
      <c r="JC15" s="11" t="str">
        <f t="shared" si="1006"/>
        <v>M0</v>
      </c>
      <c r="JD15" s="11" t="str">
        <f t="shared" si="1006"/>
        <v>M0</v>
      </c>
      <c r="JE15" s="11" t="str">
        <f t="shared" si="1006"/>
        <v>M0</v>
      </c>
      <c r="JF15" s="11" t="str">
        <f t="shared" si="1006"/>
        <v>M0</v>
      </c>
      <c r="JG15" s="11" t="str">
        <f t="shared" si="1006"/>
        <v>M0</v>
      </c>
      <c r="JH15" s="11" t="str">
        <f t="shared" si="1006"/>
        <v>M0</v>
      </c>
      <c r="JI15" s="11" t="str">
        <f t="shared" si="1006"/>
        <v>M0</v>
      </c>
      <c r="JJ15" s="11" t="str">
        <f t="shared" si="1006"/>
        <v>M0</v>
      </c>
      <c r="JK15" s="11" t="str">
        <f t="shared" si="1006"/>
        <v>M0</v>
      </c>
      <c r="JL15" s="11" t="str">
        <f t="shared" si="1006"/>
        <v>M0</v>
      </c>
      <c r="JM15" s="11" t="str">
        <f t="shared" si="1006"/>
        <v>M0</v>
      </c>
      <c r="JN15" s="11" t="str">
        <f t="shared" si="1006"/>
        <v>M0</v>
      </c>
      <c r="JO15" s="11" t="str">
        <f t="shared" si="1006"/>
        <v>M0</v>
      </c>
      <c r="JP15" s="11" t="str">
        <f t="shared" si="1006"/>
        <v>M0</v>
      </c>
      <c r="JQ15" s="11" t="str">
        <f t="shared" si="1006"/>
        <v>M0</v>
      </c>
      <c r="JR15" s="11" t="str">
        <f t="shared" si="1006"/>
        <v>M0</v>
      </c>
      <c r="JS15" s="11" t="str">
        <f t="shared" si="1006"/>
        <v>M0</v>
      </c>
      <c r="JT15" s="11" t="str">
        <f t="shared" si="1006"/>
        <v>M0</v>
      </c>
      <c r="JU15" s="11" t="str">
        <f t="shared" si="1006"/>
        <v>M0</v>
      </c>
      <c r="JV15" s="11" t="str">
        <f t="shared" si="1006"/>
        <v>M0</v>
      </c>
      <c r="JW15" s="11" t="str">
        <f t="shared" si="1006"/>
        <v>M0</v>
      </c>
      <c r="JX15" s="11" t="str">
        <f t="shared" si="1006"/>
        <v>M0</v>
      </c>
      <c r="JY15" s="11" t="str">
        <f t="shared" si="1006"/>
        <v>M0</v>
      </c>
      <c r="JZ15" s="11" t="str">
        <f t="shared" si="1006"/>
        <v>M0</v>
      </c>
      <c r="KA15" s="11" t="str">
        <f t="shared" si="1006"/>
        <v>M0</v>
      </c>
      <c r="KB15" s="11" t="str">
        <f t="shared" si="1006"/>
        <v>M0</v>
      </c>
      <c r="KC15" s="11" t="str">
        <f t="shared" si="1006"/>
        <v>M0</v>
      </c>
      <c r="KD15" s="11" t="str">
        <f t="shared" si="1006"/>
        <v>M0</v>
      </c>
      <c r="KE15" s="11" t="str">
        <f t="shared" si="1006"/>
        <v>M0</v>
      </c>
      <c r="KF15" s="11" t="str">
        <f t="shared" si="1006"/>
        <v>M0</v>
      </c>
      <c r="KG15" s="11" t="str">
        <f t="shared" si="1006"/>
        <v>M0</v>
      </c>
      <c r="KH15" s="11" t="str">
        <f t="shared" si="1006"/>
        <v>M0</v>
      </c>
      <c r="KI15" s="11" t="str">
        <f t="shared" si="1006"/>
        <v>M0</v>
      </c>
      <c r="KJ15" s="11" t="str">
        <f t="shared" si="1006"/>
        <v>M0</v>
      </c>
      <c r="KK15" s="11" t="str">
        <f t="shared" si="1006"/>
        <v>M0</v>
      </c>
      <c r="KL15" s="11" t="str">
        <f t="shared" si="1006"/>
        <v>M0</v>
      </c>
      <c r="KM15" s="11" t="str">
        <f t="shared" si="1006"/>
        <v>M1</v>
      </c>
      <c r="KN15" s="11" t="str">
        <f t="shared" si="1006"/>
        <v>M0</v>
      </c>
      <c r="KO15" s="11" t="str">
        <f t="shared" si="1006"/>
        <v>M0</v>
      </c>
      <c r="KP15" s="11" t="str">
        <f t="shared" si="1006"/>
        <v>M0</v>
      </c>
      <c r="KQ15" s="11" t="str">
        <f t="shared" si="1006"/>
        <v>M0</v>
      </c>
      <c r="KR15" s="11" t="str">
        <f t="shared" si="1006"/>
        <v>M0</v>
      </c>
      <c r="KS15" s="11" t="str">
        <f t="shared" si="1006"/>
        <v>M0</v>
      </c>
      <c r="KT15" s="11" t="str">
        <f t="shared" si="1006"/>
        <v>M0</v>
      </c>
      <c r="KU15" s="11" t="str">
        <f t="shared" si="1006"/>
        <v>M0</v>
      </c>
      <c r="KV15" s="11" t="str">
        <f t="shared" si="1006"/>
        <v>M0</v>
      </c>
      <c r="KW15" s="11" t="str">
        <f t="shared" si="1006"/>
        <v>M0</v>
      </c>
      <c r="KX15" s="11" t="str">
        <f t="shared" si="1006"/>
        <v>M0</v>
      </c>
      <c r="KY15" s="11" t="str">
        <f t="shared" si="1006"/>
        <v>M0</v>
      </c>
      <c r="KZ15" s="11" t="str">
        <f t="shared" si="1006"/>
        <v>M0</v>
      </c>
      <c r="LA15" s="11" t="str">
        <f t="shared" si="1006"/>
        <v>M0</v>
      </c>
      <c r="LB15" s="11" t="str">
        <f t="shared" si="1006"/>
        <v>M0</v>
      </c>
      <c r="LC15" s="11" t="str">
        <f t="shared" si="1006"/>
        <v>M0</v>
      </c>
      <c r="LD15" s="11" t="str">
        <f t="shared" si="1006"/>
        <v>M0</v>
      </c>
      <c r="LE15" s="11" t="str">
        <f t="shared" si="1006"/>
        <v>M0</v>
      </c>
      <c r="LF15" s="11" t="str">
        <f t="shared" si="1006"/>
        <v>M0</v>
      </c>
      <c r="LG15" s="11" t="str">
        <f t="shared" si="1006"/>
        <v>M0</v>
      </c>
      <c r="LH15" s="11" t="str">
        <f t="shared" si="1006"/>
        <v>M0</v>
      </c>
      <c r="LI15" s="11" t="str">
        <f t="shared" si="1006"/>
        <v>M0</v>
      </c>
      <c r="LJ15" s="11" t="str">
        <f t="shared" si="1006"/>
        <v>M0</v>
      </c>
      <c r="LK15" s="11" t="str">
        <f t="shared" si="1006"/>
        <v>M0</v>
      </c>
      <c r="LL15" s="11" t="str">
        <f t="shared" si="1006"/>
        <v>M0</v>
      </c>
      <c r="LM15" s="11" t="str">
        <f t="shared" ref="LM15:NX15" si="1007">IF(LM$16="M0","M0", "M1")</f>
        <v>M0</v>
      </c>
      <c r="LN15" s="11" t="str">
        <f t="shared" si="1007"/>
        <v>M0</v>
      </c>
      <c r="LO15" s="11" t="str">
        <f t="shared" si="1007"/>
        <v>M0</v>
      </c>
      <c r="LP15" s="11" t="str">
        <f t="shared" si="1007"/>
        <v>M0</v>
      </c>
      <c r="LQ15" s="11" t="str">
        <f t="shared" si="1007"/>
        <v>M0</v>
      </c>
      <c r="LR15" s="11" t="str">
        <f t="shared" si="1007"/>
        <v>M0</v>
      </c>
      <c r="LS15" s="11" t="str">
        <f t="shared" si="1007"/>
        <v>M0</v>
      </c>
      <c r="LT15" s="11" t="str">
        <f t="shared" si="1007"/>
        <v>M0</v>
      </c>
      <c r="LU15" s="11" t="str">
        <f t="shared" si="1007"/>
        <v>M0</v>
      </c>
      <c r="LV15" s="11" t="str">
        <f t="shared" si="1007"/>
        <v>M0</v>
      </c>
      <c r="LW15" s="11" t="str">
        <f t="shared" si="1007"/>
        <v>M0</v>
      </c>
      <c r="LX15" s="11" t="str">
        <f t="shared" si="1007"/>
        <v>M0</v>
      </c>
      <c r="LY15" s="11" t="str">
        <f t="shared" si="1007"/>
        <v>M0</v>
      </c>
      <c r="LZ15" s="11" t="str">
        <f t="shared" si="1007"/>
        <v>M0</v>
      </c>
      <c r="MA15" s="11" t="str">
        <f t="shared" si="1007"/>
        <v>M0</v>
      </c>
      <c r="MB15" s="11" t="str">
        <f t="shared" si="1007"/>
        <v>M0</v>
      </c>
      <c r="MC15" s="11" t="str">
        <f t="shared" si="1007"/>
        <v>M0</v>
      </c>
      <c r="MD15" s="11" t="str">
        <f t="shared" si="1007"/>
        <v>M0</v>
      </c>
      <c r="ME15" s="11" t="str">
        <f t="shared" si="1007"/>
        <v>M0</v>
      </c>
      <c r="MF15" s="11" t="str">
        <f t="shared" si="1007"/>
        <v>M0</v>
      </c>
      <c r="MG15" s="11" t="str">
        <f t="shared" si="1007"/>
        <v>M0</v>
      </c>
      <c r="MH15" s="11" t="str">
        <f t="shared" si="1007"/>
        <v>M0</v>
      </c>
      <c r="MI15" s="11" t="str">
        <f t="shared" si="1007"/>
        <v>M0</v>
      </c>
      <c r="MJ15" s="11" t="str">
        <f t="shared" si="1007"/>
        <v>M0</v>
      </c>
      <c r="MK15" s="11" t="str">
        <f t="shared" si="1007"/>
        <v>M0</v>
      </c>
      <c r="ML15" s="11" t="str">
        <f t="shared" si="1007"/>
        <v>M0</v>
      </c>
      <c r="MM15" s="11" t="str">
        <f t="shared" si="1007"/>
        <v>M0</v>
      </c>
      <c r="MN15" s="11" t="str">
        <f t="shared" si="1007"/>
        <v>M0</v>
      </c>
      <c r="MO15" s="11" t="str">
        <f t="shared" si="1007"/>
        <v>M0</v>
      </c>
      <c r="MP15" s="11" t="str">
        <f t="shared" si="1007"/>
        <v>M0</v>
      </c>
      <c r="MQ15" s="11" t="str">
        <f t="shared" si="1007"/>
        <v>M0</v>
      </c>
      <c r="MR15" s="11" t="str">
        <f t="shared" si="1007"/>
        <v>M0</v>
      </c>
      <c r="MS15" s="11" t="str">
        <f t="shared" si="1007"/>
        <v>M0</v>
      </c>
      <c r="MT15" s="11" t="str">
        <f t="shared" si="1007"/>
        <v>M0</v>
      </c>
      <c r="MU15" s="11" t="str">
        <f t="shared" si="1007"/>
        <v>M0</v>
      </c>
      <c r="MV15" s="11" t="str">
        <f t="shared" si="1007"/>
        <v>M0</v>
      </c>
      <c r="MW15" s="11" t="str">
        <f t="shared" si="1007"/>
        <v>M0</v>
      </c>
      <c r="MX15" s="11" t="str">
        <f t="shared" si="1007"/>
        <v>M0</v>
      </c>
      <c r="MY15" s="11" t="str">
        <f t="shared" si="1007"/>
        <v>M0</v>
      </c>
      <c r="MZ15" s="11" t="str">
        <f t="shared" si="1007"/>
        <v>M0</v>
      </c>
      <c r="NA15" s="11" t="str">
        <f t="shared" si="1007"/>
        <v>M0</v>
      </c>
      <c r="NB15" s="11" t="str">
        <f t="shared" si="1007"/>
        <v>M0</v>
      </c>
      <c r="NC15" s="11" t="str">
        <f t="shared" si="1007"/>
        <v>M0</v>
      </c>
      <c r="ND15" s="11" t="str">
        <f t="shared" si="1007"/>
        <v>M0</v>
      </c>
      <c r="NE15" s="11" t="str">
        <f t="shared" si="1007"/>
        <v>M0</v>
      </c>
      <c r="NF15" s="11" t="str">
        <f t="shared" si="1007"/>
        <v>M0</v>
      </c>
      <c r="NG15" s="11" t="str">
        <f t="shared" si="1007"/>
        <v>M0</v>
      </c>
      <c r="NH15" s="11" t="str">
        <f t="shared" si="1007"/>
        <v>M0</v>
      </c>
      <c r="NI15" s="11" t="str">
        <f t="shared" si="1007"/>
        <v>M0</v>
      </c>
      <c r="NJ15" s="11" t="str">
        <f t="shared" si="1007"/>
        <v>M0</v>
      </c>
      <c r="NK15" s="11" t="str">
        <f t="shared" si="1007"/>
        <v>M0</v>
      </c>
      <c r="NL15" s="11" t="str">
        <f t="shared" si="1007"/>
        <v>M0</v>
      </c>
      <c r="NM15" s="11" t="str">
        <f t="shared" si="1007"/>
        <v>M1</v>
      </c>
      <c r="NN15" s="11" t="str">
        <f t="shared" si="1007"/>
        <v>M0</v>
      </c>
      <c r="NO15" s="11" t="str">
        <f t="shared" si="1007"/>
        <v>M0</v>
      </c>
      <c r="NP15" s="11" t="str">
        <f t="shared" si="1007"/>
        <v>M0</v>
      </c>
      <c r="NQ15" s="11" t="str">
        <f t="shared" si="1007"/>
        <v>M0</v>
      </c>
      <c r="NR15" s="11" t="str">
        <f t="shared" si="1007"/>
        <v>M0</v>
      </c>
      <c r="NS15" s="11" t="str">
        <f t="shared" si="1007"/>
        <v>M0</v>
      </c>
      <c r="NT15" s="11" t="str">
        <f t="shared" si="1007"/>
        <v>M0</v>
      </c>
      <c r="NU15" s="11" t="str">
        <f t="shared" si="1007"/>
        <v>M0</v>
      </c>
      <c r="NV15" s="11" t="str">
        <f t="shared" si="1007"/>
        <v>M0</v>
      </c>
      <c r="NW15" s="11" t="str">
        <f t="shared" si="1007"/>
        <v>M0</v>
      </c>
      <c r="NX15" s="11" t="str">
        <f t="shared" si="1007"/>
        <v>M0</v>
      </c>
      <c r="NY15" s="11" t="str">
        <f t="shared" ref="NY15:QJ15" si="1008">IF(NY$16="M0","M0", "M1")</f>
        <v>M0</v>
      </c>
      <c r="NZ15" s="11" t="str">
        <f t="shared" si="1008"/>
        <v>M0</v>
      </c>
      <c r="OA15" s="11" t="str">
        <f t="shared" si="1008"/>
        <v>M0</v>
      </c>
      <c r="OB15" s="11" t="str">
        <f t="shared" si="1008"/>
        <v>M0</v>
      </c>
      <c r="OC15" s="11" t="str">
        <f t="shared" si="1008"/>
        <v>M0</v>
      </c>
      <c r="OD15" s="11" t="str">
        <f t="shared" si="1008"/>
        <v>M0</v>
      </c>
      <c r="OE15" s="11" t="str">
        <f t="shared" si="1008"/>
        <v>M0</v>
      </c>
      <c r="OF15" s="11" t="str">
        <f t="shared" si="1008"/>
        <v>M0</v>
      </c>
      <c r="OG15" s="11" t="str">
        <f t="shared" si="1008"/>
        <v>M0</v>
      </c>
      <c r="OH15" s="11" t="str">
        <f t="shared" si="1008"/>
        <v>M0</v>
      </c>
      <c r="OI15" s="11" t="str">
        <f t="shared" si="1008"/>
        <v>M0</v>
      </c>
      <c r="OJ15" s="11" t="str">
        <f t="shared" si="1008"/>
        <v>M0</v>
      </c>
      <c r="OK15" s="11" t="str">
        <f t="shared" si="1008"/>
        <v>M0</v>
      </c>
      <c r="OL15" s="11" t="str">
        <f t="shared" si="1008"/>
        <v>M0</v>
      </c>
      <c r="OM15" s="11" t="str">
        <f t="shared" si="1008"/>
        <v>M0</v>
      </c>
      <c r="ON15" s="11" t="str">
        <f t="shared" si="1008"/>
        <v>M0</v>
      </c>
      <c r="OO15" s="11" t="str">
        <f t="shared" si="1008"/>
        <v>M0</v>
      </c>
      <c r="OP15" s="11" t="str">
        <f t="shared" si="1008"/>
        <v>M0</v>
      </c>
      <c r="OQ15" s="11" t="str">
        <f t="shared" si="1008"/>
        <v>M0</v>
      </c>
      <c r="OR15" s="11" t="str">
        <f t="shared" si="1008"/>
        <v>M0</v>
      </c>
      <c r="OS15" s="11" t="str">
        <f t="shared" si="1008"/>
        <v>M0</v>
      </c>
      <c r="OT15" s="11" t="str">
        <f t="shared" si="1008"/>
        <v>M0</v>
      </c>
      <c r="OU15" s="11" t="str">
        <f t="shared" si="1008"/>
        <v>M0</v>
      </c>
      <c r="OV15" s="11" t="str">
        <f t="shared" si="1008"/>
        <v>M0</v>
      </c>
      <c r="OW15" s="11" t="str">
        <f t="shared" si="1008"/>
        <v>M0</v>
      </c>
      <c r="OX15" s="11" t="str">
        <f t="shared" si="1008"/>
        <v>M0</v>
      </c>
      <c r="OY15" s="11" t="str">
        <f t="shared" si="1008"/>
        <v>M0</v>
      </c>
      <c r="OZ15" s="11" t="str">
        <f t="shared" si="1008"/>
        <v>M0</v>
      </c>
      <c r="PA15" s="11" t="str">
        <f t="shared" si="1008"/>
        <v>M0</v>
      </c>
      <c r="PB15" s="11" t="str">
        <f t="shared" si="1008"/>
        <v>M0</v>
      </c>
      <c r="PC15" s="11" t="str">
        <f t="shared" si="1008"/>
        <v>M0</v>
      </c>
      <c r="PD15" s="11" t="str">
        <f t="shared" si="1008"/>
        <v>M0</v>
      </c>
      <c r="PE15" s="11" t="str">
        <f t="shared" si="1008"/>
        <v>M0</v>
      </c>
      <c r="PF15" s="11" t="str">
        <f t="shared" si="1008"/>
        <v>M0</v>
      </c>
      <c r="PG15" s="11" t="str">
        <f t="shared" si="1008"/>
        <v>M0</v>
      </c>
      <c r="PH15" s="11" t="str">
        <f t="shared" si="1008"/>
        <v>M0</v>
      </c>
      <c r="PI15" s="11" t="str">
        <f t="shared" si="1008"/>
        <v>M0</v>
      </c>
      <c r="PJ15" s="11" t="str">
        <f t="shared" si="1008"/>
        <v>M0</v>
      </c>
      <c r="PK15" s="11" t="str">
        <f t="shared" si="1008"/>
        <v>M0</v>
      </c>
      <c r="PL15" s="11" t="str">
        <f t="shared" si="1008"/>
        <v>M0</v>
      </c>
      <c r="PM15" s="11" t="str">
        <f t="shared" si="1008"/>
        <v>M0</v>
      </c>
      <c r="PN15" s="11" t="str">
        <f t="shared" si="1008"/>
        <v>M0</v>
      </c>
      <c r="PO15" s="11" t="str">
        <f t="shared" si="1008"/>
        <v>M0</v>
      </c>
      <c r="PP15" s="11" t="str">
        <f t="shared" si="1008"/>
        <v>M0</v>
      </c>
      <c r="PQ15" s="11" t="str">
        <f t="shared" si="1008"/>
        <v>M0</v>
      </c>
      <c r="PR15" s="11" t="str">
        <f t="shared" si="1008"/>
        <v>M0</v>
      </c>
      <c r="PS15" s="11" t="str">
        <f t="shared" si="1008"/>
        <v>M0</v>
      </c>
      <c r="PT15" s="11" t="str">
        <f t="shared" si="1008"/>
        <v>M0</v>
      </c>
      <c r="PU15" s="11" t="str">
        <f t="shared" si="1008"/>
        <v>M0</v>
      </c>
      <c r="PV15" s="11" t="str">
        <f t="shared" si="1008"/>
        <v>M0</v>
      </c>
      <c r="PW15" s="11" t="str">
        <f t="shared" si="1008"/>
        <v>M0</v>
      </c>
      <c r="PX15" s="11" t="str">
        <f t="shared" si="1008"/>
        <v>M0</v>
      </c>
      <c r="PY15" s="11" t="str">
        <f t="shared" si="1008"/>
        <v>M1</v>
      </c>
      <c r="PZ15" s="11" t="str">
        <f t="shared" si="1008"/>
        <v>M0</v>
      </c>
      <c r="QA15" s="11" t="str">
        <f t="shared" si="1008"/>
        <v>M0</v>
      </c>
      <c r="QB15" s="11" t="str">
        <f t="shared" si="1008"/>
        <v>M0</v>
      </c>
      <c r="QC15" s="11" t="str">
        <f t="shared" si="1008"/>
        <v>M0</v>
      </c>
      <c r="QD15" s="11" t="str">
        <f t="shared" si="1008"/>
        <v>M0</v>
      </c>
      <c r="QE15" s="11" t="str">
        <f t="shared" si="1008"/>
        <v>M0</v>
      </c>
      <c r="QF15" s="11" t="str">
        <f t="shared" si="1008"/>
        <v>M0</v>
      </c>
      <c r="QG15" s="11" t="str">
        <f t="shared" si="1008"/>
        <v>M0</v>
      </c>
      <c r="QH15" s="11" t="str">
        <f t="shared" si="1008"/>
        <v>M0</v>
      </c>
      <c r="QI15" s="11" t="str">
        <f t="shared" si="1008"/>
        <v>M0</v>
      </c>
      <c r="QJ15" s="11" t="str">
        <f t="shared" si="1008"/>
        <v>M0</v>
      </c>
      <c r="QK15" s="11" t="str">
        <f t="shared" ref="QK15:SV15" si="1009">IF(QK$16="M0","M0", "M1")</f>
        <v>M0</v>
      </c>
      <c r="QL15" s="11" t="str">
        <f t="shared" si="1009"/>
        <v>M0</v>
      </c>
      <c r="QM15" s="11" t="str">
        <f t="shared" si="1009"/>
        <v>M0</v>
      </c>
      <c r="QN15" s="11" t="str">
        <f t="shared" si="1009"/>
        <v>M0</v>
      </c>
      <c r="QO15" s="11" t="str">
        <f t="shared" si="1009"/>
        <v>M0</v>
      </c>
      <c r="QP15" s="11" t="str">
        <f t="shared" si="1009"/>
        <v>M0</v>
      </c>
      <c r="QQ15" s="11" t="str">
        <f t="shared" si="1009"/>
        <v>M0</v>
      </c>
      <c r="QR15" s="11" t="str">
        <f t="shared" si="1009"/>
        <v>M0</v>
      </c>
      <c r="QS15" s="11" t="str">
        <f t="shared" si="1009"/>
        <v>M0</v>
      </c>
      <c r="QT15" s="11" t="str">
        <f t="shared" si="1009"/>
        <v>M0</v>
      </c>
      <c r="QU15" s="11" t="str">
        <f t="shared" si="1009"/>
        <v>M0</v>
      </c>
      <c r="QV15" s="11" t="str">
        <f t="shared" si="1009"/>
        <v>M0</v>
      </c>
      <c r="QW15" s="11" t="str">
        <f t="shared" si="1009"/>
        <v>M0</v>
      </c>
      <c r="QX15" s="11" t="str">
        <f t="shared" si="1009"/>
        <v>M0</v>
      </c>
      <c r="QY15" s="11" t="str">
        <f t="shared" si="1009"/>
        <v>M0</v>
      </c>
      <c r="QZ15" s="11" t="str">
        <f t="shared" si="1009"/>
        <v>M0</v>
      </c>
      <c r="RA15" s="11" t="str">
        <f t="shared" si="1009"/>
        <v>M0</v>
      </c>
      <c r="RB15" s="11" t="str">
        <f t="shared" si="1009"/>
        <v>M0</v>
      </c>
      <c r="RC15" s="11" t="str">
        <f t="shared" si="1009"/>
        <v>M0</v>
      </c>
      <c r="RD15" s="11" t="str">
        <f t="shared" si="1009"/>
        <v>M0</v>
      </c>
      <c r="RE15" s="11" t="str">
        <f t="shared" si="1009"/>
        <v>M0</v>
      </c>
      <c r="RF15" s="11" t="str">
        <f t="shared" si="1009"/>
        <v>M0</v>
      </c>
      <c r="RG15" s="11" t="str">
        <f t="shared" si="1009"/>
        <v>M0</v>
      </c>
      <c r="RH15" s="11" t="str">
        <f t="shared" si="1009"/>
        <v>M0</v>
      </c>
      <c r="RI15" s="11" t="str">
        <f t="shared" si="1009"/>
        <v>M0</v>
      </c>
      <c r="RJ15" s="11" t="str">
        <f t="shared" si="1009"/>
        <v>M0</v>
      </c>
      <c r="RK15" s="11" t="str">
        <f t="shared" si="1009"/>
        <v>M0</v>
      </c>
      <c r="RL15" s="11" t="str">
        <f t="shared" si="1009"/>
        <v>M0</v>
      </c>
      <c r="RM15" s="11" t="str">
        <f t="shared" si="1009"/>
        <v>M0</v>
      </c>
      <c r="RN15" s="11" t="str">
        <f t="shared" si="1009"/>
        <v>M0</v>
      </c>
      <c r="RO15" s="11" t="str">
        <f t="shared" si="1009"/>
        <v>M0</v>
      </c>
      <c r="RP15" s="11" t="str">
        <f t="shared" si="1009"/>
        <v>M0</v>
      </c>
      <c r="RQ15" s="11" t="str">
        <f t="shared" si="1009"/>
        <v>M0</v>
      </c>
      <c r="RR15" s="11" t="str">
        <f t="shared" si="1009"/>
        <v>M0</v>
      </c>
      <c r="RS15" s="11" t="str">
        <f t="shared" si="1009"/>
        <v>M0</v>
      </c>
      <c r="RT15" s="11" t="str">
        <f t="shared" si="1009"/>
        <v>M0</v>
      </c>
      <c r="RU15" s="11" t="str">
        <f t="shared" si="1009"/>
        <v>M0</v>
      </c>
      <c r="RV15" s="11" t="str">
        <f t="shared" si="1009"/>
        <v>M0</v>
      </c>
      <c r="RW15" s="11" t="str">
        <f t="shared" si="1009"/>
        <v>M0</v>
      </c>
      <c r="RX15" s="11" t="str">
        <f t="shared" si="1009"/>
        <v>M0</v>
      </c>
      <c r="RY15" s="11" t="str">
        <f t="shared" si="1009"/>
        <v>M0</v>
      </c>
      <c r="RZ15" s="11" t="str">
        <f t="shared" si="1009"/>
        <v>M0</v>
      </c>
      <c r="SA15" s="11" t="str">
        <f t="shared" si="1009"/>
        <v>M0</v>
      </c>
      <c r="SB15" s="11" t="str">
        <f t="shared" si="1009"/>
        <v>M0</v>
      </c>
      <c r="SC15" s="11" t="str">
        <f t="shared" si="1009"/>
        <v>M0</v>
      </c>
      <c r="SD15" s="11" t="str">
        <f t="shared" si="1009"/>
        <v>M0</v>
      </c>
      <c r="SE15" s="11" t="str">
        <f t="shared" si="1009"/>
        <v>M0</v>
      </c>
      <c r="SF15" s="11" t="str">
        <f t="shared" si="1009"/>
        <v>M0</v>
      </c>
      <c r="SG15" s="11" t="str">
        <f t="shared" si="1009"/>
        <v>M0</v>
      </c>
      <c r="SH15" s="11" t="str">
        <f t="shared" si="1009"/>
        <v>M0</v>
      </c>
      <c r="SI15" s="11" t="str">
        <f t="shared" si="1009"/>
        <v>M0</v>
      </c>
      <c r="SJ15" s="11" t="str">
        <f t="shared" si="1009"/>
        <v>M0</v>
      </c>
      <c r="SK15" s="11" t="str">
        <f t="shared" si="1009"/>
        <v>M0</v>
      </c>
      <c r="SL15" s="11" t="str">
        <f t="shared" si="1009"/>
        <v>M0</v>
      </c>
      <c r="SM15" s="11" t="str">
        <f t="shared" si="1009"/>
        <v>M0</v>
      </c>
      <c r="SN15" s="11" t="str">
        <f t="shared" si="1009"/>
        <v>M0</v>
      </c>
      <c r="SO15" s="11" t="str">
        <f t="shared" si="1009"/>
        <v>M0</v>
      </c>
      <c r="SP15" s="11" t="str">
        <f t="shared" si="1009"/>
        <v>M0</v>
      </c>
      <c r="SQ15" s="11" t="str">
        <f t="shared" si="1009"/>
        <v>M0</v>
      </c>
      <c r="SR15" s="11" t="str">
        <f t="shared" si="1009"/>
        <v>M0</v>
      </c>
      <c r="SS15" s="11" t="str">
        <f t="shared" si="1009"/>
        <v>M0</v>
      </c>
      <c r="ST15" s="11" t="str">
        <f t="shared" si="1009"/>
        <v>M0</v>
      </c>
      <c r="SU15" s="11" t="str">
        <f t="shared" si="1009"/>
        <v>M0</v>
      </c>
      <c r="SV15" s="11" t="str">
        <f t="shared" si="1009"/>
        <v>M0</v>
      </c>
      <c r="SW15" s="11" t="str">
        <f t="shared" ref="SW15:VH15" si="1010">IF(SW$16="M0","M0", "M1")</f>
        <v>M0</v>
      </c>
      <c r="SX15" s="11" t="str">
        <f t="shared" si="1010"/>
        <v>M0</v>
      </c>
      <c r="SY15" s="11" t="str">
        <f t="shared" si="1010"/>
        <v>M1</v>
      </c>
      <c r="SZ15" s="11" t="str">
        <f t="shared" si="1010"/>
        <v>M0</v>
      </c>
      <c r="TA15" s="11" t="str">
        <f t="shared" si="1010"/>
        <v>M0</v>
      </c>
      <c r="TB15" s="11" t="str">
        <f t="shared" si="1010"/>
        <v>M0</v>
      </c>
      <c r="TC15" s="11" t="str">
        <f t="shared" si="1010"/>
        <v>M0</v>
      </c>
      <c r="TD15" s="11" t="str">
        <f t="shared" si="1010"/>
        <v>M0</v>
      </c>
      <c r="TE15" s="11" t="str">
        <f t="shared" si="1010"/>
        <v>M0</v>
      </c>
      <c r="TF15" s="11" t="str">
        <f t="shared" si="1010"/>
        <v>M0</v>
      </c>
      <c r="TG15" s="11" t="str">
        <f t="shared" si="1010"/>
        <v>M0</v>
      </c>
      <c r="TH15" s="11" t="str">
        <f t="shared" si="1010"/>
        <v>M0</v>
      </c>
      <c r="TI15" s="11" t="str">
        <f t="shared" si="1010"/>
        <v>M0</v>
      </c>
      <c r="TJ15" s="11" t="str">
        <f t="shared" si="1010"/>
        <v>M0</v>
      </c>
      <c r="TK15" s="11" t="str">
        <f t="shared" si="1010"/>
        <v>M0</v>
      </c>
      <c r="TL15" s="11" t="str">
        <f t="shared" si="1010"/>
        <v>M0</v>
      </c>
      <c r="TM15" s="11" t="str">
        <f t="shared" si="1010"/>
        <v>M0</v>
      </c>
      <c r="TN15" s="11" t="str">
        <f t="shared" si="1010"/>
        <v>M0</v>
      </c>
      <c r="TO15" s="11" t="str">
        <f t="shared" si="1010"/>
        <v>M0</v>
      </c>
      <c r="TP15" s="11" t="str">
        <f t="shared" si="1010"/>
        <v>M0</v>
      </c>
      <c r="TQ15" s="11" t="str">
        <f t="shared" si="1010"/>
        <v>M0</v>
      </c>
      <c r="TR15" s="11" t="str">
        <f t="shared" si="1010"/>
        <v>M0</v>
      </c>
      <c r="TS15" s="11" t="str">
        <f t="shared" si="1010"/>
        <v>M0</v>
      </c>
      <c r="TT15" s="11" t="str">
        <f t="shared" si="1010"/>
        <v>M0</v>
      </c>
      <c r="TU15" s="11" t="str">
        <f t="shared" si="1010"/>
        <v>M0</v>
      </c>
      <c r="TV15" s="11" t="str">
        <f t="shared" si="1010"/>
        <v>M0</v>
      </c>
      <c r="TW15" s="11" t="str">
        <f t="shared" si="1010"/>
        <v>M0</v>
      </c>
      <c r="TX15" s="11" t="str">
        <f t="shared" si="1010"/>
        <v>M0</v>
      </c>
      <c r="TY15" s="11" t="str">
        <f t="shared" si="1010"/>
        <v>M0</v>
      </c>
      <c r="TZ15" s="11" t="str">
        <f t="shared" si="1010"/>
        <v>M0</v>
      </c>
      <c r="UA15" s="11" t="str">
        <f t="shared" si="1010"/>
        <v>M0</v>
      </c>
      <c r="UB15" s="11" t="str">
        <f t="shared" si="1010"/>
        <v>M0</v>
      </c>
      <c r="UC15" s="11" t="str">
        <f t="shared" si="1010"/>
        <v>M0</v>
      </c>
      <c r="UD15" s="11" t="str">
        <f t="shared" si="1010"/>
        <v>M0</v>
      </c>
      <c r="UE15" s="11" t="str">
        <f t="shared" si="1010"/>
        <v>M0</v>
      </c>
      <c r="UF15" s="11" t="str">
        <f t="shared" si="1010"/>
        <v>M0</v>
      </c>
      <c r="UG15" s="11" t="str">
        <f t="shared" si="1010"/>
        <v>M0</v>
      </c>
      <c r="UH15" s="11" t="str">
        <f t="shared" si="1010"/>
        <v>M0</v>
      </c>
      <c r="UI15" s="11" t="str">
        <f t="shared" si="1010"/>
        <v>M0</v>
      </c>
      <c r="UJ15" s="11" t="str">
        <f t="shared" si="1010"/>
        <v>M0</v>
      </c>
      <c r="UK15" s="11" t="str">
        <f t="shared" si="1010"/>
        <v>M0</v>
      </c>
      <c r="UL15" s="11" t="str">
        <f t="shared" si="1010"/>
        <v>M0</v>
      </c>
      <c r="UM15" s="11" t="str">
        <f t="shared" si="1010"/>
        <v>M0</v>
      </c>
      <c r="UN15" s="11" t="str">
        <f t="shared" si="1010"/>
        <v>M0</v>
      </c>
      <c r="UO15" s="11" t="str">
        <f t="shared" si="1010"/>
        <v>M0</v>
      </c>
      <c r="UP15" s="11" t="str">
        <f t="shared" si="1010"/>
        <v>M0</v>
      </c>
      <c r="UQ15" s="11" t="str">
        <f t="shared" si="1010"/>
        <v>M0</v>
      </c>
      <c r="UR15" s="11" t="str">
        <f t="shared" si="1010"/>
        <v>M0</v>
      </c>
      <c r="US15" s="11" t="str">
        <f t="shared" si="1010"/>
        <v>M0</v>
      </c>
      <c r="UT15" s="11" t="str">
        <f t="shared" si="1010"/>
        <v>M0</v>
      </c>
      <c r="UU15" s="11" t="str">
        <f t="shared" si="1010"/>
        <v>M0</v>
      </c>
      <c r="UV15" s="11" t="str">
        <f t="shared" si="1010"/>
        <v>M0</v>
      </c>
      <c r="UW15" s="11" t="str">
        <f t="shared" si="1010"/>
        <v>M0</v>
      </c>
      <c r="UX15" s="11" t="str">
        <f t="shared" si="1010"/>
        <v>M0</v>
      </c>
      <c r="UY15" s="11" t="str">
        <f t="shared" si="1010"/>
        <v>M0</v>
      </c>
      <c r="UZ15" s="11" t="str">
        <f t="shared" si="1010"/>
        <v>M0</v>
      </c>
      <c r="VA15" s="11" t="str">
        <f t="shared" si="1010"/>
        <v>M0</v>
      </c>
      <c r="VB15" s="11" t="str">
        <f t="shared" si="1010"/>
        <v>M0</v>
      </c>
      <c r="VC15" s="11" t="str">
        <f t="shared" si="1010"/>
        <v>M0</v>
      </c>
      <c r="VD15" s="11" t="str">
        <f t="shared" si="1010"/>
        <v>M0</v>
      </c>
      <c r="VE15" s="11" t="str">
        <f t="shared" si="1010"/>
        <v>M0</v>
      </c>
      <c r="VF15" s="11" t="str">
        <f t="shared" si="1010"/>
        <v>M0</v>
      </c>
      <c r="VG15" s="11" t="str">
        <f t="shared" si="1010"/>
        <v>M0</v>
      </c>
      <c r="VH15" s="11" t="str">
        <f t="shared" si="1010"/>
        <v>M0</v>
      </c>
      <c r="VI15" s="11" t="str">
        <f t="shared" ref="VI15:XT15" si="1011">IF(VI$16="M0","M0", "M1")</f>
        <v>M0</v>
      </c>
      <c r="VJ15" s="11" t="str">
        <f t="shared" si="1011"/>
        <v>M0</v>
      </c>
      <c r="VK15" s="11" t="str">
        <f t="shared" si="1011"/>
        <v>M0</v>
      </c>
      <c r="VL15" s="11" t="str">
        <f t="shared" si="1011"/>
        <v>M0</v>
      </c>
      <c r="VM15" s="11" t="str">
        <f t="shared" si="1011"/>
        <v>M0</v>
      </c>
      <c r="VN15" s="11" t="str">
        <f t="shared" si="1011"/>
        <v>M0</v>
      </c>
      <c r="VO15" s="11" t="str">
        <f t="shared" si="1011"/>
        <v>M1</v>
      </c>
      <c r="VP15" s="11" t="str">
        <f t="shared" si="1011"/>
        <v>M0</v>
      </c>
      <c r="VQ15" s="11" t="str">
        <f t="shared" si="1011"/>
        <v>M0</v>
      </c>
      <c r="VR15" s="11" t="str">
        <f t="shared" si="1011"/>
        <v>M0</v>
      </c>
      <c r="VS15" s="11" t="str">
        <f t="shared" si="1011"/>
        <v>M0</v>
      </c>
      <c r="VT15" s="11" t="str">
        <f t="shared" si="1011"/>
        <v>M0</v>
      </c>
      <c r="VU15" s="11" t="str">
        <f t="shared" si="1011"/>
        <v>M0</v>
      </c>
      <c r="VV15" s="11" t="str">
        <f t="shared" si="1011"/>
        <v>M0</v>
      </c>
      <c r="VW15" s="11" t="str">
        <f t="shared" si="1011"/>
        <v>M0</v>
      </c>
      <c r="VX15" s="11" t="str">
        <f t="shared" si="1011"/>
        <v>M0</v>
      </c>
      <c r="VY15" s="11" t="str">
        <f t="shared" si="1011"/>
        <v>M0</v>
      </c>
      <c r="VZ15" s="11" t="str">
        <f t="shared" si="1011"/>
        <v>M0</v>
      </c>
      <c r="WA15" s="11" t="str">
        <f t="shared" si="1011"/>
        <v>M0</v>
      </c>
      <c r="WB15" s="11" t="str">
        <f t="shared" si="1011"/>
        <v>M0</v>
      </c>
      <c r="WC15" s="11" t="str">
        <f t="shared" si="1011"/>
        <v>M0</v>
      </c>
      <c r="WD15" s="11" t="str">
        <f t="shared" si="1011"/>
        <v>M0</v>
      </c>
      <c r="WE15" s="11" t="str">
        <f t="shared" si="1011"/>
        <v>M0</v>
      </c>
      <c r="WF15" s="11" t="str">
        <f t="shared" si="1011"/>
        <v>M0</v>
      </c>
      <c r="WG15" s="11" t="str">
        <f t="shared" si="1011"/>
        <v>M0</v>
      </c>
      <c r="WH15" s="11" t="str">
        <f t="shared" si="1011"/>
        <v>M0</v>
      </c>
      <c r="WI15" s="11" t="str">
        <f t="shared" si="1011"/>
        <v>M0</v>
      </c>
      <c r="WJ15" s="11" t="str">
        <f t="shared" si="1011"/>
        <v>M0</v>
      </c>
      <c r="WK15" s="11" t="str">
        <f t="shared" si="1011"/>
        <v>M0</v>
      </c>
      <c r="WL15" s="11" t="str">
        <f t="shared" si="1011"/>
        <v>M0</v>
      </c>
      <c r="WM15" s="11" t="str">
        <f t="shared" si="1011"/>
        <v>M0</v>
      </c>
      <c r="WN15" s="11" t="str">
        <f t="shared" si="1011"/>
        <v>M0</v>
      </c>
      <c r="WO15" s="11" t="str">
        <f t="shared" si="1011"/>
        <v>M0</v>
      </c>
      <c r="WP15" s="11" t="str">
        <f t="shared" si="1011"/>
        <v>M0</v>
      </c>
      <c r="WQ15" s="11" t="str">
        <f t="shared" si="1011"/>
        <v>M0</v>
      </c>
      <c r="WR15" s="11" t="str">
        <f t="shared" si="1011"/>
        <v>M0</v>
      </c>
      <c r="WS15" s="11" t="str">
        <f t="shared" si="1011"/>
        <v>M0</v>
      </c>
      <c r="WT15" s="11" t="str">
        <f t="shared" si="1011"/>
        <v>M0</v>
      </c>
      <c r="WU15" s="11" t="str">
        <f t="shared" si="1011"/>
        <v>M0</v>
      </c>
      <c r="WV15" s="11" t="str">
        <f t="shared" si="1011"/>
        <v>M0</v>
      </c>
      <c r="WW15" s="11" t="str">
        <f t="shared" si="1011"/>
        <v>M0</v>
      </c>
      <c r="WX15" s="11" t="str">
        <f t="shared" si="1011"/>
        <v>M0</v>
      </c>
      <c r="WY15" s="11" t="str">
        <f t="shared" si="1011"/>
        <v>M0</v>
      </c>
      <c r="WZ15" s="11" t="str">
        <f t="shared" si="1011"/>
        <v>M1</v>
      </c>
      <c r="XA15" s="11" t="str">
        <f t="shared" si="1011"/>
        <v>M0</v>
      </c>
      <c r="XB15" s="11" t="str">
        <f t="shared" si="1011"/>
        <v>M0</v>
      </c>
      <c r="XC15" s="11" t="str">
        <f t="shared" si="1011"/>
        <v>M0</v>
      </c>
      <c r="XD15" s="11" t="str">
        <f t="shared" si="1011"/>
        <v>M0</v>
      </c>
      <c r="XE15" s="11" t="str">
        <f t="shared" si="1011"/>
        <v>M0</v>
      </c>
      <c r="XF15" s="11" t="str">
        <f t="shared" si="1011"/>
        <v>M0</v>
      </c>
      <c r="XG15" s="11" t="str">
        <f t="shared" si="1011"/>
        <v>M0</v>
      </c>
      <c r="XH15" s="11" t="str">
        <f t="shared" si="1011"/>
        <v>M0</v>
      </c>
      <c r="XI15" s="11" t="str">
        <f t="shared" si="1011"/>
        <v>M0</v>
      </c>
      <c r="XJ15" s="11" t="str">
        <f t="shared" si="1011"/>
        <v>M0</v>
      </c>
      <c r="XK15" s="11" t="str">
        <f t="shared" si="1011"/>
        <v>M0</v>
      </c>
      <c r="XL15" s="11" t="str">
        <f t="shared" si="1011"/>
        <v>M0</v>
      </c>
      <c r="XM15" s="11" t="str">
        <f t="shared" si="1011"/>
        <v>M0</v>
      </c>
      <c r="XN15" s="11" t="str">
        <f t="shared" si="1011"/>
        <v>M0</v>
      </c>
      <c r="XO15" s="11" t="str">
        <f t="shared" si="1011"/>
        <v>M0</v>
      </c>
      <c r="XP15" s="11" t="str">
        <f t="shared" si="1011"/>
        <v>M0</v>
      </c>
      <c r="XQ15" s="11" t="str">
        <f t="shared" si="1011"/>
        <v>M0</v>
      </c>
      <c r="XR15" s="11" t="str">
        <f t="shared" si="1011"/>
        <v>M0</v>
      </c>
      <c r="XS15" s="11" t="str">
        <f t="shared" si="1011"/>
        <v>M0</v>
      </c>
      <c r="XT15" s="11" t="str">
        <f t="shared" si="1011"/>
        <v>M0</v>
      </c>
      <c r="XU15" s="11" t="str">
        <f t="shared" ref="XU15:AAF15" si="1012">IF(XU$16="M0","M0", "M1")</f>
        <v>M0</v>
      </c>
      <c r="XV15" s="11" t="str">
        <f t="shared" si="1012"/>
        <v>M0</v>
      </c>
      <c r="XW15" s="11" t="str">
        <f t="shared" si="1012"/>
        <v>M0</v>
      </c>
      <c r="XX15" s="11" t="str">
        <f t="shared" si="1012"/>
        <v>M0</v>
      </c>
      <c r="XY15" s="11" t="str">
        <f t="shared" si="1012"/>
        <v>M0</v>
      </c>
      <c r="XZ15" s="11" t="str">
        <f t="shared" si="1012"/>
        <v>M0</v>
      </c>
      <c r="YA15" s="11" t="str">
        <f t="shared" si="1012"/>
        <v>M0</v>
      </c>
      <c r="YB15" s="11" t="str">
        <f t="shared" si="1012"/>
        <v>M0</v>
      </c>
      <c r="YC15" s="11" t="str">
        <f t="shared" si="1012"/>
        <v>M0</v>
      </c>
      <c r="YD15" s="11" t="str">
        <f t="shared" si="1012"/>
        <v>M0</v>
      </c>
      <c r="YE15" s="11" t="str">
        <f t="shared" si="1012"/>
        <v>M0</v>
      </c>
      <c r="YF15" s="11" t="str">
        <f t="shared" si="1012"/>
        <v>M0</v>
      </c>
      <c r="YG15" s="11" t="str">
        <f t="shared" si="1012"/>
        <v>M0</v>
      </c>
      <c r="YH15" s="11" t="str">
        <f t="shared" si="1012"/>
        <v>M0</v>
      </c>
      <c r="YI15" s="11" t="str">
        <f t="shared" si="1012"/>
        <v>M0</v>
      </c>
      <c r="YJ15" s="11" t="str">
        <f t="shared" si="1012"/>
        <v>M0</v>
      </c>
      <c r="YK15" s="11" t="str">
        <f t="shared" si="1012"/>
        <v>M0</v>
      </c>
      <c r="YL15" s="11" t="str">
        <f t="shared" si="1012"/>
        <v>M0</v>
      </c>
      <c r="YM15" s="11" t="str">
        <f t="shared" si="1012"/>
        <v>M0</v>
      </c>
      <c r="YN15" s="11" t="str">
        <f t="shared" si="1012"/>
        <v>M0</v>
      </c>
      <c r="YO15" s="11" t="str">
        <f t="shared" si="1012"/>
        <v>M1</v>
      </c>
      <c r="YP15" s="11" t="str">
        <f t="shared" si="1012"/>
        <v>M0</v>
      </c>
      <c r="YQ15" s="11" t="str">
        <f t="shared" si="1012"/>
        <v>M0</v>
      </c>
      <c r="YR15" s="11" t="str">
        <f t="shared" si="1012"/>
        <v>M0</v>
      </c>
      <c r="YS15" s="11" t="str">
        <f t="shared" si="1012"/>
        <v>M0</v>
      </c>
      <c r="YT15" s="11" t="str">
        <f t="shared" si="1012"/>
        <v>M0</v>
      </c>
      <c r="YU15" s="11" t="str">
        <f t="shared" si="1012"/>
        <v>M0</v>
      </c>
      <c r="YV15" s="11" t="str">
        <f t="shared" si="1012"/>
        <v>M0</v>
      </c>
      <c r="YW15" s="11" t="str">
        <f t="shared" si="1012"/>
        <v>M0</v>
      </c>
      <c r="YX15" s="11" t="str">
        <f t="shared" si="1012"/>
        <v>M0</v>
      </c>
      <c r="YY15" s="11" t="str">
        <f t="shared" si="1012"/>
        <v>M0</v>
      </c>
      <c r="YZ15" s="11" t="str">
        <f t="shared" si="1012"/>
        <v>M0</v>
      </c>
      <c r="ZA15" s="11" t="str">
        <f t="shared" si="1012"/>
        <v>M0</v>
      </c>
      <c r="ZB15" s="11" t="str">
        <f t="shared" si="1012"/>
        <v>M0</v>
      </c>
      <c r="ZC15" s="11" t="str">
        <f t="shared" si="1012"/>
        <v>M0</v>
      </c>
      <c r="ZD15" s="11" t="str">
        <f t="shared" si="1012"/>
        <v>M0</v>
      </c>
      <c r="ZE15" s="11" t="str">
        <f t="shared" si="1012"/>
        <v>M0</v>
      </c>
      <c r="ZF15" s="11" t="str">
        <f t="shared" si="1012"/>
        <v>M0</v>
      </c>
      <c r="ZG15" s="11" t="str">
        <f t="shared" si="1012"/>
        <v>M0</v>
      </c>
      <c r="ZH15" s="11" t="str">
        <f t="shared" si="1012"/>
        <v>M1</v>
      </c>
      <c r="ZI15" s="11" t="str">
        <f t="shared" si="1012"/>
        <v>M0</v>
      </c>
      <c r="ZJ15" s="11" t="str">
        <f t="shared" si="1012"/>
        <v>M0</v>
      </c>
      <c r="ZK15" s="11" t="str">
        <f t="shared" si="1012"/>
        <v>M0</v>
      </c>
      <c r="ZL15" s="11" t="str">
        <f t="shared" si="1012"/>
        <v>M0</v>
      </c>
      <c r="ZM15" s="11" t="str">
        <f t="shared" si="1012"/>
        <v>M0</v>
      </c>
      <c r="ZN15" s="11" t="str">
        <f t="shared" si="1012"/>
        <v>M0</v>
      </c>
      <c r="ZO15" s="11" t="str">
        <f t="shared" si="1012"/>
        <v>M0</v>
      </c>
      <c r="ZP15" s="11" t="str">
        <f t="shared" si="1012"/>
        <v>M0</v>
      </c>
      <c r="ZQ15" s="11" t="str">
        <f t="shared" si="1012"/>
        <v>M0</v>
      </c>
      <c r="ZR15" s="11" t="str">
        <f t="shared" si="1012"/>
        <v>M0</v>
      </c>
      <c r="ZS15" s="11" t="str">
        <f t="shared" si="1012"/>
        <v>M0</v>
      </c>
      <c r="ZT15" s="11" t="str">
        <f t="shared" si="1012"/>
        <v>M0</v>
      </c>
      <c r="ZU15" s="11" t="str">
        <f t="shared" si="1012"/>
        <v>M0</v>
      </c>
      <c r="ZV15" s="11" t="str">
        <f t="shared" si="1012"/>
        <v>M0</v>
      </c>
      <c r="ZW15" s="11" t="str">
        <f t="shared" si="1012"/>
        <v>M0</v>
      </c>
      <c r="ZX15" s="11" t="str">
        <f t="shared" si="1012"/>
        <v>M0</v>
      </c>
      <c r="ZY15" s="11" t="str">
        <f t="shared" si="1012"/>
        <v>M0</v>
      </c>
      <c r="ZZ15" s="11" t="str">
        <f t="shared" si="1012"/>
        <v>M0</v>
      </c>
      <c r="AAA15" s="11" t="str">
        <f t="shared" si="1012"/>
        <v>M0</v>
      </c>
      <c r="AAB15" s="11" t="str">
        <f t="shared" si="1012"/>
        <v>M0</v>
      </c>
      <c r="AAC15" s="11" t="str">
        <f t="shared" si="1012"/>
        <v>M0</v>
      </c>
      <c r="AAD15" s="11" t="str">
        <f t="shared" si="1012"/>
        <v>M0</v>
      </c>
      <c r="AAE15" s="11" t="str">
        <f t="shared" si="1012"/>
        <v>M0</v>
      </c>
      <c r="AAF15" s="11" t="str">
        <f t="shared" si="1012"/>
        <v>M0</v>
      </c>
      <c r="AAG15" s="11" t="str">
        <f t="shared" ref="AAG15:ACR15" si="1013">IF(AAG$16="M0","M0", "M1")</f>
        <v>M0</v>
      </c>
      <c r="AAH15" s="11" t="str">
        <f t="shared" si="1013"/>
        <v>M0</v>
      </c>
      <c r="AAI15" s="11" t="str">
        <f t="shared" si="1013"/>
        <v>M0</v>
      </c>
      <c r="AAJ15" s="11" t="str">
        <f t="shared" si="1013"/>
        <v>M0</v>
      </c>
      <c r="AAK15" s="11" t="str">
        <f t="shared" si="1013"/>
        <v>M0</v>
      </c>
      <c r="AAL15" s="11" t="str">
        <f t="shared" si="1013"/>
        <v>M0</v>
      </c>
      <c r="AAM15" s="11" t="str">
        <f t="shared" si="1013"/>
        <v>M0</v>
      </c>
      <c r="AAN15" s="11" t="str">
        <f t="shared" si="1013"/>
        <v>M0</v>
      </c>
      <c r="AAO15" s="11" t="str">
        <f t="shared" si="1013"/>
        <v>M0</v>
      </c>
      <c r="AAP15" s="11" t="str">
        <f t="shared" si="1013"/>
        <v>M0</v>
      </c>
      <c r="AAQ15" s="11" t="str">
        <f t="shared" si="1013"/>
        <v>M0</v>
      </c>
      <c r="AAR15" s="11" t="str">
        <f t="shared" si="1013"/>
        <v>M0</v>
      </c>
      <c r="AAS15" s="11" t="str">
        <f t="shared" si="1013"/>
        <v>M0</v>
      </c>
      <c r="AAT15" s="11" t="str">
        <f t="shared" si="1013"/>
        <v>M0</v>
      </c>
      <c r="AAU15" s="11" t="str">
        <f t="shared" si="1013"/>
        <v>M0</v>
      </c>
      <c r="AAV15" s="11" t="str">
        <f t="shared" si="1013"/>
        <v>M0</v>
      </c>
      <c r="AAW15" s="11" t="str">
        <f t="shared" si="1013"/>
        <v>M0</v>
      </c>
      <c r="AAX15" s="11" t="str">
        <f t="shared" si="1013"/>
        <v>M0</v>
      </c>
      <c r="AAY15" s="11" t="str">
        <f t="shared" si="1013"/>
        <v>M0</v>
      </c>
      <c r="AAZ15" s="11" t="str">
        <f t="shared" si="1013"/>
        <v>M0</v>
      </c>
      <c r="ABA15" s="11" t="str">
        <f t="shared" si="1013"/>
        <v>M0</v>
      </c>
      <c r="ABB15" s="11" t="str">
        <f t="shared" si="1013"/>
        <v>M0</v>
      </c>
      <c r="ABC15" s="11" t="str">
        <f t="shared" si="1013"/>
        <v>M1</v>
      </c>
      <c r="ABD15" s="11" t="str">
        <f t="shared" si="1013"/>
        <v>M0</v>
      </c>
      <c r="ABE15" s="11" t="str">
        <f t="shared" si="1013"/>
        <v>M0</v>
      </c>
      <c r="ABF15" s="11" t="str">
        <f t="shared" si="1013"/>
        <v>M0</v>
      </c>
      <c r="ABG15" s="11" t="str">
        <f t="shared" si="1013"/>
        <v>M0</v>
      </c>
      <c r="ABH15" s="11" t="str">
        <f t="shared" si="1013"/>
        <v>M0</v>
      </c>
      <c r="ABI15" s="11" t="str">
        <f t="shared" si="1013"/>
        <v>M0</v>
      </c>
      <c r="ABJ15" s="11" t="str">
        <f t="shared" si="1013"/>
        <v>M0</v>
      </c>
      <c r="ABK15" s="11" t="str">
        <f t="shared" si="1013"/>
        <v>M0</v>
      </c>
      <c r="ABL15" s="11" t="str">
        <f t="shared" si="1013"/>
        <v>M0</v>
      </c>
      <c r="ABM15" s="11" t="str">
        <f t="shared" si="1013"/>
        <v>M0</v>
      </c>
      <c r="ABN15" s="11" t="str">
        <f t="shared" si="1013"/>
        <v>M0</v>
      </c>
      <c r="ABO15" s="11" t="str">
        <f t="shared" si="1013"/>
        <v>M0</v>
      </c>
      <c r="ABP15" s="11" t="str">
        <f t="shared" si="1013"/>
        <v>M0</v>
      </c>
      <c r="ABQ15" s="11" t="str">
        <f t="shared" si="1013"/>
        <v>M0</v>
      </c>
      <c r="ABR15" s="11" t="str">
        <f t="shared" si="1013"/>
        <v>M0</v>
      </c>
      <c r="ABS15" s="11" t="str">
        <f t="shared" si="1013"/>
        <v>M0</v>
      </c>
      <c r="ABT15" s="11" t="str">
        <f t="shared" si="1013"/>
        <v>M0</v>
      </c>
      <c r="ABU15" s="11" t="str">
        <f t="shared" si="1013"/>
        <v>M0</v>
      </c>
      <c r="ABV15" s="11" t="str">
        <f t="shared" si="1013"/>
        <v>M0</v>
      </c>
      <c r="ABW15" s="11" t="str">
        <f t="shared" si="1013"/>
        <v>M0</v>
      </c>
      <c r="ABX15" s="11" t="str">
        <f t="shared" si="1013"/>
        <v>M0</v>
      </c>
      <c r="ABY15" s="11" t="str">
        <f t="shared" si="1013"/>
        <v>M0</v>
      </c>
      <c r="ABZ15" s="11" t="str">
        <f t="shared" si="1013"/>
        <v>M0</v>
      </c>
      <c r="ACA15" s="11" t="str">
        <f t="shared" si="1013"/>
        <v>M0</v>
      </c>
      <c r="ACB15" s="11" t="str">
        <f t="shared" si="1013"/>
        <v>M0</v>
      </c>
      <c r="ACC15" s="11" t="str">
        <f t="shared" si="1013"/>
        <v>M0</v>
      </c>
      <c r="ACD15" s="11" t="str">
        <f t="shared" si="1013"/>
        <v>M0</v>
      </c>
      <c r="ACE15" s="11" t="str">
        <f t="shared" si="1013"/>
        <v>M0</v>
      </c>
      <c r="ACF15" s="11" t="str">
        <f t="shared" si="1013"/>
        <v>M0</v>
      </c>
      <c r="ACG15" s="11" t="str">
        <f t="shared" si="1013"/>
        <v>M0</v>
      </c>
      <c r="ACH15" s="11" t="str">
        <f t="shared" si="1013"/>
        <v>M0</v>
      </c>
      <c r="ACI15" s="11" t="str">
        <f t="shared" si="1013"/>
        <v>M0</v>
      </c>
      <c r="ACJ15" s="11" t="str">
        <f t="shared" si="1013"/>
        <v>M0</v>
      </c>
      <c r="ACK15" s="11" t="str">
        <f t="shared" si="1013"/>
        <v>M0</v>
      </c>
      <c r="ACL15" s="11" t="str">
        <f t="shared" si="1013"/>
        <v>M0</v>
      </c>
      <c r="ACM15" s="11" t="str">
        <f t="shared" si="1013"/>
        <v>M0</v>
      </c>
      <c r="ACN15" s="11" t="str">
        <f t="shared" si="1013"/>
        <v>M0</v>
      </c>
      <c r="ACO15" s="11" t="str">
        <f t="shared" si="1013"/>
        <v>M0</v>
      </c>
      <c r="ACP15" s="11" t="str">
        <f t="shared" si="1013"/>
        <v>M0</v>
      </c>
      <c r="ACQ15" s="11" t="str">
        <f t="shared" si="1013"/>
        <v>M0</v>
      </c>
      <c r="ACR15" s="11" t="str">
        <f t="shared" si="1013"/>
        <v>M0</v>
      </c>
      <c r="ACS15" s="11" t="str">
        <f t="shared" ref="ACS15:AFD15" si="1014">IF(ACS$16="M0","M0", "M1")</f>
        <v>M0</v>
      </c>
      <c r="ACT15" s="11" t="str">
        <f t="shared" si="1014"/>
        <v>M0</v>
      </c>
      <c r="ACU15" s="11" t="str">
        <f t="shared" si="1014"/>
        <v>M0</v>
      </c>
      <c r="ACV15" s="11" t="str">
        <f t="shared" si="1014"/>
        <v>M0</v>
      </c>
      <c r="ACW15" s="11" t="str">
        <f t="shared" si="1014"/>
        <v>M0</v>
      </c>
      <c r="ACX15" s="11" t="str">
        <f t="shared" si="1014"/>
        <v>M0</v>
      </c>
      <c r="ACY15" s="11" t="str">
        <f t="shared" si="1014"/>
        <v>M0</v>
      </c>
      <c r="ACZ15" s="11" t="str">
        <f t="shared" si="1014"/>
        <v>M0</v>
      </c>
      <c r="ADA15" s="11" t="str">
        <f t="shared" si="1014"/>
        <v>M0</v>
      </c>
      <c r="ADB15" s="11" t="str">
        <f t="shared" si="1014"/>
        <v>M0</v>
      </c>
      <c r="ADC15" s="11" t="str">
        <f t="shared" si="1014"/>
        <v>M0</v>
      </c>
      <c r="ADD15" s="11" t="str">
        <f t="shared" si="1014"/>
        <v>M0</v>
      </c>
      <c r="ADE15" s="11" t="str">
        <f t="shared" si="1014"/>
        <v>M0</v>
      </c>
      <c r="ADF15" s="11" t="str">
        <f t="shared" si="1014"/>
        <v>M0</v>
      </c>
      <c r="ADG15" s="11" t="str">
        <f t="shared" si="1014"/>
        <v>M0</v>
      </c>
      <c r="ADH15" s="11" t="str">
        <f t="shared" si="1014"/>
        <v>M0</v>
      </c>
      <c r="ADI15" s="11" t="str">
        <f t="shared" si="1014"/>
        <v>M0</v>
      </c>
      <c r="ADJ15" s="11" t="str">
        <f t="shared" si="1014"/>
        <v>M0</v>
      </c>
      <c r="ADK15" s="11" t="str">
        <f t="shared" si="1014"/>
        <v>M0</v>
      </c>
      <c r="ADL15" s="11" t="str">
        <f t="shared" si="1014"/>
        <v>M0</v>
      </c>
      <c r="ADM15" s="11" t="str">
        <f t="shared" si="1014"/>
        <v>M0</v>
      </c>
      <c r="ADN15" s="11" t="str">
        <f t="shared" si="1014"/>
        <v>M0</v>
      </c>
      <c r="ADO15" s="11" t="str">
        <f t="shared" si="1014"/>
        <v>M0</v>
      </c>
      <c r="ADP15" s="11" t="str">
        <f t="shared" si="1014"/>
        <v>M0</v>
      </c>
      <c r="ADQ15" s="11" t="str">
        <f t="shared" si="1014"/>
        <v>M0</v>
      </c>
      <c r="ADR15" s="11" t="str">
        <f t="shared" si="1014"/>
        <v>M0</v>
      </c>
      <c r="ADS15" s="11" t="str">
        <f t="shared" si="1014"/>
        <v>M0</v>
      </c>
      <c r="ADT15" s="11" t="str">
        <f t="shared" si="1014"/>
        <v>M0</v>
      </c>
      <c r="ADU15" s="11" t="str">
        <f t="shared" si="1014"/>
        <v>M0</v>
      </c>
      <c r="ADV15" s="11" t="str">
        <f t="shared" si="1014"/>
        <v>M0</v>
      </c>
      <c r="ADW15" s="11" t="str">
        <f t="shared" si="1014"/>
        <v>M0</v>
      </c>
      <c r="ADX15" s="11" t="str">
        <f t="shared" si="1014"/>
        <v>M0</v>
      </c>
      <c r="ADY15" s="11" t="str">
        <f t="shared" si="1014"/>
        <v>M0</v>
      </c>
      <c r="ADZ15" s="11" t="str">
        <f t="shared" si="1014"/>
        <v>M0</v>
      </c>
      <c r="AEA15" s="11" t="str">
        <f t="shared" si="1014"/>
        <v>M0</v>
      </c>
      <c r="AEB15" s="11" t="str">
        <f t="shared" si="1014"/>
        <v>M0</v>
      </c>
      <c r="AEC15" s="11" t="str">
        <f t="shared" si="1014"/>
        <v>M1</v>
      </c>
      <c r="AED15" s="11" t="str">
        <f t="shared" si="1014"/>
        <v>M0</v>
      </c>
      <c r="AEE15" s="11" t="str">
        <f t="shared" si="1014"/>
        <v>M0</v>
      </c>
      <c r="AEF15" s="11" t="str">
        <f t="shared" si="1014"/>
        <v>M0</v>
      </c>
      <c r="AEG15" s="11" t="str">
        <f t="shared" si="1014"/>
        <v>M0</v>
      </c>
      <c r="AEH15" s="11" t="str">
        <f t="shared" si="1014"/>
        <v>M0</v>
      </c>
      <c r="AEI15" s="11" t="str">
        <f t="shared" si="1014"/>
        <v>M0</v>
      </c>
      <c r="AEJ15" s="11" t="str">
        <f t="shared" si="1014"/>
        <v>M0</v>
      </c>
      <c r="AEK15" s="11" t="str">
        <f t="shared" si="1014"/>
        <v>M0</v>
      </c>
      <c r="AEL15" s="11" t="str">
        <f t="shared" si="1014"/>
        <v>M0</v>
      </c>
      <c r="AEM15" s="11" t="str">
        <f t="shared" si="1014"/>
        <v>M0</v>
      </c>
      <c r="AEN15" s="11" t="str">
        <f t="shared" si="1014"/>
        <v>M0</v>
      </c>
      <c r="AEO15" s="11" t="str">
        <f t="shared" si="1014"/>
        <v>M0</v>
      </c>
      <c r="AEP15" s="11" t="str">
        <f t="shared" si="1014"/>
        <v>M0</v>
      </c>
      <c r="AEQ15" s="11" t="str">
        <f t="shared" si="1014"/>
        <v>M0</v>
      </c>
      <c r="AER15" s="11" t="str">
        <f t="shared" si="1014"/>
        <v>M0</v>
      </c>
      <c r="AES15" s="11" t="str">
        <f t="shared" si="1014"/>
        <v>M0</v>
      </c>
      <c r="AET15" s="11" t="str">
        <f t="shared" si="1014"/>
        <v>M0</v>
      </c>
      <c r="AEU15" s="11" t="str">
        <f t="shared" si="1014"/>
        <v>M0</v>
      </c>
      <c r="AEV15" s="11" t="str">
        <f t="shared" si="1014"/>
        <v>M0</v>
      </c>
      <c r="AEW15" s="11" t="str">
        <f t="shared" si="1014"/>
        <v>M0</v>
      </c>
      <c r="AEX15" s="11" t="str">
        <f t="shared" si="1014"/>
        <v>M0</v>
      </c>
      <c r="AEY15" s="11" t="str">
        <f t="shared" si="1014"/>
        <v>M0</v>
      </c>
      <c r="AEZ15" s="11" t="str">
        <f t="shared" si="1014"/>
        <v>M0</v>
      </c>
      <c r="AFA15" s="11" t="str">
        <f t="shared" si="1014"/>
        <v>M0</v>
      </c>
      <c r="AFB15" s="11" t="str">
        <f t="shared" si="1014"/>
        <v>M0</v>
      </c>
      <c r="AFC15" s="11" t="str">
        <f t="shared" si="1014"/>
        <v>M0</v>
      </c>
      <c r="AFD15" s="11" t="str">
        <f t="shared" si="1014"/>
        <v>M0</v>
      </c>
      <c r="AFE15" s="11" t="str">
        <f t="shared" ref="AFE15:AHP15" si="1015">IF(AFE$16="M0","M0", "M1")</f>
        <v>M0</v>
      </c>
      <c r="AFF15" s="11" t="str">
        <f t="shared" si="1015"/>
        <v>M0</v>
      </c>
      <c r="AFG15" s="11" t="str">
        <f t="shared" si="1015"/>
        <v>M0</v>
      </c>
      <c r="AFH15" s="11" t="str">
        <f t="shared" si="1015"/>
        <v>M0</v>
      </c>
      <c r="AFI15" s="11" t="str">
        <f t="shared" si="1015"/>
        <v>M0</v>
      </c>
      <c r="AFJ15" s="11" t="str">
        <f t="shared" si="1015"/>
        <v>M0</v>
      </c>
      <c r="AFK15" s="11" t="str">
        <f t="shared" si="1015"/>
        <v>M0</v>
      </c>
      <c r="AFL15" s="11" t="str">
        <f t="shared" si="1015"/>
        <v>M0</v>
      </c>
      <c r="AFM15" s="11" t="str">
        <f t="shared" si="1015"/>
        <v>M0</v>
      </c>
      <c r="AFN15" s="11" t="str">
        <f t="shared" si="1015"/>
        <v>M0</v>
      </c>
      <c r="AFO15" s="11" t="str">
        <f t="shared" si="1015"/>
        <v>M0</v>
      </c>
      <c r="AFP15" s="11" t="str">
        <f t="shared" si="1015"/>
        <v>M0</v>
      </c>
      <c r="AFQ15" s="11" t="str">
        <f t="shared" si="1015"/>
        <v>M0</v>
      </c>
      <c r="AFR15" s="11" t="str">
        <f t="shared" si="1015"/>
        <v>M0</v>
      </c>
      <c r="AFS15" s="11" t="str">
        <f t="shared" si="1015"/>
        <v>M0</v>
      </c>
      <c r="AFT15" s="11" t="str">
        <f t="shared" si="1015"/>
        <v>M0</v>
      </c>
      <c r="AFU15" s="11" t="str">
        <f t="shared" si="1015"/>
        <v>M0</v>
      </c>
      <c r="AFV15" s="11" t="str">
        <f t="shared" si="1015"/>
        <v>M0</v>
      </c>
      <c r="AFW15" s="11" t="str">
        <f t="shared" si="1015"/>
        <v>M0</v>
      </c>
      <c r="AFX15" s="11" t="str">
        <f t="shared" si="1015"/>
        <v>M0</v>
      </c>
      <c r="AFY15" s="11" t="str">
        <f t="shared" si="1015"/>
        <v>M0</v>
      </c>
      <c r="AFZ15" s="11" t="str">
        <f t="shared" si="1015"/>
        <v>M0</v>
      </c>
      <c r="AGA15" s="11" t="str">
        <f t="shared" si="1015"/>
        <v>M0</v>
      </c>
      <c r="AGB15" s="11" t="str">
        <f t="shared" si="1015"/>
        <v>M0</v>
      </c>
      <c r="AGC15" s="11" t="str">
        <f t="shared" si="1015"/>
        <v>M0</v>
      </c>
      <c r="AGD15" s="11" t="str">
        <f t="shared" si="1015"/>
        <v>M0</v>
      </c>
      <c r="AGE15" s="11" t="str">
        <f t="shared" si="1015"/>
        <v>M0</v>
      </c>
      <c r="AGF15" s="11" t="str">
        <f t="shared" si="1015"/>
        <v>M0</v>
      </c>
      <c r="AGG15" s="11" t="str">
        <f t="shared" si="1015"/>
        <v>M0</v>
      </c>
      <c r="AGH15" s="11" t="str">
        <f t="shared" si="1015"/>
        <v>M0</v>
      </c>
      <c r="AGI15" s="11" t="str">
        <f t="shared" si="1015"/>
        <v>M0</v>
      </c>
      <c r="AGJ15" s="11" t="str">
        <f t="shared" si="1015"/>
        <v>M0</v>
      </c>
      <c r="AGK15" s="11" t="str">
        <f t="shared" si="1015"/>
        <v>M0</v>
      </c>
      <c r="AGL15" s="11" t="str">
        <f t="shared" si="1015"/>
        <v>M0</v>
      </c>
      <c r="AGM15" s="11" t="str">
        <f t="shared" si="1015"/>
        <v>M0</v>
      </c>
      <c r="AGN15" s="11" t="str">
        <f t="shared" si="1015"/>
        <v>M0</v>
      </c>
      <c r="AGO15" s="11" t="str">
        <f t="shared" si="1015"/>
        <v>M0</v>
      </c>
      <c r="AGP15" s="11" t="str">
        <f t="shared" si="1015"/>
        <v>M0</v>
      </c>
      <c r="AGQ15" s="11" t="str">
        <f t="shared" si="1015"/>
        <v>M1</v>
      </c>
      <c r="AGR15" s="11" t="str">
        <f t="shared" si="1015"/>
        <v>M0</v>
      </c>
      <c r="AGS15" s="11" t="str">
        <f t="shared" si="1015"/>
        <v>M0</v>
      </c>
      <c r="AGT15" s="11" t="str">
        <f t="shared" si="1015"/>
        <v>M0</v>
      </c>
      <c r="AGU15" s="11" t="str">
        <f t="shared" si="1015"/>
        <v>M0</v>
      </c>
      <c r="AGV15" s="11" t="str">
        <f t="shared" si="1015"/>
        <v>M0</v>
      </c>
      <c r="AGW15" s="11" t="str">
        <f t="shared" si="1015"/>
        <v>M0</v>
      </c>
      <c r="AGX15" s="11" t="str">
        <f t="shared" si="1015"/>
        <v>M0</v>
      </c>
      <c r="AGY15" s="11" t="str">
        <f t="shared" si="1015"/>
        <v>M0</v>
      </c>
      <c r="AGZ15" s="11" t="str">
        <f t="shared" si="1015"/>
        <v>M0</v>
      </c>
      <c r="AHA15" s="11" t="str">
        <f t="shared" si="1015"/>
        <v>M0</v>
      </c>
      <c r="AHB15" s="11" t="str">
        <f t="shared" si="1015"/>
        <v>M0</v>
      </c>
      <c r="AHC15" s="11" t="str">
        <f t="shared" si="1015"/>
        <v>M0</v>
      </c>
      <c r="AHD15" s="11" t="str">
        <f t="shared" si="1015"/>
        <v>M0</v>
      </c>
      <c r="AHE15" s="11" t="str">
        <f t="shared" si="1015"/>
        <v>M0</v>
      </c>
      <c r="AHF15" s="11" t="str">
        <f t="shared" si="1015"/>
        <v>M0</v>
      </c>
      <c r="AHG15" s="11" t="str">
        <f t="shared" si="1015"/>
        <v>M0</v>
      </c>
      <c r="AHH15" s="11" t="str">
        <f t="shared" si="1015"/>
        <v>M0</v>
      </c>
      <c r="AHI15" s="11" t="str">
        <f t="shared" si="1015"/>
        <v>M0</v>
      </c>
      <c r="AHJ15" s="11" t="str">
        <f t="shared" si="1015"/>
        <v>M0</v>
      </c>
      <c r="AHK15" s="11" t="str">
        <f t="shared" si="1015"/>
        <v>M0</v>
      </c>
      <c r="AHL15" s="11" t="str">
        <f t="shared" si="1015"/>
        <v>M0</v>
      </c>
      <c r="AHM15" s="11" t="str">
        <f t="shared" si="1015"/>
        <v>M0</v>
      </c>
      <c r="AHN15" s="11" t="str">
        <f t="shared" si="1015"/>
        <v>M0</v>
      </c>
      <c r="AHO15" s="11" t="str">
        <f t="shared" si="1015"/>
        <v>M0</v>
      </c>
      <c r="AHP15" s="11" t="str">
        <f t="shared" si="1015"/>
        <v>M0</v>
      </c>
      <c r="AHQ15" s="11" t="str">
        <f t="shared" ref="AHQ15:AKB15" si="1016">IF(AHQ$16="M0","M0", "M1")</f>
        <v>M0</v>
      </c>
      <c r="AHR15" s="11" t="str">
        <f t="shared" si="1016"/>
        <v>M0</v>
      </c>
      <c r="AHS15" s="11" t="str">
        <f t="shared" si="1016"/>
        <v>M0</v>
      </c>
      <c r="AHT15" s="11" t="str">
        <f t="shared" si="1016"/>
        <v>M0</v>
      </c>
      <c r="AHU15" s="11" t="str">
        <f t="shared" si="1016"/>
        <v>M0</v>
      </c>
      <c r="AHV15" s="11" t="str">
        <f t="shared" si="1016"/>
        <v>M0</v>
      </c>
      <c r="AHW15" s="11" t="str">
        <f t="shared" si="1016"/>
        <v>M0</v>
      </c>
      <c r="AHX15" s="11" t="str">
        <f t="shared" si="1016"/>
        <v>M0</v>
      </c>
      <c r="AHY15" s="11" t="str">
        <f t="shared" si="1016"/>
        <v>M0</v>
      </c>
      <c r="AHZ15" s="11" t="str">
        <f t="shared" si="1016"/>
        <v>M0</v>
      </c>
      <c r="AIA15" s="11" t="str">
        <f t="shared" si="1016"/>
        <v>M0</v>
      </c>
      <c r="AIB15" s="11" t="str">
        <f t="shared" si="1016"/>
        <v>M0</v>
      </c>
      <c r="AIC15" s="11" t="str">
        <f t="shared" si="1016"/>
        <v>M0</v>
      </c>
      <c r="AID15" s="11" t="str">
        <f t="shared" si="1016"/>
        <v>M0</v>
      </c>
      <c r="AIE15" s="11" t="str">
        <f t="shared" si="1016"/>
        <v>M0</v>
      </c>
      <c r="AIF15" s="11" t="str">
        <f t="shared" si="1016"/>
        <v>M0</v>
      </c>
      <c r="AIG15" s="11" t="str">
        <f t="shared" si="1016"/>
        <v>M0</v>
      </c>
      <c r="AIH15" s="11" t="str">
        <f t="shared" si="1016"/>
        <v>M0</v>
      </c>
      <c r="AII15" s="11" t="str">
        <f t="shared" si="1016"/>
        <v>M0</v>
      </c>
      <c r="AIJ15" s="11" t="str">
        <f t="shared" si="1016"/>
        <v>M0</v>
      </c>
      <c r="AIK15" s="11" t="str">
        <f t="shared" si="1016"/>
        <v>M0</v>
      </c>
      <c r="AIL15" s="11" t="str">
        <f t="shared" si="1016"/>
        <v>M0</v>
      </c>
      <c r="AIM15" s="11" t="str">
        <f t="shared" si="1016"/>
        <v>M0</v>
      </c>
      <c r="AIN15" s="11" t="str">
        <f t="shared" si="1016"/>
        <v>M0</v>
      </c>
      <c r="AIO15" s="11" t="str">
        <f t="shared" si="1016"/>
        <v>M0</v>
      </c>
      <c r="AIP15" s="11" t="str">
        <f t="shared" si="1016"/>
        <v>M0</v>
      </c>
      <c r="AIQ15" s="11" t="str">
        <f t="shared" si="1016"/>
        <v>M0</v>
      </c>
      <c r="AIR15" s="11" t="str">
        <f t="shared" si="1016"/>
        <v>M0</v>
      </c>
      <c r="AIS15" s="11" t="str">
        <f t="shared" si="1016"/>
        <v>M0</v>
      </c>
      <c r="AIT15" s="11" t="str">
        <f t="shared" si="1016"/>
        <v>M0</v>
      </c>
      <c r="AIU15" s="11" t="str">
        <f t="shared" si="1016"/>
        <v>M0</v>
      </c>
      <c r="AIV15" s="11" t="str">
        <f t="shared" si="1016"/>
        <v>M0</v>
      </c>
      <c r="AIW15" s="11" t="str">
        <f t="shared" si="1016"/>
        <v>M0</v>
      </c>
      <c r="AIX15" s="11" t="str">
        <f t="shared" si="1016"/>
        <v>M0</v>
      </c>
      <c r="AIY15" s="11" t="str">
        <f t="shared" si="1016"/>
        <v>M0</v>
      </c>
      <c r="AIZ15" s="11" t="str">
        <f t="shared" si="1016"/>
        <v>M0</v>
      </c>
      <c r="AJA15" s="11" t="str">
        <f t="shared" si="1016"/>
        <v>M0</v>
      </c>
      <c r="AJB15" s="11" t="str">
        <f t="shared" si="1016"/>
        <v>M0</v>
      </c>
      <c r="AJC15" s="11" t="str">
        <f t="shared" si="1016"/>
        <v>M0</v>
      </c>
      <c r="AJD15" s="11" t="str">
        <f t="shared" si="1016"/>
        <v>M0</v>
      </c>
      <c r="AJE15" s="11" t="str">
        <f t="shared" si="1016"/>
        <v>M0</v>
      </c>
      <c r="AJF15" s="11" t="str">
        <f t="shared" si="1016"/>
        <v>M0</v>
      </c>
      <c r="AJG15" s="11" t="str">
        <f t="shared" si="1016"/>
        <v>M0</v>
      </c>
      <c r="AJH15" s="11" t="str">
        <f t="shared" si="1016"/>
        <v>M0</v>
      </c>
      <c r="AJI15" s="11" t="str">
        <f t="shared" si="1016"/>
        <v>M0</v>
      </c>
      <c r="AJJ15" s="11" t="str">
        <f t="shared" si="1016"/>
        <v>M0</v>
      </c>
      <c r="AJK15" s="11" t="str">
        <f t="shared" si="1016"/>
        <v>M0</v>
      </c>
      <c r="AJL15" s="11" t="str">
        <f t="shared" si="1016"/>
        <v>M0</v>
      </c>
      <c r="AJM15" s="11" t="str">
        <f t="shared" si="1016"/>
        <v>M0</v>
      </c>
      <c r="AJN15" s="11" t="str">
        <f t="shared" si="1016"/>
        <v>M0</v>
      </c>
      <c r="AJO15" s="11" t="str">
        <f t="shared" si="1016"/>
        <v>M0</v>
      </c>
      <c r="AJP15" s="11" t="str">
        <f t="shared" si="1016"/>
        <v>M0</v>
      </c>
      <c r="AJQ15" s="11" t="str">
        <f t="shared" si="1016"/>
        <v>M1</v>
      </c>
      <c r="AJR15" s="11" t="str">
        <f t="shared" si="1016"/>
        <v>M0</v>
      </c>
      <c r="AJS15" s="11" t="str">
        <f t="shared" si="1016"/>
        <v>M0</v>
      </c>
      <c r="AJT15" s="11" t="str">
        <f t="shared" si="1016"/>
        <v>M0</v>
      </c>
      <c r="AJU15" s="11" t="str">
        <f t="shared" si="1016"/>
        <v>M0</v>
      </c>
      <c r="AJV15" s="11" t="str">
        <f t="shared" si="1016"/>
        <v>M0</v>
      </c>
      <c r="AJW15" s="11" t="str">
        <f t="shared" si="1016"/>
        <v>M0</v>
      </c>
      <c r="AJX15" s="11" t="str">
        <f t="shared" si="1016"/>
        <v>M0</v>
      </c>
      <c r="AJY15" s="11" t="str">
        <f t="shared" si="1016"/>
        <v>M0</v>
      </c>
      <c r="AJZ15" s="11" t="str">
        <f t="shared" si="1016"/>
        <v>M0</v>
      </c>
      <c r="AKA15" s="11" t="str">
        <f t="shared" si="1016"/>
        <v>M0</v>
      </c>
      <c r="AKB15" s="11" t="str">
        <f t="shared" si="1016"/>
        <v>M0</v>
      </c>
      <c r="AKC15" s="11" t="str">
        <f t="shared" ref="AKC15:ALW15" si="1017">IF(AKC$16="M0","M0", "M1")</f>
        <v>M0</v>
      </c>
      <c r="AKD15" s="11" t="str">
        <f t="shared" si="1017"/>
        <v>M0</v>
      </c>
      <c r="AKE15" s="11" t="str">
        <f t="shared" si="1017"/>
        <v>M0</v>
      </c>
      <c r="AKF15" s="11" t="str">
        <f t="shared" si="1017"/>
        <v>M0</v>
      </c>
      <c r="AKG15" s="11" t="str">
        <f t="shared" si="1017"/>
        <v>M0</v>
      </c>
      <c r="AKH15" s="11" t="str">
        <f t="shared" si="1017"/>
        <v>M0</v>
      </c>
      <c r="AKI15" s="11" t="str">
        <f t="shared" si="1017"/>
        <v>M0</v>
      </c>
      <c r="AKJ15" s="11" t="str">
        <f t="shared" si="1017"/>
        <v>M0</v>
      </c>
      <c r="AKK15" s="11" t="str">
        <f t="shared" si="1017"/>
        <v>M0</v>
      </c>
      <c r="AKL15" s="11" t="str">
        <f t="shared" si="1017"/>
        <v>M0</v>
      </c>
      <c r="AKM15" s="11" t="str">
        <f t="shared" si="1017"/>
        <v>M0</v>
      </c>
      <c r="AKN15" s="11" t="str">
        <f t="shared" si="1017"/>
        <v>M0</v>
      </c>
      <c r="AKO15" s="11" t="str">
        <f t="shared" si="1017"/>
        <v>M0</v>
      </c>
      <c r="AKP15" s="11" t="str">
        <f t="shared" si="1017"/>
        <v>M0</v>
      </c>
      <c r="AKQ15" s="11" t="str">
        <f t="shared" si="1017"/>
        <v>M0</v>
      </c>
      <c r="AKR15" s="11" t="str">
        <f t="shared" si="1017"/>
        <v>M0</v>
      </c>
      <c r="AKS15" s="11" t="str">
        <f t="shared" si="1017"/>
        <v>M0</v>
      </c>
      <c r="AKT15" s="11" t="str">
        <f t="shared" si="1017"/>
        <v>M0</v>
      </c>
      <c r="AKU15" s="11" t="str">
        <f t="shared" si="1017"/>
        <v>M0</v>
      </c>
      <c r="AKV15" s="11" t="str">
        <f t="shared" si="1017"/>
        <v>M0</v>
      </c>
      <c r="AKW15" s="11" t="str">
        <f t="shared" si="1017"/>
        <v>M0</v>
      </c>
      <c r="AKX15" s="11" t="str">
        <f t="shared" si="1017"/>
        <v>M0</v>
      </c>
      <c r="AKY15" s="11" t="str">
        <f t="shared" si="1017"/>
        <v>M0</v>
      </c>
      <c r="AKZ15" s="11" t="str">
        <f t="shared" si="1017"/>
        <v>M0</v>
      </c>
      <c r="ALA15" s="11" t="str">
        <f t="shared" si="1017"/>
        <v>M0</v>
      </c>
      <c r="ALB15" s="11" t="str">
        <f t="shared" si="1017"/>
        <v>M0</v>
      </c>
      <c r="ALC15" s="11" t="str">
        <f t="shared" si="1017"/>
        <v>M0</v>
      </c>
      <c r="ALD15" s="11" t="str">
        <f t="shared" si="1017"/>
        <v>M0</v>
      </c>
      <c r="ALE15" s="11" t="str">
        <f t="shared" si="1017"/>
        <v>M0</v>
      </c>
      <c r="ALF15" s="11" t="str">
        <f t="shared" si="1017"/>
        <v>M0</v>
      </c>
      <c r="ALG15" s="11" t="str">
        <f t="shared" si="1017"/>
        <v>M0</v>
      </c>
      <c r="ALH15" s="11" t="str">
        <f t="shared" si="1017"/>
        <v>M0</v>
      </c>
      <c r="ALI15" s="11" t="str">
        <f t="shared" si="1017"/>
        <v>M0</v>
      </c>
      <c r="ALJ15" s="11" t="str">
        <f t="shared" si="1017"/>
        <v>M0</v>
      </c>
      <c r="ALK15" s="11" t="str">
        <f t="shared" si="1017"/>
        <v>M0</v>
      </c>
      <c r="ALL15" s="11" t="str">
        <f t="shared" si="1017"/>
        <v>M0</v>
      </c>
      <c r="ALM15" s="11" t="str">
        <f t="shared" si="1017"/>
        <v>M0</v>
      </c>
      <c r="ALN15" s="11" t="str">
        <f t="shared" si="1017"/>
        <v>M0</v>
      </c>
      <c r="ALO15" s="11" t="str">
        <f t="shared" si="1017"/>
        <v>M0</v>
      </c>
      <c r="ALP15" s="11" t="str">
        <f t="shared" si="1017"/>
        <v>M0</v>
      </c>
      <c r="ALQ15" s="11" t="str">
        <f t="shared" si="1017"/>
        <v>M0</v>
      </c>
      <c r="ALR15" s="11" t="str">
        <f t="shared" si="1017"/>
        <v>M0</v>
      </c>
      <c r="ALS15" s="11" t="str">
        <f t="shared" si="1017"/>
        <v>M0</v>
      </c>
      <c r="ALT15" s="11" t="str">
        <f t="shared" si="1017"/>
        <v>M0</v>
      </c>
      <c r="ALU15" s="11" t="str">
        <f t="shared" si="1017"/>
        <v>M0</v>
      </c>
      <c r="ALV15" s="11" t="str">
        <f t="shared" si="1017"/>
        <v>M0</v>
      </c>
      <c r="ALW15" s="11" t="str">
        <f t="shared" si="1017"/>
        <v>M0</v>
      </c>
    </row>
    <row r="16" spans="1:1011" outlineLevel="1" x14ac:dyDescent="0.25">
      <c r="C16" s="5" t="s">
        <v>6</v>
      </c>
      <c r="D16" s="6" t="str">
        <f>IF(D$17="M1","", "M0")</f>
        <v>M0</v>
      </c>
      <c r="E16" s="6" t="str">
        <f t="shared" ref="E16:BP16" si="1018">IF(E$17="M1","", "M0")</f>
        <v>M0</v>
      </c>
      <c r="F16" s="6" t="str">
        <f t="shared" si="1018"/>
        <v>M0</v>
      </c>
      <c r="G16" s="6" t="str">
        <f t="shared" si="1018"/>
        <v>M0</v>
      </c>
      <c r="H16" s="6" t="str">
        <f t="shared" si="1018"/>
        <v>M0</v>
      </c>
      <c r="I16" s="6" t="str">
        <f t="shared" si="1018"/>
        <v>M0</v>
      </c>
      <c r="J16" s="6" t="str">
        <f t="shared" si="1018"/>
        <v>M0</v>
      </c>
      <c r="K16" s="6" t="str">
        <f t="shared" si="1018"/>
        <v/>
      </c>
      <c r="L16" s="6" t="str">
        <f t="shared" si="1018"/>
        <v>M0</v>
      </c>
      <c r="M16" s="6" t="str">
        <f t="shared" si="1018"/>
        <v>M0</v>
      </c>
      <c r="N16" s="6" t="str">
        <f t="shared" si="1018"/>
        <v>M0</v>
      </c>
      <c r="O16" s="6" t="str">
        <f t="shared" si="1018"/>
        <v>M0</v>
      </c>
      <c r="P16" s="6" t="str">
        <f t="shared" si="1018"/>
        <v>M0</v>
      </c>
      <c r="Q16" s="6" t="str">
        <f t="shared" si="1018"/>
        <v>M0</v>
      </c>
      <c r="R16" s="6" t="str">
        <f t="shared" si="1018"/>
        <v>M0</v>
      </c>
      <c r="S16" s="6" t="str">
        <f t="shared" si="1018"/>
        <v>M0</v>
      </c>
      <c r="T16" s="6" t="str">
        <f t="shared" si="1018"/>
        <v>M0</v>
      </c>
      <c r="U16" s="6" t="str">
        <f t="shared" si="1018"/>
        <v>M0</v>
      </c>
      <c r="V16" s="6" t="str">
        <f t="shared" si="1018"/>
        <v>M0</v>
      </c>
      <c r="W16" s="6" t="str">
        <f t="shared" si="1018"/>
        <v>M0</v>
      </c>
      <c r="X16" s="6" t="str">
        <f t="shared" si="1018"/>
        <v>M0</v>
      </c>
      <c r="Y16" s="6" t="str">
        <f t="shared" si="1018"/>
        <v>M0</v>
      </c>
      <c r="Z16" s="6" t="str">
        <f t="shared" si="1018"/>
        <v>M0</v>
      </c>
      <c r="AA16" s="6" t="str">
        <f t="shared" si="1018"/>
        <v>M0</v>
      </c>
      <c r="AB16" s="6" t="str">
        <f t="shared" si="1018"/>
        <v>M0</v>
      </c>
      <c r="AC16" s="6" t="str">
        <f t="shared" si="1018"/>
        <v>M0</v>
      </c>
      <c r="AD16" s="6" t="str">
        <f t="shared" si="1018"/>
        <v>M0</v>
      </c>
      <c r="AE16" s="6" t="str">
        <f t="shared" si="1018"/>
        <v>M0</v>
      </c>
      <c r="AF16" s="6" t="str">
        <f t="shared" si="1018"/>
        <v>M0</v>
      </c>
      <c r="AG16" s="6" t="str">
        <f t="shared" si="1018"/>
        <v>M0</v>
      </c>
      <c r="AH16" s="6" t="str">
        <f t="shared" si="1018"/>
        <v>M0</v>
      </c>
      <c r="AI16" s="6" t="str">
        <f t="shared" si="1018"/>
        <v>M0</v>
      </c>
      <c r="AJ16" s="6" t="str">
        <f t="shared" si="1018"/>
        <v>M0</v>
      </c>
      <c r="AK16" s="6" t="str">
        <f t="shared" si="1018"/>
        <v>M0</v>
      </c>
      <c r="AL16" s="6" t="str">
        <f t="shared" si="1018"/>
        <v>M0</v>
      </c>
      <c r="AM16" s="6" t="str">
        <f t="shared" si="1018"/>
        <v>M0</v>
      </c>
      <c r="AN16" s="6" t="str">
        <f t="shared" si="1018"/>
        <v>M0</v>
      </c>
      <c r="AO16" s="6" t="str">
        <f t="shared" si="1018"/>
        <v>M0</v>
      </c>
      <c r="AP16" s="6" t="str">
        <f t="shared" si="1018"/>
        <v>M0</v>
      </c>
      <c r="AQ16" s="6" t="str">
        <f t="shared" si="1018"/>
        <v>M0</v>
      </c>
      <c r="AR16" s="6" t="str">
        <f t="shared" si="1018"/>
        <v>M0</v>
      </c>
      <c r="AS16" s="6" t="str">
        <f t="shared" si="1018"/>
        <v>M0</v>
      </c>
      <c r="AT16" s="6" t="str">
        <f t="shared" si="1018"/>
        <v>M0</v>
      </c>
      <c r="AU16" s="6" t="str">
        <f t="shared" si="1018"/>
        <v>M0</v>
      </c>
      <c r="AV16" s="6" t="str">
        <f t="shared" si="1018"/>
        <v>M0</v>
      </c>
      <c r="AW16" s="6" t="str">
        <f t="shared" si="1018"/>
        <v>M0</v>
      </c>
      <c r="AX16" s="6" t="str">
        <f t="shared" si="1018"/>
        <v>M0</v>
      </c>
      <c r="AY16" s="6" t="str">
        <f t="shared" si="1018"/>
        <v>M0</v>
      </c>
      <c r="AZ16" s="6" t="str">
        <f t="shared" si="1018"/>
        <v>M0</v>
      </c>
      <c r="BA16" s="6" t="str">
        <f t="shared" si="1018"/>
        <v>M0</v>
      </c>
      <c r="BB16" s="6" t="str">
        <f t="shared" si="1018"/>
        <v>M0</v>
      </c>
      <c r="BC16" s="6" t="str">
        <f t="shared" si="1018"/>
        <v>M0</v>
      </c>
      <c r="BD16" s="6" t="str">
        <f t="shared" si="1018"/>
        <v>M0</v>
      </c>
      <c r="BE16" s="6" t="str">
        <f t="shared" si="1018"/>
        <v>M0</v>
      </c>
      <c r="BF16" s="6" t="str">
        <f t="shared" si="1018"/>
        <v>M0</v>
      </c>
      <c r="BG16" s="6" t="str">
        <f t="shared" si="1018"/>
        <v>M0</v>
      </c>
      <c r="BH16" s="6" t="str">
        <f t="shared" si="1018"/>
        <v>M0</v>
      </c>
      <c r="BI16" s="6" t="str">
        <f t="shared" si="1018"/>
        <v>M0</v>
      </c>
      <c r="BJ16" s="6" t="str">
        <f t="shared" si="1018"/>
        <v>M0</v>
      </c>
      <c r="BK16" s="6" t="str">
        <f t="shared" si="1018"/>
        <v>M0</v>
      </c>
      <c r="BL16" s="6" t="str">
        <f t="shared" si="1018"/>
        <v>M0</v>
      </c>
      <c r="BM16" s="6" t="str">
        <f t="shared" si="1018"/>
        <v>M0</v>
      </c>
      <c r="BN16" s="6" t="str">
        <f t="shared" si="1018"/>
        <v>M0</v>
      </c>
      <c r="BO16" s="6" t="str">
        <f t="shared" si="1018"/>
        <v>M0</v>
      </c>
      <c r="BP16" s="6" t="str">
        <f t="shared" si="1018"/>
        <v>M0</v>
      </c>
      <c r="BQ16" s="6" t="str">
        <f t="shared" ref="BQ16:EB16" si="1019">IF(BQ$17="M1","", "M0")</f>
        <v>M0</v>
      </c>
      <c r="BR16" s="6" t="str">
        <f t="shared" si="1019"/>
        <v>M0</v>
      </c>
      <c r="BS16" s="6" t="str">
        <f t="shared" si="1019"/>
        <v>M0</v>
      </c>
      <c r="BT16" s="6" t="str">
        <f t="shared" si="1019"/>
        <v>M0</v>
      </c>
      <c r="BU16" s="6" t="str">
        <f t="shared" si="1019"/>
        <v>M0</v>
      </c>
      <c r="BV16" s="6" t="str">
        <f t="shared" si="1019"/>
        <v>M0</v>
      </c>
      <c r="BW16" s="6" t="str">
        <f t="shared" si="1019"/>
        <v>M0</v>
      </c>
      <c r="BX16" s="6" t="str">
        <f t="shared" si="1019"/>
        <v>M0</v>
      </c>
      <c r="BY16" s="6" t="str">
        <f t="shared" si="1019"/>
        <v>M0</v>
      </c>
      <c r="BZ16" s="6" t="str">
        <f t="shared" si="1019"/>
        <v>M0</v>
      </c>
      <c r="CA16" s="6" t="str">
        <f t="shared" si="1019"/>
        <v>M0</v>
      </c>
      <c r="CB16" s="6" t="str">
        <f t="shared" si="1019"/>
        <v>M0</v>
      </c>
      <c r="CC16" s="6" t="str">
        <f t="shared" si="1019"/>
        <v>M0</v>
      </c>
      <c r="CD16" s="6" t="str">
        <f t="shared" si="1019"/>
        <v>M0</v>
      </c>
      <c r="CE16" s="6" t="str">
        <f t="shared" si="1019"/>
        <v>M0</v>
      </c>
      <c r="CF16" s="6" t="str">
        <f t="shared" si="1019"/>
        <v>M0</v>
      </c>
      <c r="CG16" s="6" t="str">
        <f t="shared" si="1019"/>
        <v>M0</v>
      </c>
      <c r="CH16" s="6" t="str">
        <f t="shared" si="1019"/>
        <v>M0</v>
      </c>
      <c r="CI16" s="6" t="str">
        <f t="shared" si="1019"/>
        <v>M0</v>
      </c>
      <c r="CJ16" s="6" t="str">
        <f t="shared" si="1019"/>
        <v>M0</v>
      </c>
      <c r="CK16" s="6" t="str">
        <f t="shared" si="1019"/>
        <v/>
      </c>
      <c r="CL16" s="6" t="str">
        <f t="shared" si="1019"/>
        <v>M0</v>
      </c>
      <c r="CM16" s="6" t="str">
        <f t="shared" si="1019"/>
        <v>M0</v>
      </c>
      <c r="CN16" s="6" t="str">
        <f t="shared" si="1019"/>
        <v>M0</v>
      </c>
      <c r="CO16" s="6" t="str">
        <f t="shared" si="1019"/>
        <v>M0</v>
      </c>
      <c r="CP16" s="6" t="str">
        <f t="shared" si="1019"/>
        <v>M0</v>
      </c>
      <c r="CQ16" s="6" t="str">
        <f t="shared" si="1019"/>
        <v>M0</v>
      </c>
      <c r="CR16" s="6" t="str">
        <f t="shared" si="1019"/>
        <v>M0</v>
      </c>
      <c r="CS16" s="6" t="str">
        <f t="shared" si="1019"/>
        <v>M0</v>
      </c>
      <c r="CT16" s="6" t="str">
        <f t="shared" si="1019"/>
        <v>M0</v>
      </c>
      <c r="CU16" s="6" t="str">
        <f t="shared" si="1019"/>
        <v>M0</v>
      </c>
      <c r="CV16" s="6" t="str">
        <f t="shared" si="1019"/>
        <v>M0</v>
      </c>
      <c r="CW16" s="6" t="str">
        <f t="shared" si="1019"/>
        <v>M0</v>
      </c>
      <c r="CX16" s="6" t="str">
        <f t="shared" si="1019"/>
        <v>M0</v>
      </c>
      <c r="CY16" s="6" t="str">
        <f t="shared" si="1019"/>
        <v>M0</v>
      </c>
      <c r="CZ16" s="6" t="str">
        <f t="shared" si="1019"/>
        <v>M0</v>
      </c>
      <c r="DA16" s="6" t="str">
        <f t="shared" si="1019"/>
        <v>M0</v>
      </c>
      <c r="DB16" s="6" t="str">
        <f t="shared" si="1019"/>
        <v>M0</v>
      </c>
      <c r="DC16" s="6" t="str">
        <f t="shared" si="1019"/>
        <v>M0</v>
      </c>
      <c r="DD16" s="6" t="str">
        <f t="shared" si="1019"/>
        <v>M0</v>
      </c>
      <c r="DE16" s="6" t="str">
        <f t="shared" si="1019"/>
        <v>M0</v>
      </c>
      <c r="DF16" s="6" t="str">
        <f t="shared" si="1019"/>
        <v>M0</v>
      </c>
      <c r="DG16" s="6" t="str">
        <f t="shared" si="1019"/>
        <v>M0</v>
      </c>
      <c r="DH16" s="6" t="str">
        <f t="shared" si="1019"/>
        <v>M0</v>
      </c>
      <c r="DI16" s="6" t="str">
        <f t="shared" si="1019"/>
        <v>M0</v>
      </c>
      <c r="DJ16" s="6" t="str">
        <f t="shared" si="1019"/>
        <v>M0</v>
      </c>
      <c r="DK16" s="6" t="str">
        <f t="shared" si="1019"/>
        <v>M0</v>
      </c>
      <c r="DL16" s="6" t="str">
        <f t="shared" si="1019"/>
        <v>M0</v>
      </c>
      <c r="DM16" s="6" t="str">
        <f t="shared" si="1019"/>
        <v>M0</v>
      </c>
      <c r="DN16" s="6" t="str">
        <f t="shared" si="1019"/>
        <v>M0</v>
      </c>
      <c r="DO16" s="6" t="str">
        <f t="shared" si="1019"/>
        <v>M0</v>
      </c>
      <c r="DP16" s="6" t="str">
        <f t="shared" si="1019"/>
        <v>M0</v>
      </c>
      <c r="DQ16" s="6" t="str">
        <f t="shared" si="1019"/>
        <v>M0</v>
      </c>
      <c r="DR16" s="6" t="str">
        <f t="shared" si="1019"/>
        <v>M0</v>
      </c>
      <c r="DS16" s="6" t="str">
        <f t="shared" si="1019"/>
        <v>M0</v>
      </c>
      <c r="DT16" s="6" t="str">
        <f t="shared" si="1019"/>
        <v>M0</v>
      </c>
      <c r="DU16" s="6" t="str">
        <f t="shared" si="1019"/>
        <v>M0</v>
      </c>
      <c r="DV16" s="6" t="str">
        <f t="shared" si="1019"/>
        <v>M0</v>
      </c>
      <c r="DW16" s="6" t="str">
        <f t="shared" si="1019"/>
        <v>M0</v>
      </c>
      <c r="DX16" s="6" t="str">
        <f t="shared" si="1019"/>
        <v>M0</v>
      </c>
      <c r="DY16" s="6" t="str">
        <f t="shared" si="1019"/>
        <v>M0</v>
      </c>
      <c r="DZ16" s="6" t="str">
        <f t="shared" si="1019"/>
        <v>M0</v>
      </c>
      <c r="EA16" s="6" t="str">
        <f t="shared" si="1019"/>
        <v>M0</v>
      </c>
      <c r="EB16" s="6" t="str">
        <f t="shared" si="1019"/>
        <v>M0</v>
      </c>
      <c r="EC16" s="6" t="str">
        <f t="shared" ref="EC16:GN16" si="1020">IF(EC$17="M1","", "M0")</f>
        <v>M0</v>
      </c>
      <c r="ED16" s="6" t="str">
        <f t="shared" si="1020"/>
        <v>M0</v>
      </c>
      <c r="EE16" s="6" t="str">
        <f t="shared" si="1020"/>
        <v>M0</v>
      </c>
      <c r="EF16" s="6" t="str">
        <f t="shared" si="1020"/>
        <v>M0</v>
      </c>
      <c r="EG16" s="6" t="str">
        <f t="shared" si="1020"/>
        <v>M0</v>
      </c>
      <c r="EH16" s="6" t="str">
        <f t="shared" si="1020"/>
        <v>M0</v>
      </c>
      <c r="EI16" s="6" t="str">
        <f t="shared" si="1020"/>
        <v>M0</v>
      </c>
      <c r="EJ16" s="6" t="str">
        <f t="shared" si="1020"/>
        <v>M0</v>
      </c>
      <c r="EK16" s="6" t="str">
        <f t="shared" si="1020"/>
        <v>M0</v>
      </c>
      <c r="EL16" s="6" t="str">
        <f t="shared" si="1020"/>
        <v>M0</v>
      </c>
      <c r="EM16" s="6" t="str">
        <f t="shared" si="1020"/>
        <v>M0</v>
      </c>
      <c r="EN16" s="6" t="str">
        <f t="shared" si="1020"/>
        <v>M0</v>
      </c>
      <c r="EO16" s="6" t="str">
        <f t="shared" si="1020"/>
        <v>M0</v>
      </c>
      <c r="EP16" s="6" t="str">
        <f t="shared" si="1020"/>
        <v>M0</v>
      </c>
      <c r="EQ16" s="6" t="str">
        <f t="shared" si="1020"/>
        <v>M0</v>
      </c>
      <c r="ER16" s="6" t="str">
        <f t="shared" si="1020"/>
        <v>M0</v>
      </c>
      <c r="ES16" s="6" t="str">
        <f t="shared" si="1020"/>
        <v>M0</v>
      </c>
      <c r="ET16" s="6" t="str">
        <f t="shared" si="1020"/>
        <v>M0</v>
      </c>
      <c r="EU16" s="6" t="str">
        <f t="shared" si="1020"/>
        <v>M0</v>
      </c>
      <c r="EV16" s="6" t="str">
        <f t="shared" si="1020"/>
        <v>M0</v>
      </c>
      <c r="EW16" s="6" t="str">
        <f t="shared" si="1020"/>
        <v>M0</v>
      </c>
      <c r="EX16" s="6" t="str">
        <f t="shared" si="1020"/>
        <v>M0</v>
      </c>
      <c r="EY16" s="6" t="str">
        <f t="shared" si="1020"/>
        <v>M0</v>
      </c>
      <c r="EZ16" s="6" t="str">
        <f t="shared" si="1020"/>
        <v>M0</v>
      </c>
      <c r="FA16" s="6" t="str">
        <f t="shared" si="1020"/>
        <v>M0</v>
      </c>
      <c r="FB16" s="6" t="str">
        <f t="shared" si="1020"/>
        <v>M0</v>
      </c>
      <c r="FC16" s="6" t="str">
        <f t="shared" si="1020"/>
        <v>M0</v>
      </c>
      <c r="FD16" s="6" t="str">
        <f t="shared" si="1020"/>
        <v>M0</v>
      </c>
      <c r="FE16" s="6" t="str">
        <f t="shared" si="1020"/>
        <v>M0</v>
      </c>
      <c r="FF16" s="6" t="str">
        <f t="shared" si="1020"/>
        <v>M0</v>
      </c>
      <c r="FG16" s="6" t="str">
        <f t="shared" si="1020"/>
        <v>M0</v>
      </c>
      <c r="FH16" s="6" t="str">
        <f t="shared" si="1020"/>
        <v>M0</v>
      </c>
      <c r="FI16" s="6" t="str">
        <f t="shared" si="1020"/>
        <v>M0</v>
      </c>
      <c r="FJ16" s="6" t="str">
        <f t="shared" si="1020"/>
        <v>M0</v>
      </c>
      <c r="FK16" s="6" t="str">
        <f t="shared" si="1020"/>
        <v>M0</v>
      </c>
      <c r="FL16" s="6" t="str">
        <f t="shared" si="1020"/>
        <v>M0</v>
      </c>
      <c r="FM16" s="6" t="str">
        <f t="shared" si="1020"/>
        <v>M0</v>
      </c>
      <c r="FN16" s="6" t="str">
        <f t="shared" si="1020"/>
        <v>M0</v>
      </c>
      <c r="FO16" s="6" t="str">
        <f t="shared" si="1020"/>
        <v>M0</v>
      </c>
      <c r="FP16" s="6" t="str">
        <f t="shared" si="1020"/>
        <v>M0</v>
      </c>
      <c r="FQ16" s="6" t="str">
        <f t="shared" si="1020"/>
        <v>M0</v>
      </c>
      <c r="FR16" s="6" t="str">
        <f t="shared" si="1020"/>
        <v>M0</v>
      </c>
      <c r="FS16" s="6" t="str">
        <f t="shared" si="1020"/>
        <v>M0</v>
      </c>
      <c r="FT16" s="6" t="str">
        <f t="shared" si="1020"/>
        <v>M0</v>
      </c>
      <c r="FU16" s="6" t="str">
        <f t="shared" si="1020"/>
        <v>M0</v>
      </c>
      <c r="FV16" s="6" t="str">
        <f t="shared" si="1020"/>
        <v>M0</v>
      </c>
      <c r="FW16" s="6" t="str">
        <f t="shared" si="1020"/>
        <v>M0</v>
      </c>
      <c r="FX16" s="6" t="str">
        <f t="shared" si="1020"/>
        <v>M0</v>
      </c>
      <c r="FY16" s="6" t="str">
        <f t="shared" si="1020"/>
        <v>M0</v>
      </c>
      <c r="FZ16" s="6" t="str">
        <f t="shared" si="1020"/>
        <v>M0</v>
      </c>
      <c r="GA16" s="6" t="str">
        <f t="shared" si="1020"/>
        <v>M0</v>
      </c>
      <c r="GB16" s="6" t="str">
        <f t="shared" si="1020"/>
        <v>M0</v>
      </c>
      <c r="GC16" s="6" t="str">
        <f t="shared" si="1020"/>
        <v>M0</v>
      </c>
      <c r="GD16" s="6" t="str">
        <f t="shared" si="1020"/>
        <v>M0</v>
      </c>
      <c r="GE16" s="6" t="str">
        <f t="shared" si="1020"/>
        <v>M0</v>
      </c>
      <c r="GF16" s="6" t="str">
        <f t="shared" si="1020"/>
        <v>M0</v>
      </c>
      <c r="GG16" s="6" t="str">
        <f t="shared" si="1020"/>
        <v>M0</v>
      </c>
      <c r="GH16" s="6" t="str">
        <f t="shared" si="1020"/>
        <v>M0</v>
      </c>
      <c r="GI16" s="6" t="str">
        <f t="shared" si="1020"/>
        <v>M0</v>
      </c>
      <c r="GJ16" s="6" t="str">
        <f t="shared" si="1020"/>
        <v>M0</v>
      </c>
      <c r="GK16" s="6" t="str">
        <f t="shared" si="1020"/>
        <v>M0</v>
      </c>
      <c r="GL16" s="6" t="str">
        <f t="shared" si="1020"/>
        <v>M0</v>
      </c>
      <c r="GM16" s="6" t="str">
        <f t="shared" si="1020"/>
        <v>M0</v>
      </c>
      <c r="GN16" s="6" t="str">
        <f t="shared" si="1020"/>
        <v>M0</v>
      </c>
      <c r="GO16" s="6" t="str">
        <f t="shared" ref="GO16:IZ16" si="1021">IF(GO$17="M1","", "M0")</f>
        <v>M0</v>
      </c>
      <c r="GP16" s="6" t="str">
        <f t="shared" si="1021"/>
        <v>M0</v>
      </c>
      <c r="GQ16" s="6" t="str">
        <f t="shared" si="1021"/>
        <v>M0</v>
      </c>
      <c r="GR16" s="6" t="str">
        <f t="shared" si="1021"/>
        <v>M0</v>
      </c>
      <c r="GS16" s="6" t="str">
        <f t="shared" si="1021"/>
        <v>M0</v>
      </c>
      <c r="GT16" s="6" t="str">
        <f t="shared" si="1021"/>
        <v>M0</v>
      </c>
      <c r="GU16" s="6" t="str">
        <f t="shared" si="1021"/>
        <v>M0</v>
      </c>
      <c r="GV16" s="6" t="str">
        <f t="shared" si="1021"/>
        <v>M0</v>
      </c>
      <c r="GW16" s="6" t="str">
        <f t="shared" si="1021"/>
        <v>M0</v>
      </c>
      <c r="GX16" s="6" t="str">
        <f t="shared" si="1021"/>
        <v>M0</v>
      </c>
      <c r="GY16" s="6" t="str">
        <f t="shared" si="1021"/>
        <v>M0</v>
      </c>
      <c r="GZ16" s="6" t="str">
        <f t="shared" si="1021"/>
        <v>M0</v>
      </c>
      <c r="HA16" s="6" t="str">
        <f t="shared" si="1021"/>
        <v>M0</v>
      </c>
      <c r="HB16" s="6" t="str">
        <f t="shared" si="1021"/>
        <v>M0</v>
      </c>
      <c r="HC16" s="6" t="str">
        <f t="shared" si="1021"/>
        <v>M0</v>
      </c>
      <c r="HD16" s="6" t="str">
        <f t="shared" si="1021"/>
        <v>M0</v>
      </c>
      <c r="HE16" s="6" t="str">
        <f t="shared" si="1021"/>
        <v>M0</v>
      </c>
      <c r="HF16" s="6" t="str">
        <f t="shared" si="1021"/>
        <v>M0</v>
      </c>
      <c r="HG16" s="6" t="str">
        <f t="shared" si="1021"/>
        <v>M0</v>
      </c>
      <c r="HH16" s="6" t="str">
        <f t="shared" si="1021"/>
        <v>M0</v>
      </c>
      <c r="HI16" s="6" t="str">
        <f t="shared" si="1021"/>
        <v>M0</v>
      </c>
      <c r="HJ16" s="6" t="str">
        <f t="shared" si="1021"/>
        <v>M0</v>
      </c>
      <c r="HK16" s="6" t="str">
        <f t="shared" si="1021"/>
        <v>M0</v>
      </c>
      <c r="HL16" s="6" t="str">
        <f t="shared" si="1021"/>
        <v>M0</v>
      </c>
      <c r="HM16" s="6" t="str">
        <f t="shared" si="1021"/>
        <v>M0</v>
      </c>
      <c r="HN16" s="6" t="str">
        <f t="shared" si="1021"/>
        <v>M0</v>
      </c>
      <c r="HO16" s="6" t="str">
        <f t="shared" si="1021"/>
        <v>M0</v>
      </c>
      <c r="HP16" s="6" t="str">
        <f t="shared" si="1021"/>
        <v>M0</v>
      </c>
      <c r="HQ16" s="6" t="str">
        <f t="shared" si="1021"/>
        <v>M0</v>
      </c>
      <c r="HR16" s="6" t="str">
        <f t="shared" si="1021"/>
        <v>M0</v>
      </c>
      <c r="HS16" s="6" t="str">
        <f t="shared" si="1021"/>
        <v>M0</v>
      </c>
      <c r="HT16" s="6" t="str">
        <f t="shared" si="1021"/>
        <v>M0</v>
      </c>
      <c r="HU16" s="6" t="str">
        <f t="shared" si="1021"/>
        <v>M0</v>
      </c>
      <c r="HV16" s="6" t="str">
        <f t="shared" si="1021"/>
        <v>M0</v>
      </c>
      <c r="HW16" s="6" t="str">
        <f t="shared" si="1021"/>
        <v>M0</v>
      </c>
      <c r="HX16" s="6" t="str">
        <f t="shared" si="1021"/>
        <v>M0</v>
      </c>
      <c r="HY16" s="6" t="str">
        <f t="shared" si="1021"/>
        <v>M0</v>
      </c>
      <c r="HZ16" s="6" t="str">
        <f t="shared" si="1021"/>
        <v>M0</v>
      </c>
      <c r="IA16" s="6" t="str">
        <f t="shared" si="1021"/>
        <v>M0</v>
      </c>
      <c r="IB16" s="6" t="str">
        <f t="shared" si="1021"/>
        <v>M0</v>
      </c>
      <c r="IC16" s="6" t="str">
        <f t="shared" si="1021"/>
        <v>M0</v>
      </c>
      <c r="ID16" s="6" t="str">
        <f t="shared" si="1021"/>
        <v>M0</v>
      </c>
      <c r="IE16" s="6" t="str">
        <f t="shared" si="1021"/>
        <v>M0</v>
      </c>
      <c r="IF16" s="6" t="str">
        <f t="shared" si="1021"/>
        <v>M0</v>
      </c>
      <c r="IG16" s="6" t="str">
        <f t="shared" si="1021"/>
        <v>M0</v>
      </c>
      <c r="IH16" s="6" t="str">
        <f t="shared" si="1021"/>
        <v>M0</v>
      </c>
      <c r="II16" s="6" t="str">
        <f t="shared" si="1021"/>
        <v>M0</v>
      </c>
      <c r="IJ16" s="6" t="str">
        <f t="shared" si="1021"/>
        <v>M0</v>
      </c>
      <c r="IK16" s="6" t="str">
        <f t="shared" si="1021"/>
        <v>M0</v>
      </c>
      <c r="IL16" s="6" t="str">
        <f t="shared" si="1021"/>
        <v>M0</v>
      </c>
      <c r="IM16" s="6" t="str">
        <f t="shared" si="1021"/>
        <v>M0</v>
      </c>
      <c r="IN16" s="6" t="str">
        <f t="shared" si="1021"/>
        <v>M0</v>
      </c>
      <c r="IO16" s="6" t="str">
        <f t="shared" si="1021"/>
        <v>M0</v>
      </c>
      <c r="IP16" s="6" t="str">
        <f t="shared" si="1021"/>
        <v>M0</v>
      </c>
      <c r="IQ16" s="6" t="str">
        <f t="shared" si="1021"/>
        <v>M0</v>
      </c>
      <c r="IR16" s="6" t="str">
        <f t="shared" si="1021"/>
        <v>M0</v>
      </c>
      <c r="IS16" s="6" t="str">
        <f t="shared" si="1021"/>
        <v>M0</v>
      </c>
      <c r="IT16" s="6" t="str">
        <f t="shared" si="1021"/>
        <v>M0</v>
      </c>
      <c r="IU16" s="6" t="str">
        <f t="shared" si="1021"/>
        <v>M0</v>
      </c>
      <c r="IV16" s="6" t="str">
        <f t="shared" si="1021"/>
        <v>M0</v>
      </c>
      <c r="IW16" s="6" t="str">
        <f t="shared" si="1021"/>
        <v>M0</v>
      </c>
      <c r="IX16" s="6" t="str">
        <f t="shared" si="1021"/>
        <v>M0</v>
      </c>
      <c r="IY16" s="6" t="str">
        <f t="shared" si="1021"/>
        <v>M0</v>
      </c>
      <c r="IZ16" s="6" t="str">
        <f t="shared" si="1021"/>
        <v>M0</v>
      </c>
      <c r="JA16" s="6" t="str">
        <f t="shared" ref="JA16:LL16" si="1022">IF(JA$17="M1","", "M0")</f>
        <v>M0</v>
      </c>
      <c r="JB16" s="6" t="str">
        <f t="shared" si="1022"/>
        <v>M0</v>
      </c>
      <c r="JC16" s="6" t="str">
        <f t="shared" si="1022"/>
        <v>M0</v>
      </c>
      <c r="JD16" s="6" t="str">
        <f t="shared" si="1022"/>
        <v>M0</v>
      </c>
      <c r="JE16" s="6" t="str">
        <f t="shared" si="1022"/>
        <v>M0</v>
      </c>
      <c r="JF16" s="6" t="str">
        <f t="shared" si="1022"/>
        <v>M0</v>
      </c>
      <c r="JG16" s="6" t="str">
        <f t="shared" si="1022"/>
        <v>M0</v>
      </c>
      <c r="JH16" s="6" t="str">
        <f t="shared" si="1022"/>
        <v>M0</v>
      </c>
      <c r="JI16" s="6" t="str">
        <f t="shared" si="1022"/>
        <v>M0</v>
      </c>
      <c r="JJ16" s="6" t="str">
        <f t="shared" si="1022"/>
        <v>M0</v>
      </c>
      <c r="JK16" s="6" t="str">
        <f t="shared" si="1022"/>
        <v>M0</v>
      </c>
      <c r="JL16" s="6" t="str">
        <f t="shared" si="1022"/>
        <v>M0</v>
      </c>
      <c r="JM16" s="6" t="str">
        <f t="shared" si="1022"/>
        <v>M0</v>
      </c>
      <c r="JN16" s="6" t="str">
        <f t="shared" si="1022"/>
        <v>M0</v>
      </c>
      <c r="JO16" s="6" t="str">
        <f t="shared" si="1022"/>
        <v>M0</v>
      </c>
      <c r="JP16" s="6" t="str">
        <f t="shared" si="1022"/>
        <v>M0</v>
      </c>
      <c r="JQ16" s="6" t="str">
        <f t="shared" si="1022"/>
        <v>M0</v>
      </c>
      <c r="JR16" s="6" t="str">
        <f t="shared" si="1022"/>
        <v>M0</v>
      </c>
      <c r="JS16" s="6" t="str">
        <f t="shared" si="1022"/>
        <v>M0</v>
      </c>
      <c r="JT16" s="6" t="str">
        <f t="shared" si="1022"/>
        <v>M0</v>
      </c>
      <c r="JU16" s="6" t="str">
        <f t="shared" si="1022"/>
        <v>M0</v>
      </c>
      <c r="JV16" s="6" t="str">
        <f t="shared" si="1022"/>
        <v>M0</v>
      </c>
      <c r="JW16" s="6" t="str">
        <f t="shared" si="1022"/>
        <v>M0</v>
      </c>
      <c r="JX16" s="6" t="str">
        <f t="shared" si="1022"/>
        <v>M0</v>
      </c>
      <c r="JY16" s="6" t="str">
        <f t="shared" si="1022"/>
        <v>M0</v>
      </c>
      <c r="JZ16" s="6" t="str">
        <f t="shared" si="1022"/>
        <v>M0</v>
      </c>
      <c r="KA16" s="6" t="str">
        <f t="shared" si="1022"/>
        <v>M0</v>
      </c>
      <c r="KB16" s="6" t="str">
        <f t="shared" si="1022"/>
        <v>M0</v>
      </c>
      <c r="KC16" s="6" t="str">
        <f t="shared" si="1022"/>
        <v>M0</v>
      </c>
      <c r="KD16" s="6" t="str">
        <f t="shared" si="1022"/>
        <v>M0</v>
      </c>
      <c r="KE16" s="6" t="str">
        <f t="shared" si="1022"/>
        <v>M0</v>
      </c>
      <c r="KF16" s="6" t="str">
        <f t="shared" si="1022"/>
        <v>M0</v>
      </c>
      <c r="KG16" s="6" t="str">
        <f t="shared" si="1022"/>
        <v>M0</v>
      </c>
      <c r="KH16" s="6" t="str">
        <f t="shared" si="1022"/>
        <v>M0</v>
      </c>
      <c r="KI16" s="6" t="str">
        <f t="shared" si="1022"/>
        <v>M0</v>
      </c>
      <c r="KJ16" s="6" t="str">
        <f t="shared" si="1022"/>
        <v>M0</v>
      </c>
      <c r="KK16" s="6" t="str">
        <f t="shared" si="1022"/>
        <v>M0</v>
      </c>
      <c r="KL16" s="6" t="str">
        <f t="shared" si="1022"/>
        <v>M0</v>
      </c>
      <c r="KM16" s="6" t="str">
        <f t="shared" si="1022"/>
        <v/>
      </c>
      <c r="KN16" s="6" t="str">
        <f t="shared" si="1022"/>
        <v>M0</v>
      </c>
      <c r="KO16" s="6" t="str">
        <f t="shared" si="1022"/>
        <v>M0</v>
      </c>
      <c r="KP16" s="6" t="str">
        <f t="shared" si="1022"/>
        <v>M0</v>
      </c>
      <c r="KQ16" s="6" t="str">
        <f t="shared" si="1022"/>
        <v>M0</v>
      </c>
      <c r="KR16" s="6" t="str">
        <f t="shared" si="1022"/>
        <v>M0</v>
      </c>
      <c r="KS16" s="6" t="str">
        <f t="shared" si="1022"/>
        <v>M0</v>
      </c>
      <c r="KT16" s="6" t="str">
        <f t="shared" si="1022"/>
        <v>M0</v>
      </c>
      <c r="KU16" s="6" t="str">
        <f t="shared" si="1022"/>
        <v>M0</v>
      </c>
      <c r="KV16" s="6" t="str">
        <f t="shared" si="1022"/>
        <v>M0</v>
      </c>
      <c r="KW16" s="6" t="str">
        <f t="shared" si="1022"/>
        <v>M0</v>
      </c>
      <c r="KX16" s="6" t="str">
        <f t="shared" si="1022"/>
        <v>M0</v>
      </c>
      <c r="KY16" s="6" t="str">
        <f t="shared" si="1022"/>
        <v>M0</v>
      </c>
      <c r="KZ16" s="6" t="str">
        <f t="shared" si="1022"/>
        <v>M0</v>
      </c>
      <c r="LA16" s="6" t="str">
        <f t="shared" si="1022"/>
        <v>M0</v>
      </c>
      <c r="LB16" s="6" t="str">
        <f t="shared" si="1022"/>
        <v>M0</v>
      </c>
      <c r="LC16" s="6" t="str">
        <f t="shared" si="1022"/>
        <v>M0</v>
      </c>
      <c r="LD16" s="6" t="str">
        <f t="shared" si="1022"/>
        <v>M0</v>
      </c>
      <c r="LE16" s="6" t="str">
        <f t="shared" si="1022"/>
        <v>M0</v>
      </c>
      <c r="LF16" s="6" t="str">
        <f t="shared" si="1022"/>
        <v>M0</v>
      </c>
      <c r="LG16" s="6" t="str">
        <f t="shared" si="1022"/>
        <v>M0</v>
      </c>
      <c r="LH16" s="6" t="str">
        <f t="shared" si="1022"/>
        <v>M0</v>
      </c>
      <c r="LI16" s="6" t="str">
        <f t="shared" si="1022"/>
        <v>M0</v>
      </c>
      <c r="LJ16" s="6" t="str">
        <f t="shared" si="1022"/>
        <v>M0</v>
      </c>
      <c r="LK16" s="6" t="str">
        <f t="shared" si="1022"/>
        <v>M0</v>
      </c>
      <c r="LL16" s="6" t="str">
        <f t="shared" si="1022"/>
        <v>M0</v>
      </c>
      <c r="LM16" s="6" t="str">
        <f t="shared" ref="LM16:NX16" si="1023">IF(LM$17="M1","", "M0")</f>
        <v>M0</v>
      </c>
      <c r="LN16" s="6" t="str">
        <f t="shared" si="1023"/>
        <v>M0</v>
      </c>
      <c r="LO16" s="6" t="str">
        <f t="shared" si="1023"/>
        <v>M0</v>
      </c>
      <c r="LP16" s="6" t="str">
        <f t="shared" si="1023"/>
        <v>M0</v>
      </c>
      <c r="LQ16" s="6" t="str">
        <f t="shared" si="1023"/>
        <v>M0</v>
      </c>
      <c r="LR16" s="6" t="str">
        <f t="shared" si="1023"/>
        <v>M0</v>
      </c>
      <c r="LS16" s="6" t="str">
        <f t="shared" si="1023"/>
        <v>M0</v>
      </c>
      <c r="LT16" s="6" t="str">
        <f t="shared" si="1023"/>
        <v>M0</v>
      </c>
      <c r="LU16" s="6" t="str">
        <f t="shared" si="1023"/>
        <v>M0</v>
      </c>
      <c r="LV16" s="6" t="str">
        <f t="shared" si="1023"/>
        <v>M0</v>
      </c>
      <c r="LW16" s="6" t="str">
        <f t="shared" si="1023"/>
        <v>M0</v>
      </c>
      <c r="LX16" s="6" t="str">
        <f t="shared" si="1023"/>
        <v>M0</v>
      </c>
      <c r="LY16" s="6" t="str">
        <f t="shared" si="1023"/>
        <v>M0</v>
      </c>
      <c r="LZ16" s="6" t="str">
        <f t="shared" si="1023"/>
        <v>M0</v>
      </c>
      <c r="MA16" s="6" t="str">
        <f t="shared" si="1023"/>
        <v>M0</v>
      </c>
      <c r="MB16" s="6" t="str">
        <f t="shared" si="1023"/>
        <v>M0</v>
      </c>
      <c r="MC16" s="6" t="str">
        <f t="shared" si="1023"/>
        <v>M0</v>
      </c>
      <c r="MD16" s="6" t="str">
        <f t="shared" si="1023"/>
        <v>M0</v>
      </c>
      <c r="ME16" s="6" t="str">
        <f t="shared" si="1023"/>
        <v>M0</v>
      </c>
      <c r="MF16" s="6" t="str">
        <f t="shared" si="1023"/>
        <v>M0</v>
      </c>
      <c r="MG16" s="6" t="str">
        <f t="shared" si="1023"/>
        <v>M0</v>
      </c>
      <c r="MH16" s="6" t="str">
        <f t="shared" si="1023"/>
        <v>M0</v>
      </c>
      <c r="MI16" s="6" t="str">
        <f t="shared" si="1023"/>
        <v>M0</v>
      </c>
      <c r="MJ16" s="6" t="str">
        <f t="shared" si="1023"/>
        <v>M0</v>
      </c>
      <c r="MK16" s="6" t="str">
        <f t="shared" si="1023"/>
        <v>M0</v>
      </c>
      <c r="ML16" s="6" t="str">
        <f t="shared" si="1023"/>
        <v>M0</v>
      </c>
      <c r="MM16" s="6" t="str">
        <f t="shared" si="1023"/>
        <v>M0</v>
      </c>
      <c r="MN16" s="6" t="str">
        <f t="shared" si="1023"/>
        <v>M0</v>
      </c>
      <c r="MO16" s="6" t="str">
        <f t="shared" si="1023"/>
        <v>M0</v>
      </c>
      <c r="MP16" s="6" t="str">
        <f t="shared" si="1023"/>
        <v>M0</v>
      </c>
      <c r="MQ16" s="6" t="str">
        <f t="shared" si="1023"/>
        <v>M0</v>
      </c>
      <c r="MR16" s="6" t="str">
        <f t="shared" si="1023"/>
        <v>M0</v>
      </c>
      <c r="MS16" s="6" t="str">
        <f t="shared" si="1023"/>
        <v>M0</v>
      </c>
      <c r="MT16" s="6" t="str">
        <f t="shared" si="1023"/>
        <v>M0</v>
      </c>
      <c r="MU16" s="6" t="str">
        <f t="shared" si="1023"/>
        <v>M0</v>
      </c>
      <c r="MV16" s="6" t="str">
        <f t="shared" si="1023"/>
        <v>M0</v>
      </c>
      <c r="MW16" s="6" t="str">
        <f t="shared" si="1023"/>
        <v>M0</v>
      </c>
      <c r="MX16" s="6" t="str">
        <f t="shared" si="1023"/>
        <v>M0</v>
      </c>
      <c r="MY16" s="6" t="str">
        <f t="shared" si="1023"/>
        <v>M0</v>
      </c>
      <c r="MZ16" s="6" t="str">
        <f t="shared" si="1023"/>
        <v>M0</v>
      </c>
      <c r="NA16" s="6" t="str">
        <f t="shared" si="1023"/>
        <v>M0</v>
      </c>
      <c r="NB16" s="6" t="str">
        <f t="shared" si="1023"/>
        <v>M0</v>
      </c>
      <c r="NC16" s="6" t="str">
        <f t="shared" si="1023"/>
        <v>M0</v>
      </c>
      <c r="ND16" s="6" t="str">
        <f t="shared" si="1023"/>
        <v>M0</v>
      </c>
      <c r="NE16" s="6" t="str">
        <f t="shared" si="1023"/>
        <v>M0</v>
      </c>
      <c r="NF16" s="6" t="str">
        <f t="shared" si="1023"/>
        <v>M0</v>
      </c>
      <c r="NG16" s="6" t="str">
        <f t="shared" si="1023"/>
        <v>M0</v>
      </c>
      <c r="NH16" s="6" t="str">
        <f t="shared" si="1023"/>
        <v>M0</v>
      </c>
      <c r="NI16" s="6" t="str">
        <f t="shared" si="1023"/>
        <v>M0</v>
      </c>
      <c r="NJ16" s="6" t="str">
        <f t="shared" si="1023"/>
        <v>M0</v>
      </c>
      <c r="NK16" s="6" t="str">
        <f t="shared" si="1023"/>
        <v>M0</v>
      </c>
      <c r="NL16" s="6" t="str">
        <f t="shared" si="1023"/>
        <v>M0</v>
      </c>
      <c r="NM16" s="6" t="str">
        <f t="shared" si="1023"/>
        <v/>
      </c>
      <c r="NN16" s="6" t="str">
        <f t="shared" si="1023"/>
        <v>M0</v>
      </c>
      <c r="NO16" s="6" t="str">
        <f t="shared" si="1023"/>
        <v>M0</v>
      </c>
      <c r="NP16" s="6" t="str">
        <f t="shared" si="1023"/>
        <v>M0</v>
      </c>
      <c r="NQ16" s="6" t="str">
        <f t="shared" si="1023"/>
        <v>M0</v>
      </c>
      <c r="NR16" s="6" t="str">
        <f t="shared" si="1023"/>
        <v>M0</v>
      </c>
      <c r="NS16" s="6" t="str">
        <f t="shared" si="1023"/>
        <v>M0</v>
      </c>
      <c r="NT16" s="6" t="str">
        <f t="shared" si="1023"/>
        <v>M0</v>
      </c>
      <c r="NU16" s="6" t="str">
        <f t="shared" si="1023"/>
        <v>M0</v>
      </c>
      <c r="NV16" s="6" t="str">
        <f t="shared" si="1023"/>
        <v>M0</v>
      </c>
      <c r="NW16" s="6" t="str">
        <f t="shared" si="1023"/>
        <v>M0</v>
      </c>
      <c r="NX16" s="6" t="str">
        <f t="shared" si="1023"/>
        <v>M0</v>
      </c>
      <c r="NY16" s="6" t="str">
        <f t="shared" ref="NY16:QJ16" si="1024">IF(NY$17="M1","", "M0")</f>
        <v>M0</v>
      </c>
      <c r="NZ16" s="6" t="str">
        <f t="shared" si="1024"/>
        <v>M0</v>
      </c>
      <c r="OA16" s="6" t="str">
        <f t="shared" si="1024"/>
        <v>M0</v>
      </c>
      <c r="OB16" s="6" t="str">
        <f t="shared" si="1024"/>
        <v>M0</v>
      </c>
      <c r="OC16" s="6" t="str">
        <f t="shared" si="1024"/>
        <v>M0</v>
      </c>
      <c r="OD16" s="6" t="str">
        <f t="shared" si="1024"/>
        <v>M0</v>
      </c>
      <c r="OE16" s="6" t="str">
        <f t="shared" si="1024"/>
        <v>M0</v>
      </c>
      <c r="OF16" s="6" t="str">
        <f t="shared" si="1024"/>
        <v>M0</v>
      </c>
      <c r="OG16" s="6" t="str">
        <f t="shared" si="1024"/>
        <v>M0</v>
      </c>
      <c r="OH16" s="6" t="str">
        <f t="shared" si="1024"/>
        <v>M0</v>
      </c>
      <c r="OI16" s="6" t="str">
        <f t="shared" si="1024"/>
        <v>M0</v>
      </c>
      <c r="OJ16" s="6" t="str">
        <f t="shared" si="1024"/>
        <v>M0</v>
      </c>
      <c r="OK16" s="6" t="str">
        <f t="shared" si="1024"/>
        <v>M0</v>
      </c>
      <c r="OL16" s="6" t="str">
        <f t="shared" si="1024"/>
        <v>M0</v>
      </c>
      <c r="OM16" s="6" t="str">
        <f t="shared" si="1024"/>
        <v>M0</v>
      </c>
      <c r="ON16" s="6" t="str">
        <f t="shared" si="1024"/>
        <v>M0</v>
      </c>
      <c r="OO16" s="6" t="str">
        <f t="shared" si="1024"/>
        <v>M0</v>
      </c>
      <c r="OP16" s="6" t="str">
        <f t="shared" si="1024"/>
        <v>M0</v>
      </c>
      <c r="OQ16" s="6" t="str">
        <f t="shared" si="1024"/>
        <v>M0</v>
      </c>
      <c r="OR16" s="6" t="str">
        <f t="shared" si="1024"/>
        <v>M0</v>
      </c>
      <c r="OS16" s="6" t="str">
        <f t="shared" si="1024"/>
        <v>M0</v>
      </c>
      <c r="OT16" s="6" t="str">
        <f t="shared" si="1024"/>
        <v>M0</v>
      </c>
      <c r="OU16" s="6" t="str">
        <f t="shared" si="1024"/>
        <v>M0</v>
      </c>
      <c r="OV16" s="6" t="str">
        <f t="shared" si="1024"/>
        <v>M0</v>
      </c>
      <c r="OW16" s="6" t="str">
        <f t="shared" si="1024"/>
        <v>M0</v>
      </c>
      <c r="OX16" s="6" t="str">
        <f t="shared" si="1024"/>
        <v>M0</v>
      </c>
      <c r="OY16" s="6" t="str">
        <f t="shared" si="1024"/>
        <v>M0</v>
      </c>
      <c r="OZ16" s="6" t="str">
        <f t="shared" si="1024"/>
        <v>M0</v>
      </c>
      <c r="PA16" s="6" t="str">
        <f t="shared" si="1024"/>
        <v>M0</v>
      </c>
      <c r="PB16" s="6" t="str">
        <f t="shared" si="1024"/>
        <v>M0</v>
      </c>
      <c r="PC16" s="6" t="str">
        <f t="shared" si="1024"/>
        <v>M0</v>
      </c>
      <c r="PD16" s="6" t="str">
        <f t="shared" si="1024"/>
        <v>M0</v>
      </c>
      <c r="PE16" s="6" t="str">
        <f t="shared" si="1024"/>
        <v>M0</v>
      </c>
      <c r="PF16" s="6" t="str">
        <f t="shared" si="1024"/>
        <v>M0</v>
      </c>
      <c r="PG16" s="6" t="str">
        <f t="shared" si="1024"/>
        <v>M0</v>
      </c>
      <c r="PH16" s="6" t="str">
        <f t="shared" si="1024"/>
        <v>M0</v>
      </c>
      <c r="PI16" s="6" t="str">
        <f t="shared" si="1024"/>
        <v>M0</v>
      </c>
      <c r="PJ16" s="6" t="str">
        <f t="shared" si="1024"/>
        <v>M0</v>
      </c>
      <c r="PK16" s="6" t="str">
        <f t="shared" si="1024"/>
        <v>M0</v>
      </c>
      <c r="PL16" s="6" t="str">
        <f t="shared" si="1024"/>
        <v>M0</v>
      </c>
      <c r="PM16" s="6" t="str">
        <f t="shared" si="1024"/>
        <v>M0</v>
      </c>
      <c r="PN16" s="6" t="str">
        <f t="shared" si="1024"/>
        <v>M0</v>
      </c>
      <c r="PO16" s="6" t="str">
        <f t="shared" si="1024"/>
        <v>M0</v>
      </c>
      <c r="PP16" s="6" t="str">
        <f t="shared" si="1024"/>
        <v>M0</v>
      </c>
      <c r="PQ16" s="6" t="str">
        <f t="shared" si="1024"/>
        <v>M0</v>
      </c>
      <c r="PR16" s="6" t="str">
        <f t="shared" si="1024"/>
        <v>M0</v>
      </c>
      <c r="PS16" s="6" t="str">
        <f t="shared" si="1024"/>
        <v>M0</v>
      </c>
      <c r="PT16" s="6" t="str">
        <f t="shared" si="1024"/>
        <v>M0</v>
      </c>
      <c r="PU16" s="6" t="str">
        <f t="shared" si="1024"/>
        <v>M0</v>
      </c>
      <c r="PV16" s="6" t="str">
        <f t="shared" si="1024"/>
        <v>M0</v>
      </c>
      <c r="PW16" s="6" t="str">
        <f t="shared" si="1024"/>
        <v>M0</v>
      </c>
      <c r="PX16" s="6" t="str">
        <f t="shared" si="1024"/>
        <v>M0</v>
      </c>
      <c r="PY16" s="6" t="str">
        <f t="shared" si="1024"/>
        <v/>
      </c>
      <c r="PZ16" s="6" t="str">
        <f t="shared" si="1024"/>
        <v>M0</v>
      </c>
      <c r="QA16" s="6" t="str">
        <f t="shared" si="1024"/>
        <v>M0</v>
      </c>
      <c r="QB16" s="6" t="str">
        <f t="shared" si="1024"/>
        <v>M0</v>
      </c>
      <c r="QC16" s="6" t="str">
        <f t="shared" si="1024"/>
        <v>M0</v>
      </c>
      <c r="QD16" s="6" t="str">
        <f t="shared" si="1024"/>
        <v>M0</v>
      </c>
      <c r="QE16" s="6" t="str">
        <f t="shared" si="1024"/>
        <v>M0</v>
      </c>
      <c r="QF16" s="6" t="str">
        <f t="shared" si="1024"/>
        <v>M0</v>
      </c>
      <c r="QG16" s="6" t="str">
        <f t="shared" si="1024"/>
        <v>M0</v>
      </c>
      <c r="QH16" s="6" t="str">
        <f t="shared" si="1024"/>
        <v>M0</v>
      </c>
      <c r="QI16" s="6" t="str">
        <f t="shared" si="1024"/>
        <v>M0</v>
      </c>
      <c r="QJ16" s="6" t="str">
        <f t="shared" si="1024"/>
        <v>M0</v>
      </c>
      <c r="QK16" s="6" t="str">
        <f t="shared" ref="QK16:SV16" si="1025">IF(QK$17="M1","", "M0")</f>
        <v>M0</v>
      </c>
      <c r="QL16" s="6" t="str">
        <f t="shared" si="1025"/>
        <v>M0</v>
      </c>
      <c r="QM16" s="6" t="str">
        <f t="shared" si="1025"/>
        <v>M0</v>
      </c>
      <c r="QN16" s="6" t="str">
        <f t="shared" si="1025"/>
        <v>M0</v>
      </c>
      <c r="QO16" s="6" t="str">
        <f t="shared" si="1025"/>
        <v>M0</v>
      </c>
      <c r="QP16" s="6" t="str">
        <f t="shared" si="1025"/>
        <v>M0</v>
      </c>
      <c r="QQ16" s="6" t="str">
        <f t="shared" si="1025"/>
        <v>M0</v>
      </c>
      <c r="QR16" s="6" t="str">
        <f t="shared" si="1025"/>
        <v>M0</v>
      </c>
      <c r="QS16" s="6" t="str">
        <f t="shared" si="1025"/>
        <v>M0</v>
      </c>
      <c r="QT16" s="6" t="str">
        <f t="shared" si="1025"/>
        <v>M0</v>
      </c>
      <c r="QU16" s="6" t="str">
        <f t="shared" si="1025"/>
        <v>M0</v>
      </c>
      <c r="QV16" s="6" t="str">
        <f t="shared" si="1025"/>
        <v>M0</v>
      </c>
      <c r="QW16" s="6" t="str">
        <f t="shared" si="1025"/>
        <v>M0</v>
      </c>
      <c r="QX16" s="6" t="str">
        <f t="shared" si="1025"/>
        <v>M0</v>
      </c>
      <c r="QY16" s="6" t="str">
        <f t="shared" si="1025"/>
        <v>M0</v>
      </c>
      <c r="QZ16" s="6" t="str">
        <f t="shared" si="1025"/>
        <v>M0</v>
      </c>
      <c r="RA16" s="6" t="str">
        <f t="shared" si="1025"/>
        <v>M0</v>
      </c>
      <c r="RB16" s="6" t="str">
        <f t="shared" si="1025"/>
        <v>M0</v>
      </c>
      <c r="RC16" s="6" t="str">
        <f t="shared" si="1025"/>
        <v>M0</v>
      </c>
      <c r="RD16" s="6" t="str">
        <f t="shared" si="1025"/>
        <v>M0</v>
      </c>
      <c r="RE16" s="6" t="str">
        <f t="shared" si="1025"/>
        <v>M0</v>
      </c>
      <c r="RF16" s="6" t="str">
        <f t="shared" si="1025"/>
        <v>M0</v>
      </c>
      <c r="RG16" s="6" t="str">
        <f t="shared" si="1025"/>
        <v>M0</v>
      </c>
      <c r="RH16" s="6" t="str">
        <f t="shared" si="1025"/>
        <v>M0</v>
      </c>
      <c r="RI16" s="6" t="str">
        <f t="shared" si="1025"/>
        <v>M0</v>
      </c>
      <c r="RJ16" s="6" t="str">
        <f t="shared" si="1025"/>
        <v>M0</v>
      </c>
      <c r="RK16" s="6" t="str">
        <f t="shared" si="1025"/>
        <v>M0</v>
      </c>
      <c r="RL16" s="6" t="str">
        <f t="shared" si="1025"/>
        <v>M0</v>
      </c>
      <c r="RM16" s="6" t="str">
        <f t="shared" si="1025"/>
        <v>M0</v>
      </c>
      <c r="RN16" s="6" t="str">
        <f t="shared" si="1025"/>
        <v>M0</v>
      </c>
      <c r="RO16" s="6" t="str">
        <f t="shared" si="1025"/>
        <v>M0</v>
      </c>
      <c r="RP16" s="6" t="str">
        <f t="shared" si="1025"/>
        <v>M0</v>
      </c>
      <c r="RQ16" s="6" t="str">
        <f t="shared" si="1025"/>
        <v>M0</v>
      </c>
      <c r="RR16" s="6" t="str">
        <f t="shared" si="1025"/>
        <v>M0</v>
      </c>
      <c r="RS16" s="6" t="str">
        <f t="shared" si="1025"/>
        <v>M0</v>
      </c>
      <c r="RT16" s="6" t="str">
        <f t="shared" si="1025"/>
        <v>M0</v>
      </c>
      <c r="RU16" s="6" t="str">
        <f t="shared" si="1025"/>
        <v>M0</v>
      </c>
      <c r="RV16" s="6" t="str">
        <f t="shared" si="1025"/>
        <v>M0</v>
      </c>
      <c r="RW16" s="6" t="str">
        <f t="shared" si="1025"/>
        <v>M0</v>
      </c>
      <c r="RX16" s="6" t="str">
        <f t="shared" si="1025"/>
        <v>M0</v>
      </c>
      <c r="RY16" s="6" t="str">
        <f t="shared" si="1025"/>
        <v>M0</v>
      </c>
      <c r="RZ16" s="6" t="str">
        <f t="shared" si="1025"/>
        <v>M0</v>
      </c>
      <c r="SA16" s="6" t="str">
        <f t="shared" si="1025"/>
        <v>M0</v>
      </c>
      <c r="SB16" s="6" t="str">
        <f t="shared" si="1025"/>
        <v>M0</v>
      </c>
      <c r="SC16" s="6" t="str">
        <f t="shared" si="1025"/>
        <v>M0</v>
      </c>
      <c r="SD16" s="6" t="str">
        <f t="shared" si="1025"/>
        <v>M0</v>
      </c>
      <c r="SE16" s="6" t="str">
        <f t="shared" si="1025"/>
        <v>M0</v>
      </c>
      <c r="SF16" s="6" t="str">
        <f t="shared" si="1025"/>
        <v>M0</v>
      </c>
      <c r="SG16" s="6" t="str">
        <f t="shared" si="1025"/>
        <v>M0</v>
      </c>
      <c r="SH16" s="6" t="str">
        <f t="shared" si="1025"/>
        <v>M0</v>
      </c>
      <c r="SI16" s="6" t="str">
        <f t="shared" si="1025"/>
        <v>M0</v>
      </c>
      <c r="SJ16" s="6" t="str">
        <f t="shared" si="1025"/>
        <v>M0</v>
      </c>
      <c r="SK16" s="6" t="str">
        <f t="shared" si="1025"/>
        <v>M0</v>
      </c>
      <c r="SL16" s="6" t="str">
        <f t="shared" si="1025"/>
        <v>M0</v>
      </c>
      <c r="SM16" s="6" t="str">
        <f t="shared" si="1025"/>
        <v>M0</v>
      </c>
      <c r="SN16" s="6" t="str">
        <f t="shared" si="1025"/>
        <v>M0</v>
      </c>
      <c r="SO16" s="6" t="str">
        <f t="shared" si="1025"/>
        <v>M0</v>
      </c>
      <c r="SP16" s="6" t="str">
        <f t="shared" si="1025"/>
        <v>M0</v>
      </c>
      <c r="SQ16" s="6" t="str">
        <f t="shared" si="1025"/>
        <v>M0</v>
      </c>
      <c r="SR16" s="6" t="str">
        <f t="shared" si="1025"/>
        <v>M0</v>
      </c>
      <c r="SS16" s="6" t="str">
        <f t="shared" si="1025"/>
        <v>M0</v>
      </c>
      <c r="ST16" s="6" t="str">
        <f t="shared" si="1025"/>
        <v>M0</v>
      </c>
      <c r="SU16" s="6" t="str">
        <f t="shared" si="1025"/>
        <v>M0</v>
      </c>
      <c r="SV16" s="6" t="str">
        <f t="shared" si="1025"/>
        <v>M0</v>
      </c>
      <c r="SW16" s="6" t="str">
        <f t="shared" ref="SW16:VH16" si="1026">IF(SW$17="M1","", "M0")</f>
        <v>M0</v>
      </c>
      <c r="SX16" s="6" t="str">
        <f t="shared" si="1026"/>
        <v>M0</v>
      </c>
      <c r="SY16" s="6" t="str">
        <f t="shared" si="1026"/>
        <v/>
      </c>
      <c r="SZ16" s="6" t="str">
        <f t="shared" si="1026"/>
        <v>M0</v>
      </c>
      <c r="TA16" s="6" t="str">
        <f t="shared" si="1026"/>
        <v>M0</v>
      </c>
      <c r="TB16" s="6" t="str">
        <f t="shared" si="1026"/>
        <v>M0</v>
      </c>
      <c r="TC16" s="6" t="str">
        <f t="shared" si="1026"/>
        <v>M0</v>
      </c>
      <c r="TD16" s="6" t="str">
        <f t="shared" si="1026"/>
        <v>M0</v>
      </c>
      <c r="TE16" s="6" t="str">
        <f t="shared" si="1026"/>
        <v>M0</v>
      </c>
      <c r="TF16" s="6" t="str">
        <f t="shared" si="1026"/>
        <v>M0</v>
      </c>
      <c r="TG16" s="6" t="str">
        <f t="shared" si="1026"/>
        <v>M0</v>
      </c>
      <c r="TH16" s="6" t="str">
        <f t="shared" si="1026"/>
        <v>M0</v>
      </c>
      <c r="TI16" s="6" t="str">
        <f t="shared" si="1026"/>
        <v>M0</v>
      </c>
      <c r="TJ16" s="6" t="str">
        <f t="shared" si="1026"/>
        <v>M0</v>
      </c>
      <c r="TK16" s="6" t="str">
        <f t="shared" si="1026"/>
        <v>M0</v>
      </c>
      <c r="TL16" s="6" t="str">
        <f t="shared" si="1026"/>
        <v>M0</v>
      </c>
      <c r="TM16" s="6" t="str">
        <f t="shared" si="1026"/>
        <v>M0</v>
      </c>
      <c r="TN16" s="6" t="str">
        <f t="shared" si="1026"/>
        <v>M0</v>
      </c>
      <c r="TO16" s="6" t="str">
        <f t="shared" si="1026"/>
        <v>M0</v>
      </c>
      <c r="TP16" s="6" t="str">
        <f t="shared" si="1026"/>
        <v>M0</v>
      </c>
      <c r="TQ16" s="6" t="str">
        <f t="shared" si="1026"/>
        <v>M0</v>
      </c>
      <c r="TR16" s="6" t="str">
        <f t="shared" si="1026"/>
        <v>M0</v>
      </c>
      <c r="TS16" s="6" t="str">
        <f t="shared" si="1026"/>
        <v>M0</v>
      </c>
      <c r="TT16" s="6" t="str">
        <f t="shared" si="1026"/>
        <v>M0</v>
      </c>
      <c r="TU16" s="6" t="str">
        <f t="shared" si="1026"/>
        <v>M0</v>
      </c>
      <c r="TV16" s="6" t="str">
        <f t="shared" si="1026"/>
        <v>M0</v>
      </c>
      <c r="TW16" s="6" t="str">
        <f t="shared" si="1026"/>
        <v>M0</v>
      </c>
      <c r="TX16" s="6" t="str">
        <f t="shared" si="1026"/>
        <v>M0</v>
      </c>
      <c r="TY16" s="6" t="str">
        <f t="shared" si="1026"/>
        <v>M0</v>
      </c>
      <c r="TZ16" s="6" t="str">
        <f t="shared" si="1026"/>
        <v>M0</v>
      </c>
      <c r="UA16" s="6" t="str">
        <f t="shared" si="1026"/>
        <v>M0</v>
      </c>
      <c r="UB16" s="6" t="str">
        <f t="shared" si="1026"/>
        <v>M0</v>
      </c>
      <c r="UC16" s="6" t="str">
        <f t="shared" si="1026"/>
        <v>M0</v>
      </c>
      <c r="UD16" s="6" t="str">
        <f t="shared" si="1026"/>
        <v>M0</v>
      </c>
      <c r="UE16" s="6" t="str">
        <f t="shared" si="1026"/>
        <v>M0</v>
      </c>
      <c r="UF16" s="6" t="str">
        <f t="shared" si="1026"/>
        <v>M0</v>
      </c>
      <c r="UG16" s="6" t="str">
        <f t="shared" si="1026"/>
        <v>M0</v>
      </c>
      <c r="UH16" s="6" t="str">
        <f t="shared" si="1026"/>
        <v>M0</v>
      </c>
      <c r="UI16" s="6" t="str">
        <f t="shared" si="1026"/>
        <v>M0</v>
      </c>
      <c r="UJ16" s="6" t="str">
        <f t="shared" si="1026"/>
        <v>M0</v>
      </c>
      <c r="UK16" s="6" t="str">
        <f t="shared" si="1026"/>
        <v>M0</v>
      </c>
      <c r="UL16" s="6" t="str">
        <f t="shared" si="1026"/>
        <v>M0</v>
      </c>
      <c r="UM16" s="6" t="str">
        <f t="shared" si="1026"/>
        <v>M0</v>
      </c>
      <c r="UN16" s="6" t="str">
        <f t="shared" si="1026"/>
        <v>M0</v>
      </c>
      <c r="UO16" s="6" t="str">
        <f t="shared" si="1026"/>
        <v>M0</v>
      </c>
      <c r="UP16" s="6" t="str">
        <f t="shared" si="1026"/>
        <v>M0</v>
      </c>
      <c r="UQ16" s="6" t="str">
        <f t="shared" si="1026"/>
        <v>M0</v>
      </c>
      <c r="UR16" s="6" t="str">
        <f t="shared" si="1026"/>
        <v>M0</v>
      </c>
      <c r="US16" s="6" t="str">
        <f t="shared" si="1026"/>
        <v>M0</v>
      </c>
      <c r="UT16" s="6" t="str">
        <f t="shared" si="1026"/>
        <v>M0</v>
      </c>
      <c r="UU16" s="6" t="str">
        <f t="shared" si="1026"/>
        <v>M0</v>
      </c>
      <c r="UV16" s="6" t="str">
        <f t="shared" si="1026"/>
        <v>M0</v>
      </c>
      <c r="UW16" s="6" t="str">
        <f t="shared" si="1026"/>
        <v>M0</v>
      </c>
      <c r="UX16" s="6" t="str">
        <f t="shared" si="1026"/>
        <v>M0</v>
      </c>
      <c r="UY16" s="6" t="str">
        <f t="shared" si="1026"/>
        <v>M0</v>
      </c>
      <c r="UZ16" s="6" t="str">
        <f t="shared" si="1026"/>
        <v>M0</v>
      </c>
      <c r="VA16" s="6" t="str">
        <f t="shared" si="1026"/>
        <v>M0</v>
      </c>
      <c r="VB16" s="6" t="str">
        <f t="shared" si="1026"/>
        <v>M0</v>
      </c>
      <c r="VC16" s="6" t="str">
        <f t="shared" si="1026"/>
        <v>M0</v>
      </c>
      <c r="VD16" s="6" t="str">
        <f t="shared" si="1026"/>
        <v>M0</v>
      </c>
      <c r="VE16" s="6" t="str">
        <f t="shared" si="1026"/>
        <v>M0</v>
      </c>
      <c r="VF16" s="6" t="str">
        <f t="shared" si="1026"/>
        <v>M0</v>
      </c>
      <c r="VG16" s="6" t="str">
        <f t="shared" si="1026"/>
        <v>M0</v>
      </c>
      <c r="VH16" s="6" t="str">
        <f t="shared" si="1026"/>
        <v>M0</v>
      </c>
      <c r="VI16" s="6" t="str">
        <f t="shared" ref="VI16:XT16" si="1027">IF(VI$17="M1","", "M0")</f>
        <v>M0</v>
      </c>
      <c r="VJ16" s="6" t="str">
        <f t="shared" si="1027"/>
        <v>M0</v>
      </c>
      <c r="VK16" s="6" t="str">
        <f t="shared" si="1027"/>
        <v>M0</v>
      </c>
      <c r="VL16" s="6" t="str">
        <f t="shared" si="1027"/>
        <v>M0</v>
      </c>
      <c r="VM16" s="6" t="str">
        <f t="shared" si="1027"/>
        <v>M0</v>
      </c>
      <c r="VN16" s="6" t="str">
        <f t="shared" si="1027"/>
        <v>M0</v>
      </c>
      <c r="VO16" s="6" t="str">
        <f t="shared" si="1027"/>
        <v/>
      </c>
      <c r="VP16" s="6" t="str">
        <f t="shared" si="1027"/>
        <v>M0</v>
      </c>
      <c r="VQ16" s="6" t="str">
        <f t="shared" si="1027"/>
        <v>M0</v>
      </c>
      <c r="VR16" s="6" t="str">
        <f t="shared" si="1027"/>
        <v>M0</v>
      </c>
      <c r="VS16" s="6" t="str">
        <f t="shared" si="1027"/>
        <v>M0</v>
      </c>
      <c r="VT16" s="6" t="str">
        <f t="shared" si="1027"/>
        <v>M0</v>
      </c>
      <c r="VU16" s="6" t="str">
        <f t="shared" si="1027"/>
        <v>M0</v>
      </c>
      <c r="VV16" s="6" t="str">
        <f t="shared" si="1027"/>
        <v>M0</v>
      </c>
      <c r="VW16" s="6" t="str">
        <f t="shared" si="1027"/>
        <v>M0</v>
      </c>
      <c r="VX16" s="6" t="str">
        <f t="shared" si="1027"/>
        <v>M0</v>
      </c>
      <c r="VY16" s="6" t="str">
        <f t="shared" si="1027"/>
        <v>M0</v>
      </c>
      <c r="VZ16" s="6" t="str">
        <f t="shared" si="1027"/>
        <v>M0</v>
      </c>
      <c r="WA16" s="6" t="str">
        <f t="shared" si="1027"/>
        <v>M0</v>
      </c>
      <c r="WB16" s="6" t="str">
        <f t="shared" si="1027"/>
        <v>M0</v>
      </c>
      <c r="WC16" s="6" t="str">
        <f t="shared" si="1027"/>
        <v>M0</v>
      </c>
      <c r="WD16" s="6" t="str">
        <f t="shared" si="1027"/>
        <v>M0</v>
      </c>
      <c r="WE16" s="6" t="str">
        <f t="shared" si="1027"/>
        <v>M0</v>
      </c>
      <c r="WF16" s="6" t="str">
        <f t="shared" si="1027"/>
        <v>M0</v>
      </c>
      <c r="WG16" s="6" t="str">
        <f t="shared" si="1027"/>
        <v>M0</v>
      </c>
      <c r="WH16" s="6" t="str">
        <f t="shared" si="1027"/>
        <v>M0</v>
      </c>
      <c r="WI16" s="6" t="str">
        <f t="shared" si="1027"/>
        <v>M0</v>
      </c>
      <c r="WJ16" s="6" t="str">
        <f t="shared" si="1027"/>
        <v>M0</v>
      </c>
      <c r="WK16" s="6" t="str">
        <f t="shared" si="1027"/>
        <v>M0</v>
      </c>
      <c r="WL16" s="6" t="str">
        <f t="shared" si="1027"/>
        <v>M0</v>
      </c>
      <c r="WM16" s="6" t="str">
        <f t="shared" si="1027"/>
        <v>M0</v>
      </c>
      <c r="WN16" s="6" t="str">
        <f t="shared" si="1027"/>
        <v>M0</v>
      </c>
      <c r="WO16" s="6" t="str">
        <f t="shared" si="1027"/>
        <v>M0</v>
      </c>
      <c r="WP16" s="6" t="str">
        <f t="shared" si="1027"/>
        <v>M0</v>
      </c>
      <c r="WQ16" s="6" t="str">
        <f t="shared" si="1027"/>
        <v>M0</v>
      </c>
      <c r="WR16" s="6" t="str">
        <f t="shared" si="1027"/>
        <v>M0</v>
      </c>
      <c r="WS16" s="6" t="str">
        <f t="shared" si="1027"/>
        <v>M0</v>
      </c>
      <c r="WT16" s="6" t="str">
        <f t="shared" si="1027"/>
        <v>M0</v>
      </c>
      <c r="WU16" s="6" t="str">
        <f t="shared" si="1027"/>
        <v>M0</v>
      </c>
      <c r="WV16" s="6" t="str">
        <f t="shared" si="1027"/>
        <v>M0</v>
      </c>
      <c r="WW16" s="6" t="str">
        <f t="shared" si="1027"/>
        <v>M0</v>
      </c>
      <c r="WX16" s="6" t="str">
        <f t="shared" si="1027"/>
        <v>M0</v>
      </c>
      <c r="WY16" s="6" t="str">
        <f t="shared" si="1027"/>
        <v>M0</v>
      </c>
      <c r="WZ16" s="6" t="str">
        <f t="shared" si="1027"/>
        <v/>
      </c>
      <c r="XA16" s="6" t="str">
        <f t="shared" si="1027"/>
        <v>M0</v>
      </c>
      <c r="XB16" s="6" t="str">
        <f t="shared" si="1027"/>
        <v>M0</v>
      </c>
      <c r="XC16" s="6" t="str">
        <f t="shared" si="1027"/>
        <v>M0</v>
      </c>
      <c r="XD16" s="6" t="str">
        <f t="shared" si="1027"/>
        <v>M0</v>
      </c>
      <c r="XE16" s="6" t="str">
        <f t="shared" si="1027"/>
        <v>M0</v>
      </c>
      <c r="XF16" s="6" t="str">
        <f t="shared" si="1027"/>
        <v>M0</v>
      </c>
      <c r="XG16" s="6" t="str">
        <f t="shared" si="1027"/>
        <v>M0</v>
      </c>
      <c r="XH16" s="6" t="str">
        <f t="shared" si="1027"/>
        <v>M0</v>
      </c>
      <c r="XI16" s="6" t="str">
        <f t="shared" si="1027"/>
        <v>M0</v>
      </c>
      <c r="XJ16" s="6" t="str">
        <f t="shared" si="1027"/>
        <v>M0</v>
      </c>
      <c r="XK16" s="6" t="str">
        <f t="shared" si="1027"/>
        <v>M0</v>
      </c>
      <c r="XL16" s="6" t="str">
        <f t="shared" si="1027"/>
        <v>M0</v>
      </c>
      <c r="XM16" s="6" t="str">
        <f t="shared" si="1027"/>
        <v>M0</v>
      </c>
      <c r="XN16" s="6" t="str">
        <f t="shared" si="1027"/>
        <v>M0</v>
      </c>
      <c r="XO16" s="6" t="str">
        <f t="shared" si="1027"/>
        <v>M0</v>
      </c>
      <c r="XP16" s="6" t="str">
        <f t="shared" si="1027"/>
        <v>M0</v>
      </c>
      <c r="XQ16" s="6" t="str">
        <f t="shared" si="1027"/>
        <v>M0</v>
      </c>
      <c r="XR16" s="6" t="str">
        <f t="shared" si="1027"/>
        <v>M0</v>
      </c>
      <c r="XS16" s="6" t="str">
        <f t="shared" si="1027"/>
        <v>M0</v>
      </c>
      <c r="XT16" s="6" t="str">
        <f t="shared" si="1027"/>
        <v>M0</v>
      </c>
      <c r="XU16" s="6" t="str">
        <f t="shared" ref="XU16:AAF16" si="1028">IF(XU$17="M1","", "M0")</f>
        <v>M0</v>
      </c>
      <c r="XV16" s="6" t="str">
        <f t="shared" si="1028"/>
        <v>M0</v>
      </c>
      <c r="XW16" s="6" t="str">
        <f t="shared" si="1028"/>
        <v>M0</v>
      </c>
      <c r="XX16" s="6" t="str">
        <f t="shared" si="1028"/>
        <v>M0</v>
      </c>
      <c r="XY16" s="6" t="str">
        <f t="shared" si="1028"/>
        <v>M0</v>
      </c>
      <c r="XZ16" s="6" t="str">
        <f t="shared" si="1028"/>
        <v>M0</v>
      </c>
      <c r="YA16" s="6" t="str">
        <f t="shared" si="1028"/>
        <v>M0</v>
      </c>
      <c r="YB16" s="6" t="str">
        <f t="shared" si="1028"/>
        <v>M0</v>
      </c>
      <c r="YC16" s="6" t="str">
        <f t="shared" si="1028"/>
        <v>M0</v>
      </c>
      <c r="YD16" s="6" t="str">
        <f t="shared" si="1028"/>
        <v>M0</v>
      </c>
      <c r="YE16" s="6" t="str">
        <f t="shared" si="1028"/>
        <v>M0</v>
      </c>
      <c r="YF16" s="6" t="str">
        <f t="shared" si="1028"/>
        <v>M0</v>
      </c>
      <c r="YG16" s="6" t="str">
        <f t="shared" si="1028"/>
        <v>M0</v>
      </c>
      <c r="YH16" s="6" t="str">
        <f t="shared" si="1028"/>
        <v>M0</v>
      </c>
      <c r="YI16" s="6" t="str">
        <f t="shared" si="1028"/>
        <v>M0</v>
      </c>
      <c r="YJ16" s="6" t="str">
        <f t="shared" si="1028"/>
        <v>M0</v>
      </c>
      <c r="YK16" s="6" t="str">
        <f t="shared" si="1028"/>
        <v>M0</v>
      </c>
      <c r="YL16" s="6" t="str">
        <f t="shared" si="1028"/>
        <v>M0</v>
      </c>
      <c r="YM16" s="6" t="str">
        <f t="shared" si="1028"/>
        <v>M0</v>
      </c>
      <c r="YN16" s="6" t="str">
        <f t="shared" si="1028"/>
        <v>M0</v>
      </c>
      <c r="YO16" s="6" t="str">
        <f t="shared" si="1028"/>
        <v/>
      </c>
      <c r="YP16" s="6" t="str">
        <f t="shared" si="1028"/>
        <v>M0</v>
      </c>
      <c r="YQ16" s="6" t="str">
        <f t="shared" si="1028"/>
        <v>M0</v>
      </c>
      <c r="YR16" s="6" t="str">
        <f t="shared" si="1028"/>
        <v>M0</v>
      </c>
      <c r="YS16" s="6" t="str">
        <f t="shared" si="1028"/>
        <v>M0</v>
      </c>
      <c r="YT16" s="6" t="str">
        <f t="shared" si="1028"/>
        <v>M0</v>
      </c>
      <c r="YU16" s="6" t="str">
        <f t="shared" si="1028"/>
        <v>M0</v>
      </c>
      <c r="YV16" s="6" t="str">
        <f t="shared" si="1028"/>
        <v>M0</v>
      </c>
      <c r="YW16" s="6" t="str">
        <f t="shared" si="1028"/>
        <v>M0</v>
      </c>
      <c r="YX16" s="6" t="str">
        <f t="shared" si="1028"/>
        <v>M0</v>
      </c>
      <c r="YY16" s="6" t="str">
        <f t="shared" si="1028"/>
        <v>M0</v>
      </c>
      <c r="YZ16" s="6" t="str">
        <f t="shared" si="1028"/>
        <v>M0</v>
      </c>
      <c r="ZA16" s="6" t="str">
        <f t="shared" si="1028"/>
        <v>M0</v>
      </c>
      <c r="ZB16" s="6" t="str">
        <f t="shared" si="1028"/>
        <v>M0</v>
      </c>
      <c r="ZC16" s="6" t="str">
        <f t="shared" si="1028"/>
        <v>M0</v>
      </c>
      <c r="ZD16" s="6" t="str">
        <f t="shared" si="1028"/>
        <v>M0</v>
      </c>
      <c r="ZE16" s="6" t="str">
        <f t="shared" si="1028"/>
        <v>M0</v>
      </c>
      <c r="ZF16" s="6" t="str">
        <f t="shared" si="1028"/>
        <v>M0</v>
      </c>
      <c r="ZG16" s="6" t="str">
        <f t="shared" si="1028"/>
        <v>M0</v>
      </c>
      <c r="ZH16" s="6" t="str">
        <f t="shared" si="1028"/>
        <v/>
      </c>
      <c r="ZI16" s="6" t="str">
        <f t="shared" si="1028"/>
        <v>M0</v>
      </c>
      <c r="ZJ16" s="6" t="str">
        <f t="shared" si="1028"/>
        <v>M0</v>
      </c>
      <c r="ZK16" s="6" t="str">
        <f t="shared" si="1028"/>
        <v>M0</v>
      </c>
      <c r="ZL16" s="6" t="str">
        <f t="shared" si="1028"/>
        <v>M0</v>
      </c>
      <c r="ZM16" s="6" t="str">
        <f t="shared" si="1028"/>
        <v>M0</v>
      </c>
      <c r="ZN16" s="6" t="str">
        <f t="shared" si="1028"/>
        <v>M0</v>
      </c>
      <c r="ZO16" s="6" t="str">
        <f t="shared" si="1028"/>
        <v>M0</v>
      </c>
      <c r="ZP16" s="6" t="str">
        <f t="shared" si="1028"/>
        <v>M0</v>
      </c>
      <c r="ZQ16" s="6" t="str">
        <f t="shared" si="1028"/>
        <v>M0</v>
      </c>
      <c r="ZR16" s="6" t="str">
        <f t="shared" si="1028"/>
        <v>M0</v>
      </c>
      <c r="ZS16" s="6" t="str">
        <f t="shared" si="1028"/>
        <v>M0</v>
      </c>
      <c r="ZT16" s="6" t="str">
        <f t="shared" si="1028"/>
        <v>M0</v>
      </c>
      <c r="ZU16" s="6" t="str">
        <f t="shared" si="1028"/>
        <v>M0</v>
      </c>
      <c r="ZV16" s="6" t="str">
        <f t="shared" si="1028"/>
        <v>M0</v>
      </c>
      <c r="ZW16" s="6" t="str">
        <f t="shared" si="1028"/>
        <v>M0</v>
      </c>
      <c r="ZX16" s="6" t="str">
        <f t="shared" si="1028"/>
        <v>M0</v>
      </c>
      <c r="ZY16" s="6" t="str">
        <f t="shared" si="1028"/>
        <v>M0</v>
      </c>
      <c r="ZZ16" s="6" t="str">
        <f t="shared" si="1028"/>
        <v>M0</v>
      </c>
      <c r="AAA16" s="6" t="str">
        <f t="shared" si="1028"/>
        <v>M0</v>
      </c>
      <c r="AAB16" s="6" t="str">
        <f t="shared" si="1028"/>
        <v>M0</v>
      </c>
      <c r="AAC16" s="6" t="str">
        <f t="shared" si="1028"/>
        <v>M0</v>
      </c>
      <c r="AAD16" s="6" t="str">
        <f t="shared" si="1028"/>
        <v>M0</v>
      </c>
      <c r="AAE16" s="6" t="str">
        <f t="shared" si="1028"/>
        <v>M0</v>
      </c>
      <c r="AAF16" s="6" t="str">
        <f t="shared" si="1028"/>
        <v>M0</v>
      </c>
      <c r="AAG16" s="6" t="str">
        <f t="shared" ref="AAG16:ACR16" si="1029">IF(AAG$17="M1","", "M0")</f>
        <v>M0</v>
      </c>
      <c r="AAH16" s="6" t="str">
        <f t="shared" si="1029"/>
        <v>M0</v>
      </c>
      <c r="AAI16" s="6" t="str">
        <f t="shared" si="1029"/>
        <v>M0</v>
      </c>
      <c r="AAJ16" s="6" t="str">
        <f t="shared" si="1029"/>
        <v>M0</v>
      </c>
      <c r="AAK16" s="6" t="str">
        <f t="shared" si="1029"/>
        <v>M0</v>
      </c>
      <c r="AAL16" s="6" t="str">
        <f t="shared" si="1029"/>
        <v>M0</v>
      </c>
      <c r="AAM16" s="6" t="str">
        <f t="shared" si="1029"/>
        <v>M0</v>
      </c>
      <c r="AAN16" s="6" t="str">
        <f t="shared" si="1029"/>
        <v>M0</v>
      </c>
      <c r="AAO16" s="6" t="str">
        <f t="shared" si="1029"/>
        <v>M0</v>
      </c>
      <c r="AAP16" s="6" t="str">
        <f t="shared" si="1029"/>
        <v>M0</v>
      </c>
      <c r="AAQ16" s="6" t="str">
        <f t="shared" si="1029"/>
        <v>M0</v>
      </c>
      <c r="AAR16" s="6" t="str">
        <f t="shared" si="1029"/>
        <v>M0</v>
      </c>
      <c r="AAS16" s="6" t="str">
        <f t="shared" si="1029"/>
        <v>M0</v>
      </c>
      <c r="AAT16" s="6" t="str">
        <f t="shared" si="1029"/>
        <v>M0</v>
      </c>
      <c r="AAU16" s="6" t="str">
        <f t="shared" si="1029"/>
        <v>M0</v>
      </c>
      <c r="AAV16" s="6" t="str">
        <f t="shared" si="1029"/>
        <v>M0</v>
      </c>
      <c r="AAW16" s="6" t="str">
        <f t="shared" si="1029"/>
        <v>M0</v>
      </c>
      <c r="AAX16" s="6" t="str">
        <f t="shared" si="1029"/>
        <v>M0</v>
      </c>
      <c r="AAY16" s="6" t="str">
        <f t="shared" si="1029"/>
        <v>M0</v>
      </c>
      <c r="AAZ16" s="6" t="str">
        <f t="shared" si="1029"/>
        <v>M0</v>
      </c>
      <c r="ABA16" s="6" t="str">
        <f t="shared" si="1029"/>
        <v>M0</v>
      </c>
      <c r="ABB16" s="6" t="str">
        <f t="shared" si="1029"/>
        <v>M0</v>
      </c>
      <c r="ABC16" s="6" t="str">
        <f t="shared" si="1029"/>
        <v/>
      </c>
      <c r="ABD16" s="6" t="str">
        <f t="shared" si="1029"/>
        <v>M0</v>
      </c>
      <c r="ABE16" s="6" t="str">
        <f t="shared" si="1029"/>
        <v>M0</v>
      </c>
      <c r="ABF16" s="6" t="str">
        <f t="shared" si="1029"/>
        <v>M0</v>
      </c>
      <c r="ABG16" s="6" t="str">
        <f t="shared" si="1029"/>
        <v>M0</v>
      </c>
      <c r="ABH16" s="6" t="str">
        <f t="shared" si="1029"/>
        <v>M0</v>
      </c>
      <c r="ABI16" s="6" t="str">
        <f t="shared" si="1029"/>
        <v>M0</v>
      </c>
      <c r="ABJ16" s="6" t="str">
        <f t="shared" si="1029"/>
        <v>M0</v>
      </c>
      <c r="ABK16" s="6" t="str">
        <f t="shared" si="1029"/>
        <v>M0</v>
      </c>
      <c r="ABL16" s="6" t="str">
        <f t="shared" si="1029"/>
        <v>M0</v>
      </c>
      <c r="ABM16" s="6" t="str">
        <f t="shared" si="1029"/>
        <v>M0</v>
      </c>
      <c r="ABN16" s="6" t="str">
        <f t="shared" si="1029"/>
        <v>M0</v>
      </c>
      <c r="ABO16" s="6" t="str">
        <f t="shared" si="1029"/>
        <v>M0</v>
      </c>
      <c r="ABP16" s="6" t="str">
        <f t="shared" si="1029"/>
        <v>M0</v>
      </c>
      <c r="ABQ16" s="6" t="str">
        <f t="shared" si="1029"/>
        <v>M0</v>
      </c>
      <c r="ABR16" s="6" t="str">
        <f t="shared" si="1029"/>
        <v>M0</v>
      </c>
      <c r="ABS16" s="6" t="str">
        <f t="shared" si="1029"/>
        <v>M0</v>
      </c>
      <c r="ABT16" s="6" t="str">
        <f t="shared" si="1029"/>
        <v>M0</v>
      </c>
      <c r="ABU16" s="6" t="str">
        <f t="shared" si="1029"/>
        <v>M0</v>
      </c>
      <c r="ABV16" s="6" t="str">
        <f t="shared" si="1029"/>
        <v>M0</v>
      </c>
      <c r="ABW16" s="6" t="str">
        <f t="shared" si="1029"/>
        <v>M0</v>
      </c>
      <c r="ABX16" s="6" t="str">
        <f t="shared" si="1029"/>
        <v>M0</v>
      </c>
      <c r="ABY16" s="6" t="str">
        <f t="shared" si="1029"/>
        <v>M0</v>
      </c>
      <c r="ABZ16" s="6" t="str">
        <f t="shared" si="1029"/>
        <v>M0</v>
      </c>
      <c r="ACA16" s="6" t="str">
        <f t="shared" si="1029"/>
        <v>M0</v>
      </c>
      <c r="ACB16" s="6" t="str">
        <f t="shared" si="1029"/>
        <v>M0</v>
      </c>
      <c r="ACC16" s="6" t="str">
        <f t="shared" si="1029"/>
        <v>M0</v>
      </c>
      <c r="ACD16" s="6" t="str">
        <f t="shared" si="1029"/>
        <v>M0</v>
      </c>
      <c r="ACE16" s="6" t="str">
        <f t="shared" si="1029"/>
        <v>M0</v>
      </c>
      <c r="ACF16" s="6" t="str">
        <f t="shared" si="1029"/>
        <v>M0</v>
      </c>
      <c r="ACG16" s="6" t="str">
        <f t="shared" si="1029"/>
        <v>M0</v>
      </c>
      <c r="ACH16" s="6" t="str">
        <f t="shared" si="1029"/>
        <v>M0</v>
      </c>
      <c r="ACI16" s="6" t="str">
        <f t="shared" si="1029"/>
        <v>M0</v>
      </c>
      <c r="ACJ16" s="6" t="str">
        <f t="shared" si="1029"/>
        <v>M0</v>
      </c>
      <c r="ACK16" s="6" t="str">
        <f t="shared" si="1029"/>
        <v>M0</v>
      </c>
      <c r="ACL16" s="6" t="str">
        <f t="shared" si="1029"/>
        <v>M0</v>
      </c>
      <c r="ACM16" s="6" t="str">
        <f t="shared" si="1029"/>
        <v>M0</v>
      </c>
      <c r="ACN16" s="6" t="str">
        <f t="shared" si="1029"/>
        <v>M0</v>
      </c>
      <c r="ACO16" s="6" t="str">
        <f t="shared" si="1029"/>
        <v>M0</v>
      </c>
      <c r="ACP16" s="6" t="str">
        <f t="shared" si="1029"/>
        <v>M0</v>
      </c>
      <c r="ACQ16" s="6" t="str">
        <f t="shared" si="1029"/>
        <v>M0</v>
      </c>
      <c r="ACR16" s="6" t="str">
        <f t="shared" si="1029"/>
        <v>M0</v>
      </c>
      <c r="ACS16" s="6" t="str">
        <f t="shared" ref="ACS16:AFD16" si="1030">IF(ACS$17="M1","", "M0")</f>
        <v>M0</v>
      </c>
      <c r="ACT16" s="6" t="str">
        <f t="shared" si="1030"/>
        <v>M0</v>
      </c>
      <c r="ACU16" s="6" t="str">
        <f t="shared" si="1030"/>
        <v>M0</v>
      </c>
      <c r="ACV16" s="6" t="str">
        <f t="shared" si="1030"/>
        <v>M0</v>
      </c>
      <c r="ACW16" s="6" t="str">
        <f t="shared" si="1030"/>
        <v>M0</v>
      </c>
      <c r="ACX16" s="6" t="str">
        <f t="shared" si="1030"/>
        <v>M0</v>
      </c>
      <c r="ACY16" s="6" t="str">
        <f t="shared" si="1030"/>
        <v>M0</v>
      </c>
      <c r="ACZ16" s="6" t="str">
        <f t="shared" si="1030"/>
        <v>M0</v>
      </c>
      <c r="ADA16" s="6" t="str">
        <f t="shared" si="1030"/>
        <v>M0</v>
      </c>
      <c r="ADB16" s="6" t="str">
        <f t="shared" si="1030"/>
        <v>M0</v>
      </c>
      <c r="ADC16" s="6" t="str">
        <f t="shared" si="1030"/>
        <v>M0</v>
      </c>
      <c r="ADD16" s="6" t="str">
        <f t="shared" si="1030"/>
        <v>M0</v>
      </c>
      <c r="ADE16" s="6" t="str">
        <f t="shared" si="1030"/>
        <v>M0</v>
      </c>
      <c r="ADF16" s="6" t="str">
        <f t="shared" si="1030"/>
        <v>M0</v>
      </c>
      <c r="ADG16" s="6" t="str">
        <f t="shared" si="1030"/>
        <v>M0</v>
      </c>
      <c r="ADH16" s="6" t="str">
        <f t="shared" si="1030"/>
        <v>M0</v>
      </c>
      <c r="ADI16" s="6" t="str">
        <f t="shared" si="1030"/>
        <v>M0</v>
      </c>
      <c r="ADJ16" s="6" t="str">
        <f t="shared" si="1030"/>
        <v>M0</v>
      </c>
      <c r="ADK16" s="6" t="str">
        <f t="shared" si="1030"/>
        <v>M0</v>
      </c>
      <c r="ADL16" s="6" t="str">
        <f t="shared" si="1030"/>
        <v>M0</v>
      </c>
      <c r="ADM16" s="6" t="str">
        <f t="shared" si="1030"/>
        <v>M0</v>
      </c>
      <c r="ADN16" s="6" t="str">
        <f t="shared" si="1030"/>
        <v>M0</v>
      </c>
      <c r="ADO16" s="6" t="str">
        <f t="shared" si="1030"/>
        <v>M0</v>
      </c>
      <c r="ADP16" s="6" t="str">
        <f t="shared" si="1030"/>
        <v>M0</v>
      </c>
      <c r="ADQ16" s="6" t="str">
        <f t="shared" si="1030"/>
        <v>M0</v>
      </c>
      <c r="ADR16" s="6" t="str">
        <f t="shared" si="1030"/>
        <v>M0</v>
      </c>
      <c r="ADS16" s="6" t="str">
        <f t="shared" si="1030"/>
        <v>M0</v>
      </c>
      <c r="ADT16" s="6" t="str">
        <f t="shared" si="1030"/>
        <v>M0</v>
      </c>
      <c r="ADU16" s="6" t="str">
        <f t="shared" si="1030"/>
        <v>M0</v>
      </c>
      <c r="ADV16" s="6" t="str">
        <f t="shared" si="1030"/>
        <v>M0</v>
      </c>
      <c r="ADW16" s="6" t="str">
        <f t="shared" si="1030"/>
        <v>M0</v>
      </c>
      <c r="ADX16" s="6" t="str">
        <f t="shared" si="1030"/>
        <v>M0</v>
      </c>
      <c r="ADY16" s="6" t="str">
        <f t="shared" si="1030"/>
        <v>M0</v>
      </c>
      <c r="ADZ16" s="6" t="str">
        <f t="shared" si="1030"/>
        <v>M0</v>
      </c>
      <c r="AEA16" s="6" t="str">
        <f t="shared" si="1030"/>
        <v>M0</v>
      </c>
      <c r="AEB16" s="6" t="str">
        <f t="shared" si="1030"/>
        <v>M0</v>
      </c>
      <c r="AEC16" s="6" t="str">
        <f t="shared" si="1030"/>
        <v/>
      </c>
      <c r="AED16" s="6" t="str">
        <f t="shared" si="1030"/>
        <v>M0</v>
      </c>
      <c r="AEE16" s="6" t="str">
        <f t="shared" si="1030"/>
        <v>M0</v>
      </c>
      <c r="AEF16" s="6" t="str">
        <f t="shared" si="1030"/>
        <v>M0</v>
      </c>
      <c r="AEG16" s="6" t="str">
        <f t="shared" si="1030"/>
        <v>M0</v>
      </c>
      <c r="AEH16" s="6" t="str">
        <f t="shared" si="1030"/>
        <v>M0</v>
      </c>
      <c r="AEI16" s="6" t="str">
        <f t="shared" si="1030"/>
        <v>M0</v>
      </c>
      <c r="AEJ16" s="6" t="str">
        <f t="shared" si="1030"/>
        <v>M0</v>
      </c>
      <c r="AEK16" s="6" t="str">
        <f t="shared" si="1030"/>
        <v>M0</v>
      </c>
      <c r="AEL16" s="6" t="str">
        <f t="shared" si="1030"/>
        <v>M0</v>
      </c>
      <c r="AEM16" s="6" t="str">
        <f t="shared" si="1030"/>
        <v>M0</v>
      </c>
      <c r="AEN16" s="6" t="str">
        <f t="shared" si="1030"/>
        <v>M0</v>
      </c>
      <c r="AEO16" s="6" t="str">
        <f t="shared" si="1030"/>
        <v>M0</v>
      </c>
      <c r="AEP16" s="6" t="str">
        <f t="shared" si="1030"/>
        <v>M0</v>
      </c>
      <c r="AEQ16" s="6" t="str">
        <f t="shared" si="1030"/>
        <v>M0</v>
      </c>
      <c r="AER16" s="6" t="str">
        <f t="shared" si="1030"/>
        <v>M0</v>
      </c>
      <c r="AES16" s="6" t="str">
        <f t="shared" si="1030"/>
        <v>M0</v>
      </c>
      <c r="AET16" s="6" t="str">
        <f t="shared" si="1030"/>
        <v>M0</v>
      </c>
      <c r="AEU16" s="6" t="str">
        <f t="shared" si="1030"/>
        <v>M0</v>
      </c>
      <c r="AEV16" s="6" t="str">
        <f t="shared" si="1030"/>
        <v>M0</v>
      </c>
      <c r="AEW16" s="6" t="str">
        <f t="shared" si="1030"/>
        <v>M0</v>
      </c>
      <c r="AEX16" s="6" t="str">
        <f t="shared" si="1030"/>
        <v>M0</v>
      </c>
      <c r="AEY16" s="6" t="str">
        <f t="shared" si="1030"/>
        <v>M0</v>
      </c>
      <c r="AEZ16" s="6" t="str">
        <f t="shared" si="1030"/>
        <v>M0</v>
      </c>
      <c r="AFA16" s="6" t="str">
        <f t="shared" si="1030"/>
        <v>M0</v>
      </c>
      <c r="AFB16" s="6" t="str">
        <f t="shared" si="1030"/>
        <v>M0</v>
      </c>
      <c r="AFC16" s="6" t="str">
        <f t="shared" si="1030"/>
        <v>M0</v>
      </c>
      <c r="AFD16" s="6" t="str">
        <f t="shared" si="1030"/>
        <v>M0</v>
      </c>
      <c r="AFE16" s="6" t="str">
        <f t="shared" ref="AFE16:AHP16" si="1031">IF(AFE$17="M1","", "M0")</f>
        <v>M0</v>
      </c>
      <c r="AFF16" s="6" t="str">
        <f t="shared" si="1031"/>
        <v>M0</v>
      </c>
      <c r="AFG16" s="6" t="str">
        <f t="shared" si="1031"/>
        <v>M0</v>
      </c>
      <c r="AFH16" s="6" t="str">
        <f t="shared" si="1031"/>
        <v>M0</v>
      </c>
      <c r="AFI16" s="6" t="str">
        <f t="shared" si="1031"/>
        <v>M0</v>
      </c>
      <c r="AFJ16" s="6" t="str">
        <f t="shared" si="1031"/>
        <v>M0</v>
      </c>
      <c r="AFK16" s="6" t="str">
        <f t="shared" si="1031"/>
        <v>M0</v>
      </c>
      <c r="AFL16" s="6" t="str">
        <f t="shared" si="1031"/>
        <v>M0</v>
      </c>
      <c r="AFM16" s="6" t="str">
        <f t="shared" si="1031"/>
        <v>M0</v>
      </c>
      <c r="AFN16" s="6" t="str">
        <f t="shared" si="1031"/>
        <v>M0</v>
      </c>
      <c r="AFO16" s="6" t="str">
        <f t="shared" si="1031"/>
        <v>M0</v>
      </c>
      <c r="AFP16" s="6" t="str">
        <f t="shared" si="1031"/>
        <v>M0</v>
      </c>
      <c r="AFQ16" s="6" t="str">
        <f t="shared" si="1031"/>
        <v>M0</v>
      </c>
      <c r="AFR16" s="6" t="str">
        <f t="shared" si="1031"/>
        <v>M0</v>
      </c>
      <c r="AFS16" s="6" t="str">
        <f t="shared" si="1031"/>
        <v>M0</v>
      </c>
      <c r="AFT16" s="6" t="str">
        <f t="shared" si="1031"/>
        <v>M0</v>
      </c>
      <c r="AFU16" s="6" t="str">
        <f t="shared" si="1031"/>
        <v>M0</v>
      </c>
      <c r="AFV16" s="6" t="str">
        <f t="shared" si="1031"/>
        <v>M0</v>
      </c>
      <c r="AFW16" s="6" t="str">
        <f t="shared" si="1031"/>
        <v>M0</v>
      </c>
      <c r="AFX16" s="6" t="str">
        <f t="shared" si="1031"/>
        <v>M0</v>
      </c>
      <c r="AFY16" s="6" t="str">
        <f t="shared" si="1031"/>
        <v>M0</v>
      </c>
      <c r="AFZ16" s="6" t="str">
        <f t="shared" si="1031"/>
        <v>M0</v>
      </c>
      <c r="AGA16" s="6" t="str">
        <f t="shared" si="1031"/>
        <v>M0</v>
      </c>
      <c r="AGB16" s="6" t="str">
        <f t="shared" si="1031"/>
        <v>M0</v>
      </c>
      <c r="AGC16" s="6" t="str">
        <f t="shared" si="1031"/>
        <v>M0</v>
      </c>
      <c r="AGD16" s="6" t="str">
        <f t="shared" si="1031"/>
        <v>M0</v>
      </c>
      <c r="AGE16" s="6" t="str">
        <f t="shared" si="1031"/>
        <v>M0</v>
      </c>
      <c r="AGF16" s="6" t="str">
        <f t="shared" si="1031"/>
        <v>M0</v>
      </c>
      <c r="AGG16" s="6" t="str">
        <f t="shared" si="1031"/>
        <v>M0</v>
      </c>
      <c r="AGH16" s="6" t="str">
        <f t="shared" si="1031"/>
        <v>M0</v>
      </c>
      <c r="AGI16" s="6" t="str">
        <f t="shared" si="1031"/>
        <v>M0</v>
      </c>
      <c r="AGJ16" s="6" t="str">
        <f t="shared" si="1031"/>
        <v>M0</v>
      </c>
      <c r="AGK16" s="6" t="str">
        <f t="shared" si="1031"/>
        <v>M0</v>
      </c>
      <c r="AGL16" s="6" t="str">
        <f t="shared" si="1031"/>
        <v>M0</v>
      </c>
      <c r="AGM16" s="6" t="str">
        <f t="shared" si="1031"/>
        <v>M0</v>
      </c>
      <c r="AGN16" s="6" t="str">
        <f t="shared" si="1031"/>
        <v>M0</v>
      </c>
      <c r="AGO16" s="6" t="str">
        <f t="shared" si="1031"/>
        <v>M0</v>
      </c>
      <c r="AGP16" s="6" t="str">
        <f t="shared" si="1031"/>
        <v>M0</v>
      </c>
      <c r="AGQ16" s="6" t="str">
        <f t="shared" si="1031"/>
        <v/>
      </c>
      <c r="AGR16" s="6" t="str">
        <f t="shared" si="1031"/>
        <v>M0</v>
      </c>
      <c r="AGS16" s="6" t="str">
        <f t="shared" si="1031"/>
        <v>M0</v>
      </c>
      <c r="AGT16" s="6" t="str">
        <f t="shared" si="1031"/>
        <v>M0</v>
      </c>
      <c r="AGU16" s="6" t="str">
        <f t="shared" si="1031"/>
        <v>M0</v>
      </c>
      <c r="AGV16" s="6" t="str">
        <f t="shared" si="1031"/>
        <v>M0</v>
      </c>
      <c r="AGW16" s="6" t="str">
        <f t="shared" si="1031"/>
        <v>M0</v>
      </c>
      <c r="AGX16" s="6" t="str">
        <f t="shared" si="1031"/>
        <v>M0</v>
      </c>
      <c r="AGY16" s="6" t="str">
        <f t="shared" si="1031"/>
        <v>M0</v>
      </c>
      <c r="AGZ16" s="6" t="str">
        <f t="shared" si="1031"/>
        <v>M0</v>
      </c>
      <c r="AHA16" s="6" t="str">
        <f t="shared" si="1031"/>
        <v>M0</v>
      </c>
      <c r="AHB16" s="6" t="str">
        <f t="shared" si="1031"/>
        <v>M0</v>
      </c>
      <c r="AHC16" s="6" t="str">
        <f t="shared" si="1031"/>
        <v>M0</v>
      </c>
      <c r="AHD16" s="6" t="str">
        <f t="shared" si="1031"/>
        <v>M0</v>
      </c>
      <c r="AHE16" s="6" t="str">
        <f t="shared" si="1031"/>
        <v>M0</v>
      </c>
      <c r="AHF16" s="6" t="str">
        <f t="shared" si="1031"/>
        <v>M0</v>
      </c>
      <c r="AHG16" s="6" t="str">
        <f t="shared" si="1031"/>
        <v>M0</v>
      </c>
      <c r="AHH16" s="6" t="str">
        <f t="shared" si="1031"/>
        <v>M0</v>
      </c>
      <c r="AHI16" s="6" t="str">
        <f t="shared" si="1031"/>
        <v>M0</v>
      </c>
      <c r="AHJ16" s="6" t="str">
        <f t="shared" si="1031"/>
        <v>M0</v>
      </c>
      <c r="AHK16" s="6" t="str">
        <f t="shared" si="1031"/>
        <v>M0</v>
      </c>
      <c r="AHL16" s="6" t="str">
        <f t="shared" si="1031"/>
        <v>M0</v>
      </c>
      <c r="AHM16" s="6" t="str">
        <f t="shared" si="1031"/>
        <v>M0</v>
      </c>
      <c r="AHN16" s="6" t="str">
        <f t="shared" si="1031"/>
        <v>M0</v>
      </c>
      <c r="AHO16" s="6" t="str">
        <f t="shared" si="1031"/>
        <v>M0</v>
      </c>
      <c r="AHP16" s="6" t="str">
        <f t="shared" si="1031"/>
        <v>M0</v>
      </c>
      <c r="AHQ16" s="6" t="str">
        <f t="shared" ref="AHQ16:AKB16" si="1032">IF(AHQ$17="M1","", "M0")</f>
        <v>M0</v>
      </c>
      <c r="AHR16" s="6" t="str">
        <f t="shared" si="1032"/>
        <v>M0</v>
      </c>
      <c r="AHS16" s="6" t="str">
        <f t="shared" si="1032"/>
        <v>M0</v>
      </c>
      <c r="AHT16" s="6" t="str">
        <f t="shared" si="1032"/>
        <v>M0</v>
      </c>
      <c r="AHU16" s="6" t="str">
        <f t="shared" si="1032"/>
        <v>M0</v>
      </c>
      <c r="AHV16" s="6" t="str">
        <f t="shared" si="1032"/>
        <v>M0</v>
      </c>
      <c r="AHW16" s="6" t="str">
        <f t="shared" si="1032"/>
        <v>M0</v>
      </c>
      <c r="AHX16" s="6" t="str">
        <f t="shared" si="1032"/>
        <v>M0</v>
      </c>
      <c r="AHY16" s="6" t="str">
        <f t="shared" si="1032"/>
        <v>M0</v>
      </c>
      <c r="AHZ16" s="6" t="str">
        <f t="shared" si="1032"/>
        <v>M0</v>
      </c>
      <c r="AIA16" s="6" t="str">
        <f t="shared" si="1032"/>
        <v>M0</v>
      </c>
      <c r="AIB16" s="6" t="str">
        <f t="shared" si="1032"/>
        <v>M0</v>
      </c>
      <c r="AIC16" s="6" t="str">
        <f t="shared" si="1032"/>
        <v>M0</v>
      </c>
      <c r="AID16" s="6" t="str">
        <f t="shared" si="1032"/>
        <v>M0</v>
      </c>
      <c r="AIE16" s="6" t="str">
        <f t="shared" si="1032"/>
        <v>M0</v>
      </c>
      <c r="AIF16" s="6" t="str">
        <f t="shared" si="1032"/>
        <v>M0</v>
      </c>
      <c r="AIG16" s="6" t="str">
        <f t="shared" si="1032"/>
        <v>M0</v>
      </c>
      <c r="AIH16" s="6" t="str">
        <f t="shared" si="1032"/>
        <v>M0</v>
      </c>
      <c r="AII16" s="6" t="str">
        <f t="shared" si="1032"/>
        <v>M0</v>
      </c>
      <c r="AIJ16" s="6" t="str">
        <f t="shared" si="1032"/>
        <v>M0</v>
      </c>
      <c r="AIK16" s="6" t="str">
        <f t="shared" si="1032"/>
        <v>M0</v>
      </c>
      <c r="AIL16" s="6" t="str">
        <f t="shared" si="1032"/>
        <v>M0</v>
      </c>
      <c r="AIM16" s="6" t="str">
        <f t="shared" si="1032"/>
        <v>M0</v>
      </c>
      <c r="AIN16" s="6" t="str">
        <f t="shared" si="1032"/>
        <v>M0</v>
      </c>
      <c r="AIO16" s="6" t="str">
        <f t="shared" si="1032"/>
        <v>M0</v>
      </c>
      <c r="AIP16" s="6" t="str">
        <f t="shared" si="1032"/>
        <v>M0</v>
      </c>
      <c r="AIQ16" s="6" t="str">
        <f t="shared" si="1032"/>
        <v>M0</v>
      </c>
      <c r="AIR16" s="6" t="str">
        <f t="shared" si="1032"/>
        <v>M0</v>
      </c>
      <c r="AIS16" s="6" t="str">
        <f t="shared" si="1032"/>
        <v>M0</v>
      </c>
      <c r="AIT16" s="6" t="str">
        <f t="shared" si="1032"/>
        <v>M0</v>
      </c>
      <c r="AIU16" s="6" t="str">
        <f t="shared" si="1032"/>
        <v>M0</v>
      </c>
      <c r="AIV16" s="6" t="str">
        <f t="shared" si="1032"/>
        <v>M0</v>
      </c>
      <c r="AIW16" s="6" t="str">
        <f t="shared" si="1032"/>
        <v>M0</v>
      </c>
      <c r="AIX16" s="6" t="str">
        <f t="shared" si="1032"/>
        <v>M0</v>
      </c>
      <c r="AIY16" s="6" t="str">
        <f t="shared" si="1032"/>
        <v>M0</v>
      </c>
      <c r="AIZ16" s="6" t="str">
        <f t="shared" si="1032"/>
        <v>M0</v>
      </c>
      <c r="AJA16" s="6" t="str">
        <f t="shared" si="1032"/>
        <v>M0</v>
      </c>
      <c r="AJB16" s="6" t="str">
        <f t="shared" si="1032"/>
        <v>M0</v>
      </c>
      <c r="AJC16" s="6" t="str">
        <f t="shared" si="1032"/>
        <v>M0</v>
      </c>
      <c r="AJD16" s="6" t="str">
        <f t="shared" si="1032"/>
        <v>M0</v>
      </c>
      <c r="AJE16" s="6" t="str">
        <f t="shared" si="1032"/>
        <v>M0</v>
      </c>
      <c r="AJF16" s="6" t="str">
        <f t="shared" si="1032"/>
        <v>M0</v>
      </c>
      <c r="AJG16" s="6" t="str">
        <f t="shared" si="1032"/>
        <v>M0</v>
      </c>
      <c r="AJH16" s="6" t="str">
        <f t="shared" si="1032"/>
        <v>M0</v>
      </c>
      <c r="AJI16" s="6" t="str">
        <f t="shared" si="1032"/>
        <v>M0</v>
      </c>
      <c r="AJJ16" s="6" t="str">
        <f t="shared" si="1032"/>
        <v>M0</v>
      </c>
      <c r="AJK16" s="6" t="str">
        <f t="shared" si="1032"/>
        <v>M0</v>
      </c>
      <c r="AJL16" s="6" t="str">
        <f t="shared" si="1032"/>
        <v>M0</v>
      </c>
      <c r="AJM16" s="6" t="str">
        <f t="shared" si="1032"/>
        <v>M0</v>
      </c>
      <c r="AJN16" s="6" t="str">
        <f t="shared" si="1032"/>
        <v>M0</v>
      </c>
      <c r="AJO16" s="6" t="str">
        <f t="shared" si="1032"/>
        <v>M0</v>
      </c>
      <c r="AJP16" s="6" t="str">
        <f t="shared" si="1032"/>
        <v>M0</v>
      </c>
      <c r="AJQ16" s="6" t="str">
        <f t="shared" si="1032"/>
        <v/>
      </c>
      <c r="AJR16" s="6" t="str">
        <f t="shared" si="1032"/>
        <v>M0</v>
      </c>
      <c r="AJS16" s="6" t="str">
        <f t="shared" si="1032"/>
        <v>M0</v>
      </c>
      <c r="AJT16" s="6" t="str">
        <f t="shared" si="1032"/>
        <v>M0</v>
      </c>
      <c r="AJU16" s="6" t="str">
        <f t="shared" si="1032"/>
        <v>M0</v>
      </c>
      <c r="AJV16" s="6" t="str">
        <f t="shared" si="1032"/>
        <v>M0</v>
      </c>
      <c r="AJW16" s="6" t="str">
        <f t="shared" si="1032"/>
        <v>M0</v>
      </c>
      <c r="AJX16" s="6" t="str">
        <f t="shared" si="1032"/>
        <v>M0</v>
      </c>
      <c r="AJY16" s="6" t="str">
        <f t="shared" si="1032"/>
        <v>M0</v>
      </c>
      <c r="AJZ16" s="6" t="str">
        <f t="shared" si="1032"/>
        <v>M0</v>
      </c>
      <c r="AKA16" s="6" t="str">
        <f t="shared" si="1032"/>
        <v>M0</v>
      </c>
      <c r="AKB16" s="6" t="str">
        <f t="shared" si="1032"/>
        <v>M0</v>
      </c>
      <c r="AKC16" s="6" t="str">
        <f t="shared" ref="AKC16:ALW16" si="1033">IF(AKC$17="M1","", "M0")</f>
        <v>M0</v>
      </c>
      <c r="AKD16" s="6" t="str">
        <f t="shared" si="1033"/>
        <v>M0</v>
      </c>
      <c r="AKE16" s="6" t="str">
        <f t="shared" si="1033"/>
        <v>M0</v>
      </c>
      <c r="AKF16" s="6" t="str">
        <f t="shared" si="1033"/>
        <v>M0</v>
      </c>
      <c r="AKG16" s="6" t="str">
        <f t="shared" si="1033"/>
        <v>M0</v>
      </c>
      <c r="AKH16" s="6" t="str">
        <f t="shared" si="1033"/>
        <v>M0</v>
      </c>
      <c r="AKI16" s="6" t="str">
        <f t="shared" si="1033"/>
        <v>M0</v>
      </c>
      <c r="AKJ16" s="6" t="str">
        <f t="shared" si="1033"/>
        <v>M0</v>
      </c>
      <c r="AKK16" s="6" t="str">
        <f t="shared" si="1033"/>
        <v>M0</v>
      </c>
      <c r="AKL16" s="6" t="str">
        <f t="shared" si="1033"/>
        <v>M0</v>
      </c>
      <c r="AKM16" s="6" t="str">
        <f t="shared" si="1033"/>
        <v>M0</v>
      </c>
      <c r="AKN16" s="6" t="str">
        <f t="shared" si="1033"/>
        <v>M0</v>
      </c>
      <c r="AKO16" s="6" t="str">
        <f t="shared" si="1033"/>
        <v>M0</v>
      </c>
      <c r="AKP16" s="6" t="str">
        <f t="shared" si="1033"/>
        <v>M0</v>
      </c>
      <c r="AKQ16" s="6" t="str">
        <f t="shared" si="1033"/>
        <v>M0</v>
      </c>
      <c r="AKR16" s="6" t="str">
        <f t="shared" si="1033"/>
        <v>M0</v>
      </c>
      <c r="AKS16" s="6" t="str">
        <f t="shared" si="1033"/>
        <v>M0</v>
      </c>
      <c r="AKT16" s="6" t="str">
        <f t="shared" si="1033"/>
        <v>M0</v>
      </c>
      <c r="AKU16" s="6" t="str">
        <f t="shared" si="1033"/>
        <v>M0</v>
      </c>
      <c r="AKV16" s="6" t="str">
        <f t="shared" si="1033"/>
        <v>M0</v>
      </c>
      <c r="AKW16" s="6" t="str">
        <f t="shared" si="1033"/>
        <v>M0</v>
      </c>
      <c r="AKX16" s="6" t="str">
        <f t="shared" si="1033"/>
        <v>M0</v>
      </c>
      <c r="AKY16" s="6" t="str">
        <f t="shared" si="1033"/>
        <v>M0</v>
      </c>
      <c r="AKZ16" s="6" t="str">
        <f t="shared" si="1033"/>
        <v>M0</v>
      </c>
      <c r="ALA16" s="6" t="str">
        <f t="shared" si="1033"/>
        <v>M0</v>
      </c>
      <c r="ALB16" s="6" t="str">
        <f t="shared" si="1033"/>
        <v>M0</v>
      </c>
      <c r="ALC16" s="6" t="str">
        <f t="shared" si="1033"/>
        <v>M0</v>
      </c>
      <c r="ALD16" s="6" t="str">
        <f t="shared" si="1033"/>
        <v>M0</v>
      </c>
      <c r="ALE16" s="6" t="str">
        <f t="shared" si="1033"/>
        <v>M0</v>
      </c>
      <c r="ALF16" s="6" t="str">
        <f t="shared" si="1033"/>
        <v>M0</v>
      </c>
      <c r="ALG16" s="6" t="str">
        <f t="shared" si="1033"/>
        <v>M0</v>
      </c>
      <c r="ALH16" s="6" t="str">
        <f t="shared" si="1033"/>
        <v>M0</v>
      </c>
      <c r="ALI16" s="6" t="str">
        <f t="shared" si="1033"/>
        <v>M0</v>
      </c>
      <c r="ALJ16" s="6" t="str">
        <f t="shared" si="1033"/>
        <v>M0</v>
      </c>
      <c r="ALK16" s="6" t="str">
        <f t="shared" si="1033"/>
        <v>M0</v>
      </c>
      <c r="ALL16" s="6" t="str">
        <f t="shared" si="1033"/>
        <v>M0</v>
      </c>
      <c r="ALM16" s="6" t="str">
        <f t="shared" si="1033"/>
        <v>M0</v>
      </c>
      <c r="ALN16" s="6" t="str">
        <f t="shared" si="1033"/>
        <v>M0</v>
      </c>
      <c r="ALO16" s="6" t="str">
        <f t="shared" si="1033"/>
        <v>M0</v>
      </c>
      <c r="ALP16" s="6" t="str">
        <f t="shared" si="1033"/>
        <v>M0</v>
      </c>
      <c r="ALQ16" s="6" t="str">
        <f t="shared" si="1033"/>
        <v>M0</v>
      </c>
      <c r="ALR16" s="6" t="str">
        <f t="shared" si="1033"/>
        <v>M0</v>
      </c>
      <c r="ALS16" s="6" t="str">
        <f t="shared" si="1033"/>
        <v>M0</v>
      </c>
      <c r="ALT16" s="6" t="str">
        <f t="shared" si="1033"/>
        <v>M0</v>
      </c>
      <c r="ALU16" s="6" t="str">
        <f t="shared" si="1033"/>
        <v>M0</v>
      </c>
      <c r="ALV16" s="6" t="str">
        <f t="shared" si="1033"/>
        <v>M0</v>
      </c>
      <c r="ALW16" s="6" t="str">
        <f t="shared" si="1033"/>
        <v>M0</v>
      </c>
    </row>
    <row r="17" spans="2:1011" outlineLevel="1" x14ac:dyDescent="0.25">
      <c r="B17" s="8"/>
      <c r="C17" s="5" t="s">
        <v>4</v>
      </c>
      <c r="D17" s="6"/>
      <c r="E17" s="6"/>
      <c r="F17" s="6"/>
      <c r="G17" s="6"/>
      <c r="H17" s="6"/>
      <c r="I17" s="6"/>
      <c r="J17" s="6"/>
      <c r="K17" s="6" t="s">
        <v>4</v>
      </c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 t="s">
        <v>4</v>
      </c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15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15"/>
      <c r="KF17" s="6"/>
      <c r="KG17" s="6"/>
      <c r="KH17" s="6"/>
      <c r="KI17" s="6"/>
      <c r="KJ17" s="6"/>
      <c r="KK17" s="6"/>
      <c r="KL17" s="6"/>
      <c r="KM17" s="6" t="s">
        <v>4</v>
      </c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 t="s">
        <v>4</v>
      </c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15"/>
      <c r="PT17" s="6"/>
      <c r="PU17" s="6"/>
      <c r="PV17" s="6"/>
      <c r="PW17" s="6"/>
      <c r="PX17" s="6"/>
      <c r="PY17" s="6" t="s">
        <v>4</v>
      </c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6"/>
      <c r="QP17" s="6"/>
      <c r="QQ17" s="6"/>
      <c r="QR17" s="6"/>
      <c r="QS17" s="6"/>
      <c r="QT17" s="6"/>
      <c r="QU17" s="6"/>
      <c r="QV17" s="6"/>
      <c r="QW17" s="6"/>
      <c r="QX17" s="6"/>
      <c r="QY17" s="6"/>
      <c r="QZ17" s="6"/>
      <c r="RA17" s="6"/>
      <c r="RB17" s="6"/>
      <c r="RC17" s="6"/>
      <c r="RD17" s="6"/>
      <c r="RE17" s="6"/>
      <c r="RF17" s="6"/>
      <c r="RG17" s="6"/>
      <c r="RH17" s="6"/>
      <c r="RI17" s="6"/>
      <c r="RJ17" s="6"/>
      <c r="RK17" s="6"/>
      <c r="RL17" s="6"/>
      <c r="RM17" s="6"/>
      <c r="RN17" s="6"/>
      <c r="RO17" s="6"/>
      <c r="RP17" s="6"/>
      <c r="RQ17" s="6"/>
      <c r="RR17" s="6"/>
      <c r="RS17" s="6"/>
      <c r="RT17" s="6"/>
      <c r="RU17" s="6"/>
      <c r="RV17" s="6"/>
      <c r="RW17" s="6"/>
      <c r="RX17" s="6"/>
      <c r="RY17" s="6"/>
      <c r="RZ17" s="6"/>
      <c r="SA17" s="6"/>
      <c r="SB17" s="6"/>
      <c r="SC17" s="6"/>
      <c r="SD17" s="6"/>
      <c r="SE17" s="6"/>
      <c r="SF17" s="6"/>
      <c r="SG17" s="6"/>
      <c r="SH17" s="6"/>
      <c r="SI17" s="6"/>
      <c r="SJ17" s="6"/>
      <c r="SK17" s="6"/>
      <c r="SL17" s="6"/>
      <c r="SM17" s="6"/>
      <c r="SN17" s="6"/>
      <c r="SO17" s="6"/>
      <c r="SP17" s="6"/>
      <c r="SQ17" s="6"/>
      <c r="SR17" s="6"/>
      <c r="SS17" s="6"/>
      <c r="ST17" s="6"/>
      <c r="SU17" s="6"/>
      <c r="SV17" s="6"/>
      <c r="SW17" s="6"/>
      <c r="SX17" s="6"/>
      <c r="SY17" s="6" t="s">
        <v>4</v>
      </c>
      <c r="SZ17" s="6"/>
      <c r="TA17" s="6"/>
      <c r="TB17" s="6"/>
      <c r="TC17" s="6"/>
      <c r="TD17" s="6"/>
      <c r="TE17" s="6"/>
      <c r="TF17" s="6"/>
      <c r="TG17" s="6"/>
      <c r="TH17" s="6"/>
      <c r="TI17" s="6"/>
      <c r="TJ17" s="6"/>
      <c r="TK17" s="6"/>
      <c r="TL17" s="6"/>
      <c r="TM17" s="6"/>
      <c r="TN17" s="6"/>
      <c r="TO17" s="6"/>
      <c r="TP17" s="6"/>
      <c r="TQ17" s="6"/>
      <c r="TR17" s="6"/>
      <c r="TS17" s="6"/>
      <c r="TT17" s="6"/>
      <c r="TU17" s="6"/>
      <c r="TV17" s="6"/>
      <c r="TW17" s="6"/>
      <c r="TX17" s="6"/>
      <c r="TY17" s="6"/>
      <c r="TZ17" s="6"/>
      <c r="UA17" s="6"/>
      <c r="UB17" s="6"/>
      <c r="UC17" s="6"/>
      <c r="UD17" s="6"/>
      <c r="UE17" s="6"/>
      <c r="UF17" s="6"/>
      <c r="UG17" s="6"/>
      <c r="UH17" s="6"/>
      <c r="UI17" s="6"/>
      <c r="UJ17" s="6"/>
      <c r="UK17" s="6"/>
      <c r="UL17" s="6"/>
      <c r="UM17" s="6"/>
      <c r="UN17" s="6"/>
      <c r="UO17" s="6"/>
      <c r="UP17" s="6"/>
      <c r="UQ17" s="6"/>
      <c r="UR17" s="6"/>
      <c r="US17" s="6"/>
      <c r="UT17" s="6"/>
      <c r="UU17" s="6"/>
      <c r="UV17" s="6"/>
      <c r="UW17" s="6"/>
      <c r="UX17" s="6"/>
      <c r="UY17" s="6"/>
      <c r="UZ17" s="6"/>
      <c r="VA17" s="6"/>
      <c r="VB17" s="6"/>
      <c r="VC17" s="6"/>
      <c r="VD17" s="6"/>
      <c r="VE17" s="6"/>
      <c r="VF17" s="6"/>
      <c r="VG17" s="15"/>
      <c r="VH17" s="6"/>
      <c r="VI17" s="6"/>
      <c r="VJ17" s="6"/>
      <c r="VK17" s="6"/>
      <c r="VL17" s="6"/>
      <c r="VM17" s="6"/>
      <c r="VN17" s="6"/>
      <c r="VO17" s="6" t="s">
        <v>4</v>
      </c>
      <c r="VP17" s="6"/>
      <c r="VQ17" s="6"/>
      <c r="VR17" s="6"/>
      <c r="VS17" s="6"/>
      <c r="VT17" s="6"/>
      <c r="VU17" s="6"/>
      <c r="VV17" s="6"/>
      <c r="VW17" s="6"/>
      <c r="VX17" s="6"/>
      <c r="VY17" s="6"/>
      <c r="VZ17" s="6"/>
      <c r="WA17" s="6"/>
      <c r="WB17" s="6"/>
      <c r="WC17" s="6"/>
      <c r="WD17" s="6"/>
      <c r="WE17" s="6"/>
      <c r="WF17" s="6"/>
      <c r="WG17" s="6"/>
      <c r="WH17" s="6"/>
      <c r="WI17" s="6"/>
      <c r="WJ17" s="6"/>
      <c r="WK17" s="6"/>
      <c r="WL17" s="6"/>
      <c r="WM17" s="6"/>
      <c r="WN17" s="6"/>
      <c r="WO17" s="6"/>
      <c r="WP17" s="6"/>
      <c r="WQ17" s="6"/>
      <c r="WR17" s="6"/>
      <c r="WS17" s="6"/>
      <c r="WT17" s="6"/>
      <c r="WU17" s="6"/>
      <c r="WV17" s="6"/>
      <c r="WW17" s="6"/>
      <c r="WX17" s="6"/>
      <c r="WY17" s="6"/>
      <c r="WZ17" s="6" t="s">
        <v>4</v>
      </c>
      <c r="XA17" s="6"/>
      <c r="XB17" s="6"/>
      <c r="XC17" s="6"/>
      <c r="XD17" s="6"/>
      <c r="XE17" s="6"/>
      <c r="XF17" s="6"/>
      <c r="XG17" s="6"/>
      <c r="XH17" s="6"/>
      <c r="XI17" s="6"/>
      <c r="XJ17" s="6"/>
      <c r="XK17" s="6"/>
      <c r="XL17" s="6"/>
      <c r="XM17" s="6"/>
      <c r="XN17" s="6"/>
      <c r="XO17" s="6"/>
      <c r="XP17" s="6"/>
      <c r="XQ17" s="6"/>
      <c r="XR17" s="6"/>
      <c r="XS17" s="6"/>
      <c r="XT17" s="6"/>
      <c r="XU17" s="6"/>
      <c r="XV17" s="6"/>
      <c r="XW17" s="6"/>
      <c r="XX17" s="6"/>
      <c r="XY17" s="6"/>
      <c r="XZ17" s="6"/>
      <c r="YA17" s="6"/>
      <c r="YB17" s="6"/>
      <c r="YC17" s="6"/>
      <c r="YD17" s="6"/>
      <c r="YE17" s="6"/>
      <c r="YF17" s="6"/>
      <c r="YG17" s="6"/>
      <c r="YH17" s="6"/>
      <c r="YI17" s="6"/>
      <c r="YJ17" s="6"/>
      <c r="YK17" s="6"/>
      <c r="YL17" s="6"/>
      <c r="YM17" s="6"/>
      <c r="YN17" s="6"/>
      <c r="YO17" s="6" t="s">
        <v>4</v>
      </c>
      <c r="YP17" s="6"/>
      <c r="YQ17" s="6"/>
      <c r="YR17" s="6"/>
      <c r="YS17" s="6"/>
      <c r="YT17" s="6"/>
      <c r="YU17" s="6"/>
      <c r="YV17" s="6"/>
      <c r="YW17" s="6"/>
      <c r="YX17" s="6"/>
      <c r="YY17" s="6"/>
      <c r="YZ17" s="6"/>
      <c r="ZA17" s="6"/>
      <c r="ZB17" s="6"/>
      <c r="ZC17" s="6"/>
      <c r="ZD17" s="6"/>
      <c r="ZE17" s="6"/>
      <c r="ZF17" s="6"/>
      <c r="ZG17" s="6"/>
      <c r="ZH17" s="6" t="s">
        <v>4</v>
      </c>
      <c r="ZI17" s="6"/>
      <c r="ZJ17" s="6"/>
      <c r="ZK17" s="6"/>
      <c r="ZL17" s="6"/>
      <c r="ZM17" s="6"/>
      <c r="ZN17" s="6"/>
      <c r="ZO17" s="6"/>
      <c r="ZP17" s="6"/>
      <c r="ZQ17" s="6"/>
      <c r="ZR17" s="6"/>
      <c r="ZS17" s="6"/>
      <c r="ZT17" s="6"/>
      <c r="ZU17" s="6"/>
      <c r="ZV17" s="6"/>
      <c r="ZW17" s="6"/>
      <c r="ZX17" s="6"/>
      <c r="ZY17" s="6"/>
      <c r="ZZ17" s="6"/>
      <c r="AAA17" s="6"/>
      <c r="AAB17" s="6"/>
      <c r="AAC17" s="6"/>
      <c r="AAD17" s="6"/>
      <c r="AAE17" s="6"/>
      <c r="AAF17" s="6"/>
      <c r="AAG17" s="6"/>
      <c r="AAH17" s="6"/>
      <c r="AAI17" s="6"/>
      <c r="AAJ17" s="6"/>
      <c r="AAK17" s="6"/>
      <c r="AAL17" s="6"/>
      <c r="AAM17" s="6"/>
      <c r="AAN17" s="6"/>
      <c r="AAO17" s="6"/>
      <c r="AAP17" s="6"/>
      <c r="AAQ17" s="6"/>
      <c r="AAR17" s="6"/>
      <c r="AAS17" s="6"/>
      <c r="AAT17" s="6"/>
      <c r="AAU17" s="15"/>
      <c r="AAV17" s="6"/>
      <c r="AAW17" s="6"/>
      <c r="AAX17" s="6"/>
      <c r="AAY17" s="6"/>
      <c r="AAZ17" s="6"/>
      <c r="ABA17" s="6"/>
      <c r="ABB17" s="6"/>
      <c r="ABC17" s="6" t="s">
        <v>4</v>
      </c>
      <c r="ABD17" s="6"/>
      <c r="ABE17" s="6"/>
      <c r="ABF17" s="6"/>
      <c r="ABG17" s="6"/>
      <c r="ABH17" s="6"/>
      <c r="ABI17" s="6"/>
      <c r="ABJ17" s="6"/>
      <c r="ABK17" s="6"/>
      <c r="ABL17" s="6"/>
      <c r="ABM17" s="6"/>
      <c r="ABN17" s="6"/>
      <c r="ABO17" s="6"/>
      <c r="ABP17" s="6"/>
      <c r="ABQ17" s="6"/>
      <c r="ABR17" s="6"/>
      <c r="ABS17" s="6"/>
      <c r="ABT17" s="6"/>
      <c r="ABU17" s="6"/>
      <c r="ABV17" s="6"/>
      <c r="ABW17" s="6"/>
      <c r="ABX17" s="6"/>
      <c r="ABY17" s="6"/>
      <c r="ABZ17" s="6"/>
      <c r="ACA17" s="6"/>
      <c r="ACB17" s="6"/>
      <c r="ACC17" s="6"/>
      <c r="ACD17" s="6"/>
      <c r="ACE17" s="6"/>
      <c r="ACF17" s="6"/>
      <c r="ACG17" s="6"/>
      <c r="ACH17" s="6"/>
      <c r="ACI17" s="6"/>
      <c r="ACJ17" s="6"/>
      <c r="ACK17" s="6"/>
      <c r="ACL17" s="6"/>
      <c r="ACM17" s="6"/>
      <c r="ACN17" s="6"/>
      <c r="ACO17" s="6"/>
      <c r="ACP17" s="6"/>
      <c r="ACQ17" s="6"/>
      <c r="ACR17" s="6"/>
      <c r="ACS17" s="6"/>
      <c r="ACT17" s="6"/>
      <c r="ACU17" s="6"/>
      <c r="ACV17" s="6"/>
      <c r="ACW17" s="6"/>
      <c r="ACX17" s="6"/>
      <c r="ACY17" s="6"/>
      <c r="ACZ17" s="6"/>
      <c r="ADA17" s="6"/>
      <c r="ADB17" s="6"/>
      <c r="ADC17" s="6"/>
      <c r="ADD17" s="6"/>
      <c r="ADE17" s="6"/>
      <c r="ADF17" s="6"/>
      <c r="ADG17" s="6"/>
      <c r="ADH17" s="6"/>
      <c r="ADI17" s="6"/>
      <c r="ADJ17" s="6"/>
      <c r="ADK17" s="6"/>
      <c r="ADL17" s="6"/>
      <c r="ADM17" s="6"/>
      <c r="ADN17" s="6"/>
      <c r="ADO17" s="6"/>
      <c r="ADP17" s="6"/>
      <c r="ADQ17" s="6"/>
      <c r="ADR17" s="6"/>
      <c r="ADS17" s="6"/>
      <c r="ADT17" s="6"/>
      <c r="ADU17" s="6"/>
      <c r="ADV17" s="6"/>
      <c r="ADW17" s="6"/>
      <c r="ADX17" s="6"/>
      <c r="ADY17" s="6"/>
      <c r="ADZ17" s="6"/>
      <c r="AEA17" s="6"/>
      <c r="AEB17" s="6"/>
      <c r="AEC17" s="6" t="s">
        <v>4</v>
      </c>
      <c r="AED17" s="6"/>
      <c r="AEE17" s="6"/>
      <c r="AEF17" s="6"/>
      <c r="AEG17" s="6"/>
      <c r="AEH17" s="6"/>
      <c r="AEI17" s="6"/>
      <c r="AEJ17" s="6"/>
      <c r="AEK17" s="6"/>
      <c r="AEL17" s="6"/>
      <c r="AEM17" s="6"/>
      <c r="AEN17" s="6"/>
      <c r="AEO17" s="6"/>
      <c r="AEP17" s="6"/>
      <c r="AEQ17" s="6"/>
      <c r="AER17" s="6"/>
      <c r="AES17" s="6"/>
      <c r="AET17" s="6"/>
      <c r="AEU17" s="6"/>
      <c r="AEV17" s="6"/>
      <c r="AEW17" s="6"/>
      <c r="AEX17" s="6"/>
      <c r="AEY17" s="6"/>
      <c r="AEZ17" s="6"/>
      <c r="AFA17" s="6"/>
      <c r="AFB17" s="6"/>
      <c r="AFC17" s="6"/>
      <c r="AFD17" s="6"/>
      <c r="AFE17" s="6"/>
      <c r="AFF17" s="6"/>
      <c r="AFG17" s="6"/>
      <c r="AFH17" s="6"/>
      <c r="AFI17" s="6"/>
      <c r="AFJ17" s="6"/>
      <c r="AFK17" s="6"/>
      <c r="AFL17" s="6"/>
      <c r="AFM17" s="6"/>
      <c r="AFN17" s="6"/>
      <c r="AFO17" s="6"/>
      <c r="AFP17" s="6"/>
      <c r="AFQ17" s="6"/>
      <c r="AFR17" s="6"/>
      <c r="AFS17" s="6"/>
      <c r="AFT17" s="6"/>
      <c r="AFU17" s="6"/>
      <c r="AFV17" s="6"/>
      <c r="AFW17" s="6"/>
      <c r="AFX17" s="6"/>
      <c r="AFY17" s="6"/>
      <c r="AFZ17" s="6"/>
      <c r="AGA17" s="6"/>
      <c r="AGB17" s="6"/>
      <c r="AGC17" s="6"/>
      <c r="AGD17" s="6"/>
      <c r="AGE17" s="6"/>
      <c r="AGF17" s="6"/>
      <c r="AGG17" s="6"/>
      <c r="AGH17" s="6"/>
      <c r="AGI17" s="15"/>
      <c r="AGJ17" s="6"/>
      <c r="AGK17" s="6"/>
      <c r="AGL17" s="6"/>
      <c r="AGM17" s="6"/>
      <c r="AGN17" s="6"/>
      <c r="AGO17" s="6"/>
      <c r="AGP17" s="6"/>
      <c r="AGQ17" s="6" t="s">
        <v>4</v>
      </c>
      <c r="AGR17" s="6"/>
      <c r="AGS17" s="6"/>
      <c r="AGT17" s="6"/>
      <c r="AGU17" s="6"/>
      <c r="AGV17" s="6"/>
      <c r="AGW17" s="6"/>
      <c r="AGX17" s="6"/>
      <c r="AGY17" s="6"/>
      <c r="AGZ17" s="6"/>
      <c r="AHA17" s="6"/>
      <c r="AHB17" s="6"/>
      <c r="AHC17" s="6"/>
      <c r="AHD17" s="6"/>
      <c r="AHE17" s="6"/>
      <c r="AHF17" s="6"/>
      <c r="AHG17" s="6"/>
      <c r="AHH17" s="6"/>
      <c r="AHI17" s="6"/>
      <c r="AHJ17" s="6"/>
      <c r="AHK17" s="6"/>
      <c r="AHL17" s="6"/>
      <c r="AHM17" s="6"/>
      <c r="AHN17" s="6"/>
      <c r="AHO17" s="6"/>
      <c r="AHP17" s="6"/>
      <c r="AHQ17" s="6"/>
      <c r="AHR17" s="6"/>
      <c r="AHS17" s="6"/>
      <c r="AHT17" s="6"/>
      <c r="AHU17" s="6"/>
      <c r="AHV17" s="6"/>
      <c r="AHW17" s="6"/>
      <c r="AHX17" s="6"/>
      <c r="AHY17" s="6"/>
      <c r="AHZ17" s="6"/>
      <c r="AIA17" s="6"/>
      <c r="AIB17" s="6"/>
      <c r="AIC17" s="6"/>
      <c r="AID17" s="6"/>
      <c r="AIE17" s="6"/>
      <c r="AIF17" s="6"/>
      <c r="AIG17" s="6"/>
      <c r="AIH17" s="6"/>
      <c r="AII17" s="6"/>
      <c r="AIJ17" s="6"/>
      <c r="AIK17" s="6"/>
      <c r="AIL17" s="6"/>
      <c r="AIM17" s="6"/>
      <c r="AIN17" s="6"/>
      <c r="AIO17" s="6"/>
      <c r="AIP17" s="6"/>
      <c r="AIQ17" s="6"/>
      <c r="AIR17" s="6"/>
      <c r="AIS17" s="6"/>
      <c r="AIT17" s="6"/>
      <c r="AIU17" s="6"/>
      <c r="AIV17" s="6"/>
      <c r="AIW17" s="6"/>
      <c r="AIX17" s="6"/>
      <c r="AIY17" s="6"/>
      <c r="AIZ17" s="6"/>
      <c r="AJA17" s="6"/>
      <c r="AJB17" s="6"/>
      <c r="AJC17" s="6"/>
      <c r="AJD17" s="6"/>
      <c r="AJE17" s="6"/>
      <c r="AJF17" s="6"/>
      <c r="AJG17" s="6"/>
      <c r="AJH17" s="6"/>
      <c r="AJI17" s="6"/>
      <c r="AJJ17" s="6"/>
      <c r="AJK17" s="6"/>
      <c r="AJL17" s="6"/>
      <c r="AJM17" s="6"/>
      <c r="AJN17" s="6"/>
      <c r="AJO17" s="6"/>
      <c r="AJP17" s="6"/>
      <c r="AJQ17" s="6" t="s">
        <v>4</v>
      </c>
      <c r="AJR17" s="6"/>
      <c r="AJS17" s="6"/>
      <c r="AJT17" s="6"/>
      <c r="AJU17" s="6"/>
      <c r="AJV17" s="6"/>
      <c r="AJW17" s="6"/>
      <c r="AJX17" s="6"/>
      <c r="AJY17" s="6"/>
      <c r="AJZ17" s="6"/>
      <c r="AKA17" s="6"/>
      <c r="AKB17" s="6"/>
      <c r="AKC17" s="6"/>
      <c r="AKD17" s="6"/>
      <c r="AKE17" s="6"/>
      <c r="AKF17" s="6"/>
      <c r="AKG17" s="6"/>
      <c r="AKH17" s="6"/>
      <c r="AKI17" s="6"/>
      <c r="AKJ17" s="6"/>
      <c r="AKK17" s="6"/>
      <c r="AKL17" s="6"/>
      <c r="AKM17" s="6"/>
      <c r="AKN17" s="6"/>
      <c r="AKO17" s="6"/>
      <c r="AKP17" s="6"/>
      <c r="AKQ17" s="6"/>
      <c r="AKR17" s="6"/>
      <c r="AKS17" s="6"/>
      <c r="AKT17" s="6"/>
      <c r="AKU17" s="6"/>
      <c r="AKV17" s="6"/>
      <c r="AKW17" s="6"/>
      <c r="AKX17" s="6"/>
      <c r="AKY17" s="6"/>
      <c r="AKZ17" s="6"/>
      <c r="ALA17" s="6"/>
      <c r="ALB17" s="6"/>
      <c r="ALC17" s="6"/>
      <c r="ALD17" s="6"/>
      <c r="ALE17" s="6"/>
      <c r="ALF17" s="6"/>
      <c r="ALG17" s="6"/>
      <c r="ALH17" s="6"/>
      <c r="ALI17" s="6"/>
      <c r="ALJ17" s="6"/>
      <c r="ALK17" s="6"/>
      <c r="ALL17" s="6"/>
      <c r="ALM17" s="6"/>
      <c r="ALN17" s="6"/>
      <c r="ALO17" s="6"/>
      <c r="ALP17" s="6"/>
      <c r="ALQ17" s="6"/>
      <c r="ALR17" s="6"/>
      <c r="ALS17" s="6"/>
      <c r="ALT17" s="6"/>
      <c r="ALU17" s="6"/>
      <c r="ALV17" s="6"/>
      <c r="ALW17" s="15"/>
    </row>
    <row r="18" spans="2:1011" x14ac:dyDescent="0.25">
      <c r="B18" s="10" t="s">
        <v>19</v>
      </c>
      <c r="C18" s="5"/>
      <c r="D18" s="6" t="str">
        <f>IF(D$19="M0","M0", "M1")</f>
        <v>M0</v>
      </c>
      <c r="E18" s="6" t="str">
        <f t="shared" ref="E18:BP18" si="1034">IF(E$19="M0","M0", "M1")</f>
        <v>M0</v>
      </c>
      <c r="F18" s="6" t="str">
        <f t="shared" si="1034"/>
        <v>M0</v>
      </c>
      <c r="G18" s="6" t="str">
        <f t="shared" si="1034"/>
        <v>M0</v>
      </c>
      <c r="H18" s="6" t="str">
        <f t="shared" si="1034"/>
        <v>M0</v>
      </c>
      <c r="I18" s="6" t="str">
        <f t="shared" si="1034"/>
        <v>M0</v>
      </c>
      <c r="J18" s="6" t="str">
        <f t="shared" si="1034"/>
        <v>M0</v>
      </c>
      <c r="K18" s="6" t="str">
        <f t="shared" si="1034"/>
        <v>M0</v>
      </c>
      <c r="L18" s="6" t="str">
        <f t="shared" si="1034"/>
        <v>M0</v>
      </c>
      <c r="M18" s="6" t="str">
        <f t="shared" si="1034"/>
        <v>M0</v>
      </c>
      <c r="N18" s="6" t="str">
        <f t="shared" si="1034"/>
        <v>M0</v>
      </c>
      <c r="O18" s="6" t="str">
        <f t="shared" si="1034"/>
        <v>M0</v>
      </c>
      <c r="P18" s="6" t="str">
        <f t="shared" si="1034"/>
        <v>M0</v>
      </c>
      <c r="Q18" s="6" t="str">
        <f t="shared" si="1034"/>
        <v>M0</v>
      </c>
      <c r="R18" s="6" t="str">
        <f t="shared" si="1034"/>
        <v>M0</v>
      </c>
      <c r="S18" s="6" t="str">
        <f t="shared" si="1034"/>
        <v>M0</v>
      </c>
      <c r="T18" s="6" t="str">
        <f t="shared" si="1034"/>
        <v>M0</v>
      </c>
      <c r="U18" s="6" t="str">
        <f t="shared" si="1034"/>
        <v>M0</v>
      </c>
      <c r="V18" s="6" t="str">
        <f t="shared" si="1034"/>
        <v>M1</v>
      </c>
      <c r="W18" s="6" t="str">
        <f t="shared" si="1034"/>
        <v>M1</v>
      </c>
      <c r="X18" s="6" t="str">
        <f t="shared" si="1034"/>
        <v>M1</v>
      </c>
      <c r="Y18" s="6" t="str">
        <f t="shared" si="1034"/>
        <v>M1</v>
      </c>
      <c r="Z18" s="6" t="str">
        <f t="shared" si="1034"/>
        <v>M0</v>
      </c>
      <c r="AA18" s="6" t="str">
        <f t="shared" si="1034"/>
        <v>M0</v>
      </c>
      <c r="AB18" s="6" t="str">
        <f t="shared" si="1034"/>
        <v>M0</v>
      </c>
      <c r="AC18" s="6" t="str">
        <f t="shared" si="1034"/>
        <v>M0</v>
      </c>
      <c r="AD18" s="6" t="str">
        <f t="shared" si="1034"/>
        <v>M0</v>
      </c>
      <c r="AE18" s="6" t="str">
        <f t="shared" si="1034"/>
        <v>M0</v>
      </c>
      <c r="AF18" s="6" t="str">
        <f t="shared" si="1034"/>
        <v>M0</v>
      </c>
      <c r="AG18" s="6" t="str">
        <f t="shared" si="1034"/>
        <v>M0</v>
      </c>
      <c r="AH18" s="6" t="str">
        <f t="shared" si="1034"/>
        <v>M0</v>
      </c>
      <c r="AI18" s="6" t="str">
        <f t="shared" si="1034"/>
        <v>M0</v>
      </c>
      <c r="AJ18" s="6" t="str">
        <f t="shared" si="1034"/>
        <v>M0</v>
      </c>
      <c r="AK18" s="6" t="str">
        <f t="shared" si="1034"/>
        <v>M0</v>
      </c>
      <c r="AL18" s="6" t="str">
        <f t="shared" si="1034"/>
        <v>M0</v>
      </c>
      <c r="AM18" s="6" t="str">
        <f t="shared" si="1034"/>
        <v>M0</v>
      </c>
      <c r="AN18" s="6" t="str">
        <f t="shared" si="1034"/>
        <v>M0</v>
      </c>
      <c r="AO18" s="6" t="str">
        <f t="shared" si="1034"/>
        <v>M0</v>
      </c>
      <c r="AP18" s="6" t="str">
        <f t="shared" si="1034"/>
        <v>M0</v>
      </c>
      <c r="AQ18" s="6" t="str">
        <f t="shared" si="1034"/>
        <v>M0</v>
      </c>
      <c r="AR18" s="6" t="str">
        <f t="shared" si="1034"/>
        <v>M0</v>
      </c>
      <c r="AS18" s="6" t="str">
        <f t="shared" si="1034"/>
        <v>M0</v>
      </c>
      <c r="AT18" s="6" t="str">
        <f t="shared" si="1034"/>
        <v>M0</v>
      </c>
      <c r="AU18" s="6" t="str">
        <f t="shared" si="1034"/>
        <v>M0</v>
      </c>
      <c r="AV18" s="6" t="str">
        <f t="shared" si="1034"/>
        <v>M0</v>
      </c>
      <c r="AW18" s="6" t="str">
        <f t="shared" si="1034"/>
        <v>M0</v>
      </c>
      <c r="AX18" s="6" t="str">
        <f t="shared" si="1034"/>
        <v>M0</v>
      </c>
      <c r="AY18" s="6" t="str">
        <f t="shared" si="1034"/>
        <v>M0</v>
      </c>
      <c r="AZ18" s="6" t="str">
        <f t="shared" si="1034"/>
        <v>M0</v>
      </c>
      <c r="BA18" s="6" t="str">
        <f t="shared" si="1034"/>
        <v>M0</v>
      </c>
      <c r="BB18" s="6" t="str">
        <f t="shared" si="1034"/>
        <v>M0</v>
      </c>
      <c r="BC18" s="6" t="str">
        <f t="shared" si="1034"/>
        <v>M0</v>
      </c>
      <c r="BD18" s="6" t="str">
        <f t="shared" si="1034"/>
        <v>M0</v>
      </c>
      <c r="BE18" s="6" t="str">
        <f t="shared" si="1034"/>
        <v>M0</v>
      </c>
      <c r="BF18" s="6" t="str">
        <f t="shared" si="1034"/>
        <v>M0</v>
      </c>
      <c r="BG18" s="6" t="str">
        <f t="shared" si="1034"/>
        <v>M0</v>
      </c>
      <c r="BH18" s="6" t="str">
        <f t="shared" si="1034"/>
        <v>M0</v>
      </c>
      <c r="BI18" s="6" t="str">
        <f t="shared" si="1034"/>
        <v>M0</v>
      </c>
      <c r="BJ18" s="6" t="str">
        <f t="shared" si="1034"/>
        <v>M0</v>
      </c>
      <c r="BK18" s="6" t="str">
        <f t="shared" si="1034"/>
        <v>M0</v>
      </c>
      <c r="BL18" s="6" t="str">
        <f t="shared" si="1034"/>
        <v>M0</v>
      </c>
      <c r="BM18" s="6" t="str">
        <f t="shared" si="1034"/>
        <v>M0</v>
      </c>
      <c r="BN18" s="6" t="str">
        <f t="shared" si="1034"/>
        <v>M0</v>
      </c>
      <c r="BO18" s="6" t="str">
        <f t="shared" si="1034"/>
        <v>M0</v>
      </c>
      <c r="BP18" s="6" t="str">
        <f t="shared" si="1034"/>
        <v>M0</v>
      </c>
      <c r="BQ18" s="6" t="str">
        <f t="shared" ref="BQ18:EB18" si="1035">IF(BQ$19="M0","M0", "M1")</f>
        <v>M0</v>
      </c>
      <c r="BR18" s="6" t="str">
        <f t="shared" si="1035"/>
        <v>M0</v>
      </c>
      <c r="BS18" s="6" t="str">
        <f t="shared" si="1035"/>
        <v>M0</v>
      </c>
      <c r="BT18" s="6" t="str">
        <f t="shared" si="1035"/>
        <v>M0</v>
      </c>
      <c r="BU18" s="6" t="str">
        <f t="shared" si="1035"/>
        <v>M0</v>
      </c>
      <c r="BV18" s="6" t="str">
        <f t="shared" si="1035"/>
        <v>M0</v>
      </c>
      <c r="BW18" s="6" t="str">
        <f t="shared" si="1035"/>
        <v>M0</v>
      </c>
      <c r="BX18" s="6" t="str">
        <f t="shared" si="1035"/>
        <v>M0</v>
      </c>
      <c r="BY18" s="6" t="str">
        <f t="shared" si="1035"/>
        <v>M0</v>
      </c>
      <c r="BZ18" s="6" t="str">
        <f t="shared" si="1035"/>
        <v>M0</v>
      </c>
      <c r="CA18" s="6" t="str">
        <f t="shared" si="1035"/>
        <v>M0</v>
      </c>
      <c r="CB18" s="6" t="str">
        <f t="shared" si="1035"/>
        <v>M0</v>
      </c>
      <c r="CC18" s="6" t="str">
        <f t="shared" si="1035"/>
        <v>M0</v>
      </c>
      <c r="CD18" s="6" t="str">
        <f t="shared" si="1035"/>
        <v>M0</v>
      </c>
      <c r="CE18" s="6" t="str">
        <f t="shared" si="1035"/>
        <v>M0</v>
      </c>
      <c r="CF18" s="6" t="str">
        <f t="shared" si="1035"/>
        <v>M0</v>
      </c>
      <c r="CG18" s="6" t="str">
        <f t="shared" si="1035"/>
        <v>M0</v>
      </c>
      <c r="CH18" s="6" t="str">
        <f t="shared" si="1035"/>
        <v>M0</v>
      </c>
      <c r="CI18" s="6" t="str">
        <f t="shared" si="1035"/>
        <v>M0</v>
      </c>
      <c r="CJ18" s="6" t="str">
        <f t="shared" si="1035"/>
        <v>M0</v>
      </c>
      <c r="CK18" s="6" t="str">
        <f t="shared" si="1035"/>
        <v>M0</v>
      </c>
      <c r="CL18" s="6" t="str">
        <f t="shared" si="1035"/>
        <v>M0</v>
      </c>
      <c r="CM18" s="6" t="str">
        <f t="shared" si="1035"/>
        <v>M0</v>
      </c>
      <c r="CN18" s="6" t="str">
        <f t="shared" si="1035"/>
        <v>M0</v>
      </c>
      <c r="CO18" s="6" t="str">
        <f t="shared" si="1035"/>
        <v>M0</v>
      </c>
      <c r="CP18" s="6" t="str">
        <f t="shared" si="1035"/>
        <v>M1</v>
      </c>
      <c r="CQ18" s="6" t="str">
        <f t="shared" si="1035"/>
        <v>M1</v>
      </c>
      <c r="CR18" s="6" t="str">
        <f t="shared" si="1035"/>
        <v>M1</v>
      </c>
      <c r="CS18" s="6" t="str">
        <f t="shared" si="1035"/>
        <v>M1</v>
      </c>
      <c r="CT18" s="6" t="str">
        <f t="shared" si="1035"/>
        <v>M0</v>
      </c>
      <c r="CU18" s="6" t="str">
        <f t="shared" si="1035"/>
        <v>M0</v>
      </c>
      <c r="CV18" s="6" t="str">
        <f t="shared" si="1035"/>
        <v>M0</v>
      </c>
      <c r="CW18" s="6" t="str">
        <f t="shared" si="1035"/>
        <v>M0</v>
      </c>
      <c r="CX18" s="6" t="str">
        <f t="shared" si="1035"/>
        <v>M0</v>
      </c>
      <c r="CY18" s="6" t="str">
        <f t="shared" si="1035"/>
        <v>M0</v>
      </c>
      <c r="CZ18" s="6" t="str">
        <f t="shared" si="1035"/>
        <v>M0</v>
      </c>
      <c r="DA18" s="6" t="str">
        <f t="shared" si="1035"/>
        <v>M0</v>
      </c>
      <c r="DB18" s="6" t="str">
        <f t="shared" si="1035"/>
        <v>M0</v>
      </c>
      <c r="DC18" s="6" t="str">
        <f t="shared" si="1035"/>
        <v>M0</v>
      </c>
      <c r="DD18" s="6" t="str">
        <f t="shared" si="1035"/>
        <v>M0</v>
      </c>
      <c r="DE18" s="6" t="str">
        <f t="shared" si="1035"/>
        <v>M0</v>
      </c>
      <c r="DF18" s="6" t="str">
        <f t="shared" si="1035"/>
        <v>M0</v>
      </c>
      <c r="DG18" s="6" t="str">
        <f t="shared" si="1035"/>
        <v>M0</v>
      </c>
      <c r="DH18" s="6" t="str">
        <f t="shared" si="1035"/>
        <v>M0</v>
      </c>
      <c r="DI18" s="6" t="str">
        <f t="shared" si="1035"/>
        <v>M0</v>
      </c>
      <c r="DJ18" s="6" t="str">
        <f t="shared" si="1035"/>
        <v>M0</v>
      </c>
      <c r="DK18" s="6" t="str">
        <f t="shared" si="1035"/>
        <v>M0</v>
      </c>
      <c r="DL18" s="6" t="str">
        <f t="shared" si="1035"/>
        <v>M0</v>
      </c>
      <c r="DM18" s="6" t="str">
        <f t="shared" si="1035"/>
        <v>M0</v>
      </c>
      <c r="DN18" s="6" t="str">
        <f t="shared" si="1035"/>
        <v>M0</v>
      </c>
      <c r="DO18" s="6" t="str">
        <f t="shared" si="1035"/>
        <v>M0</v>
      </c>
      <c r="DP18" s="6" t="str">
        <f t="shared" si="1035"/>
        <v>M0</v>
      </c>
      <c r="DQ18" s="6" t="str">
        <f t="shared" si="1035"/>
        <v>M0</v>
      </c>
      <c r="DR18" s="6" t="str">
        <f t="shared" si="1035"/>
        <v>M0</v>
      </c>
      <c r="DS18" s="6" t="str">
        <f t="shared" si="1035"/>
        <v>M0</v>
      </c>
      <c r="DT18" s="6" t="str">
        <f t="shared" si="1035"/>
        <v>M0</v>
      </c>
      <c r="DU18" s="6" t="str">
        <f t="shared" si="1035"/>
        <v>M0</v>
      </c>
      <c r="DV18" s="6" t="str">
        <f t="shared" si="1035"/>
        <v>M0</v>
      </c>
      <c r="DW18" s="6" t="str">
        <f t="shared" si="1035"/>
        <v>M0</v>
      </c>
      <c r="DX18" s="6" t="str">
        <f t="shared" si="1035"/>
        <v>M0</v>
      </c>
      <c r="DY18" s="6" t="str">
        <f t="shared" si="1035"/>
        <v>M0</v>
      </c>
      <c r="DZ18" s="6" t="str">
        <f t="shared" si="1035"/>
        <v>M0</v>
      </c>
      <c r="EA18" s="6" t="str">
        <f t="shared" si="1035"/>
        <v>M0</v>
      </c>
      <c r="EB18" s="6" t="str">
        <f t="shared" si="1035"/>
        <v>M0</v>
      </c>
      <c r="EC18" s="6" t="str">
        <f t="shared" ref="EC18:GN18" si="1036">IF(EC$19="M0","M0", "M1")</f>
        <v>M0</v>
      </c>
      <c r="ED18" s="6" t="str">
        <f t="shared" si="1036"/>
        <v>M0</v>
      </c>
      <c r="EE18" s="6" t="str">
        <f t="shared" si="1036"/>
        <v>M0</v>
      </c>
      <c r="EF18" s="6" t="str">
        <f t="shared" si="1036"/>
        <v>M0</v>
      </c>
      <c r="EG18" s="6" t="str">
        <f t="shared" si="1036"/>
        <v>M0</v>
      </c>
      <c r="EH18" s="6" t="str">
        <f t="shared" si="1036"/>
        <v>M0</v>
      </c>
      <c r="EI18" s="6" t="str">
        <f t="shared" si="1036"/>
        <v>M0</v>
      </c>
      <c r="EJ18" s="6" t="str">
        <f t="shared" si="1036"/>
        <v>M0</v>
      </c>
      <c r="EK18" s="6" t="str">
        <f t="shared" si="1036"/>
        <v>M0</v>
      </c>
      <c r="EL18" s="6" t="str">
        <f t="shared" si="1036"/>
        <v>M0</v>
      </c>
      <c r="EM18" s="6" t="str">
        <f t="shared" si="1036"/>
        <v>M0</v>
      </c>
      <c r="EN18" s="6" t="str">
        <f t="shared" si="1036"/>
        <v>M0</v>
      </c>
      <c r="EO18" s="6" t="str">
        <f t="shared" si="1036"/>
        <v>M0</v>
      </c>
      <c r="EP18" s="6" t="str">
        <f t="shared" si="1036"/>
        <v>M0</v>
      </c>
      <c r="EQ18" s="6" t="str">
        <f t="shared" si="1036"/>
        <v>M0</v>
      </c>
      <c r="ER18" s="6" t="str">
        <f t="shared" si="1036"/>
        <v>M0</v>
      </c>
      <c r="ES18" s="6" t="str">
        <f t="shared" si="1036"/>
        <v>M0</v>
      </c>
      <c r="ET18" s="6" t="str">
        <f t="shared" si="1036"/>
        <v>M0</v>
      </c>
      <c r="EU18" s="6" t="str">
        <f t="shared" si="1036"/>
        <v>M0</v>
      </c>
      <c r="EV18" s="6" t="str">
        <f t="shared" si="1036"/>
        <v>M0</v>
      </c>
      <c r="EW18" s="6" t="str">
        <f t="shared" si="1036"/>
        <v>M0</v>
      </c>
      <c r="EX18" s="6" t="str">
        <f t="shared" si="1036"/>
        <v>M0</v>
      </c>
      <c r="EY18" s="6" t="str">
        <f t="shared" si="1036"/>
        <v>M0</v>
      </c>
      <c r="EZ18" s="6" t="str">
        <f t="shared" si="1036"/>
        <v>M0</v>
      </c>
      <c r="FA18" s="6" t="str">
        <f t="shared" si="1036"/>
        <v>M0</v>
      </c>
      <c r="FB18" s="6" t="str">
        <f t="shared" si="1036"/>
        <v>M0</v>
      </c>
      <c r="FC18" s="6" t="str">
        <f t="shared" si="1036"/>
        <v>M0</v>
      </c>
      <c r="FD18" s="6" t="str">
        <f t="shared" si="1036"/>
        <v>M0</v>
      </c>
      <c r="FE18" s="6" t="str">
        <f t="shared" si="1036"/>
        <v>M0</v>
      </c>
      <c r="FF18" s="6" t="str">
        <f t="shared" si="1036"/>
        <v>M0</v>
      </c>
      <c r="FG18" s="6" t="str">
        <f t="shared" si="1036"/>
        <v>M0</v>
      </c>
      <c r="FH18" s="6" t="str">
        <f t="shared" si="1036"/>
        <v>M0</v>
      </c>
      <c r="FI18" s="6" t="str">
        <f t="shared" si="1036"/>
        <v>M0</v>
      </c>
      <c r="FJ18" s="6" t="str">
        <f t="shared" si="1036"/>
        <v>M1</v>
      </c>
      <c r="FK18" s="6" t="str">
        <f t="shared" si="1036"/>
        <v>M1</v>
      </c>
      <c r="FL18" s="6" t="str">
        <f t="shared" si="1036"/>
        <v>M1</v>
      </c>
      <c r="FM18" s="6" t="str">
        <f t="shared" si="1036"/>
        <v>M1</v>
      </c>
      <c r="FN18" s="6" t="str">
        <f t="shared" si="1036"/>
        <v>M0</v>
      </c>
      <c r="FO18" s="6" t="str">
        <f t="shared" si="1036"/>
        <v>M0</v>
      </c>
      <c r="FP18" s="6" t="str">
        <f t="shared" si="1036"/>
        <v>M0</v>
      </c>
      <c r="FQ18" s="6" t="str">
        <f t="shared" si="1036"/>
        <v>M0</v>
      </c>
      <c r="FR18" s="6" t="str">
        <f t="shared" si="1036"/>
        <v>M0</v>
      </c>
      <c r="FS18" s="6" t="str">
        <f t="shared" si="1036"/>
        <v>M0</v>
      </c>
      <c r="FT18" s="6" t="str">
        <f t="shared" si="1036"/>
        <v>M0</v>
      </c>
      <c r="FU18" s="6" t="str">
        <f t="shared" si="1036"/>
        <v>M0</v>
      </c>
      <c r="FV18" s="6" t="str">
        <f t="shared" si="1036"/>
        <v>M0</v>
      </c>
      <c r="FW18" s="6" t="str">
        <f t="shared" si="1036"/>
        <v>M0</v>
      </c>
      <c r="FX18" s="6" t="str">
        <f t="shared" si="1036"/>
        <v>M0</v>
      </c>
      <c r="FY18" s="6" t="str">
        <f t="shared" si="1036"/>
        <v>M0</v>
      </c>
      <c r="FZ18" s="6" t="str">
        <f t="shared" si="1036"/>
        <v>M0</v>
      </c>
      <c r="GA18" s="6" t="str">
        <f t="shared" si="1036"/>
        <v>M0</v>
      </c>
      <c r="GB18" s="6" t="str">
        <f t="shared" si="1036"/>
        <v>M0</v>
      </c>
      <c r="GC18" s="6" t="str">
        <f t="shared" si="1036"/>
        <v>M0</v>
      </c>
      <c r="GD18" s="6" t="str">
        <f t="shared" si="1036"/>
        <v>M0</v>
      </c>
      <c r="GE18" s="6" t="str">
        <f t="shared" si="1036"/>
        <v>M0</v>
      </c>
      <c r="GF18" s="6" t="str">
        <f t="shared" si="1036"/>
        <v>M0</v>
      </c>
      <c r="GG18" s="6" t="str">
        <f t="shared" si="1036"/>
        <v>M0</v>
      </c>
      <c r="GH18" s="6" t="str">
        <f t="shared" si="1036"/>
        <v>M0</v>
      </c>
      <c r="GI18" s="6" t="str">
        <f t="shared" si="1036"/>
        <v>M0</v>
      </c>
      <c r="GJ18" s="6" t="str">
        <f t="shared" si="1036"/>
        <v>M0</v>
      </c>
      <c r="GK18" s="6" t="str">
        <f t="shared" si="1036"/>
        <v>M0</v>
      </c>
      <c r="GL18" s="6" t="str">
        <f t="shared" si="1036"/>
        <v>M0</v>
      </c>
      <c r="GM18" s="6" t="str">
        <f t="shared" si="1036"/>
        <v>M0</v>
      </c>
      <c r="GN18" s="6" t="str">
        <f t="shared" si="1036"/>
        <v>M0</v>
      </c>
      <c r="GO18" s="6" t="str">
        <f t="shared" ref="GO18:IZ18" si="1037">IF(GO$19="M0","M0", "M1")</f>
        <v>M0</v>
      </c>
      <c r="GP18" s="6" t="str">
        <f t="shared" si="1037"/>
        <v>M0</v>
      </c>
      <c r="GQ18" s="6" t="str">
        <f t="shared" si="1037"/>
        <v>M0</v>
      </c>
      <c r="GR18" s="6" t="str">
        <f t="shared" si="1037"/>
        <v>M0</v>
      </c>
      <c r="GS18" s="6" t="str">
        <f t="shared" si="1037"/>
        <v>M0</v>
      </c>
      <c r="GT18" s="6" t="str">
        <f t="shared" si="1037"/>
        <v>M0</v>
      </c>
      <c r="GU18" s="6" t="str">
        <f t="shared" si="1037"/>
        <v>M0</v>
      </c>
      <c r="GV18" s="6" t="str">
        <f t="shared" si="1037"/>
        <v>M0</v>
      </c>
      <c r="GW18" s="6" t="str">
        <f t="shared" si="1037"/>
        <v>M0</v>
      </c>
      <c r="GX18" s="6" t="str">
        <f t="shared" si="1037"/>
        <v>M0</v>
      </c>
      <c r="GY18" s="6" t="str">
        <f t="shared" si="1037"/>
        <v>M0</v>
      </c>
      <c r="GZ18" s="6" t="str">
        <f t="shared" si="1037"/>
        <v>M0</v>
      </c>
      <c r="HA18" s="6" t="str">
        <f t="shared" si="1037"/>
        <v>M0</v>
      </c>
      <c r="HB18" s="6" t="str">
        <f t="shared" si="1037"/>
        <v>M0</v>
      </c>
      <c r="HC18" s="6" t="str">
        <f t="shared" si="1037"/>
        <v>M0</v>
      </c>
      <c r="HD18" s="6" t="str">
        <f t="shared" si="1037"/>
        <v>M0</v>
      </c>
      <c r="HE18" s="6" t="str">
        <f t="shared" si="1037"/>
        <v>M0</v>
      </c>
      <c r="HF18" s="6" t="str">
        <f t="shared" si="1037"/>
        <v>M0</v>
      </c>
      <c r="HG18" s="6" t="str">
        <f t="shared" si="1037"/>
        <v>M0</v>
      </c>
      <c r="HH18" s="6" t="str">
        <f t="shared" si="1037"/>
        <v>M0</v>
      </c>
      <c r="HI18" s="6" t="str">
        <f t="shared" si="1037"/>
        <v>M0</v>
      </c>
      <c r="HJ18" s="6" t="str">
        <f t="shared" si="1037"/>
        <v>M0</v>
      </c>
      <c r="HK18" s="6" t="str">
        <f t="shared" si="1037"/>
        <v>M0</v>
      </c>
      <c r="HL18" s="6" t="str">
        <f t="shared" si="1037"/>
        <v>M0</v>
      </c>
      <c r="HM18" s="6" t="str">
        <f t="shared" si="1037"/>
        <v>M0</v>
      </c>
      <c r="HN18" s="6" t="str">
        <f t="shared" si="1037"/>
        <v>M0</v>
      </c>
      <c r="HO18" s="6" t="str">
        <f t="shared" si="1037"/>
        <v>M0</v>
      </c>
      <c r="HP18" s="6" t="str">
        <f t="shared" si="1037"/>
        <v>M0</v>
      </c>
      <c r="HQ18" s="6" t="str">
        <f t="shared" si="1037"/>
        <v>M0</v>
      </c>
      <c r="HR18" s="6" t="str">
        <f t="shared" si="1037"/>
        <v>M0</v>
      </c>
      <c r="HS18" s="6" t="str">
        <f t="shared" si="1037"/>
        <v>M0</v>
      </c>
      <c r="HT18" s="6" t="str">
        <f t="shared" si="1037"/>
        <v>M0</v>
      </c>
      <c r="HU18" s="6" t="str">
        <f t="shared" si="1037"/>
        <v>M0</v>
      </c>
      <c r="HV18" s="6" t="str">
        <f t="shared" si="1037"/>
        <v>M0</v>
      </c>
      <c r="HW18" s="6" t="str">
        <f t="shared" si="1037"/>
        <v>M0</v>
      </c>
      <c r="HX18" s="6" t="str">
        <f t="shared" si="1037"/>
        <v>M0</v>
      </c>
      <c r="HY18" s="6" t="str">
        <f t="shared" si="1037"/>
        <v>M0</v>
      </c>
      <c r="HZ18" s="6" t="str">
        <f t="shared" si="1037"/>
        <v>M0</v>
      </c>
      <c r="IA18" s="6" t="str">
        <f t="shared" si="1037"/>
        <v>M0</v>
      </c>
      <c r="IB18" s="6" t="str">
        <f t="shared" si="1037"/>
        <v>M0</v>
      </c>
      <c r="IC18" s="6" t="str">
        <f t="shared" si="1037"/>
        <v>M0</v>
      </c>
      <c r="ID18" s="6" t="str">
        <f t="shared" si="1037"/>
        <v>M1</v>
      </c>
      <c r="IE18" s="6" t="str">
        <f t="shared" si="1037"/>
        <v>M1</v>
      </c>
      <c r="IF18" s="6" t="str">
        <f t="shared" si="1037"/>
        <v>M1</v>
      </c>
      <c r="IG18" s="6" t="str">
        <f t="shared" si="1037"/>
        <v>M1</v>
      </c>
      <c r="IH18" s="6" t="str">
        <f t="shared" si="1037"/>
        <v>M0</v>
      </c>
      <c r="II18" s="6" t="str">
        <f t="shared" si="1037"/>
        <v>M0</v>
      </c>
      <c r="IJ18" s="6" t="str">
        <f t="shared" si="1037"/>
        <v>M0</v>
      </c>
      <c r="IK18" s="6" t="str">
        <f t="shared" si="1037"/>
        <v>M0</v>
      </c>
      <c r="IL18" s="6" t="str">
        <f t="shared" si="1037"/>
        <v>M0</v>
      </c>
      <c r="IM18" s="6" t="str">
        <f t="shared" si="1037"/>
        <v>M0</v>
      </c>
      <c r="IN18" s="6" t="str">
        <f t="shared" si="1037"/>
        <v>M0</v>
      </c>
      <c r="IO18" s="6" t="str">
        <f t="shared" si="1037"/>
        <v>M0</v>
      </c>
      <c r="IP18" s="6" t="str">
        <f t="shared" si="1037"/>
        <v>M0</v>
      </c>
      <c r="IQ18" s="6" t="str">
        <f t="shared" si="1037"/>
        <v>M0</v>
      </c>
      <c r="IR18" s="6" t="str">
        <f t="shared" si="1037"/>
        <v>M0</v>
      </c>
      <c r="IS18" s="6" t="str">
        <f t="shared" si="1037"/>
        <v>M0</v>
      </c>
      <c r="IT18" s="6" t="str">
        <f t="shared" si="1037"/>
        <v>M0</v>
      </c>
      <c r="IU18" s="6" t="str">
        <f t="shared" si="1037"/>
        <v>M0</v>
      </c>
      <c r="IV18" s="6" t="str">
        <f t="shared" si="1037"/>
        <v>M0</v>
      </c>
      <c r="IW18" s="6" t="str">
        <f t="shared" si="1037"/>
        <v>M0</v>
      </c>
      <c r="IX18" s="6" t="str">
        <f t="shared" si="1037"/>
        <v>M0</v>
      </c>
      <c r="IY18" s="6" t="str">
        <f t="shared" si="1037"/>
        <v>M0</v>
      </c>
      <c r="IZ18" s="6" t="str">
        <f t="shared" si="1037"/>
        <v>M0</v>
      </c>
      <c r="JA18" s="6" t="str">
        <f t="shared" ref="JA18:LL18" si="1038">IF(JA$19="M0","M0", "M1")</f>
        <v>M0</v>
      </c>
      <c r="JB18" s="6" t="str">
        <f t="shared" si="1038"/>
        <v>M0</v>
      </c>
      <c r="JC18" s="6" t="str">
        <f t="shared" si="1038"/>
        <v>M0</v>
      </c>
      <c r="JD18" s="6" t="str">
        <f t="shared" si="1038"/>
        <v>M0</v>
      </c>
      <c r="JE18" s="6" t="str">
        <f t="shared" si="1038"/>
        <v>M0</v>
      </c>
      <c r="JF18" s="6" t="str">
        <f t="shared" si="1038"/>
        <v>M0</v>
      </c>
      <c r="JG18" s="6" t="str">
        <f t="shared" si="1038"/>
        <v>M0</v>
      </c>
      <c r="JH18" s="6" t="str">
        <f t="shared" si="1038"/>
        <v>M0</v>
      </c>
      <c r="JI18" s="6" t="str">
        <f t="shared" si="1038"/>
        <v>M0</v>
      </c>
      <c r="JJ18" s="6" t="str">
        <f t="shared" si="1038"/>
        <v>M0</v>
      </c>
      <c r="JK18" s="6" t="str">
        <f t="shared" si="1038"/>
        <v>M0</v>
      </c>
      <c r="JL18" s="6" t="str">
        <f t="shared" si="1038"/>
        <v>M0</v>
      </c>
      <c r="JM18" s="6" t="str">
        <f t="shared" si="1038"/>
        <v>M0</v>
      </c>
      <c r="JN18" s="6" t="str">
        <f t="shared" si="1038"/>
        <v>M0</v>
      </c>
      <c r="JO18" s="6" t="str">
        <f t="shared" si="1038"/>
        <v>M0</v>
      </c>
      <c r="JP18" s="6" t="str">
        <f t="shared" si="1038"/>
        <v>M0</v>
      </c>
      <c r="JQ18" s="6" t="str">
        <f t="shared" si="1038"/>
        <v>M0</v>
      </c>
      <c r="JR18" s="6" t="str">
        <f t="shared" si="1038"/>
        <v>M0</v>
      </c>
      <c r="JS18" s="6" t="str">
        <f t="shared" si="1038"/>
        <v>M0</v>
      </c>
      <c r="JT18" s="6" t="str">
        <f t="shared" si="1038"/>
        <v>M0</v>
      </c>
      <c r="JU18" s="6" t="str">
        <f t="shared" si="1038"/>
        <v>M0</v>
      </c>
      <c r="JV18" s="6" t="str">
        <f t="shared" si="1038"/>
        <v>M0</v>
      </c>
      <c r="JW18" s="6" t="str">
        <f t="shared" si="1038"/>
        <v>M0</v>
      </c>
      <c r="JX18" s="6" t="str">
        <f t="shared" si="1038"/>
        <v>M0</v>
      </c>
      <c r="JY18" s="6" t="str">
        <f t="shared" si="1038"/>
        <v>M0</v>
      </c>
      <c r="JZ18" s="6" t="str">
        <f t="shared" si="1038"/>
        <v>M0</v>
      </c>
      <c r="KA18" s="6" t="str">
        <f t="shared" si="1038"/>
        <v>M0</v>
      </c>
      <c r="KB18" s="6" t="str">
        <f t="shared" si="1038"/>
        <v>M0</v>
      </c>
      <c r="KC18" s="6" t="str">
        <f t="shared" si="1038"/>
        <v>M0</v>
      </c>
      <c r="KD18" s="6" t="str">
        <f t="shared" si="1038"/>
        <v>M0</v>
      </c>
      <c r="KE18" s="6" t="str">
        <f t="shared" si="1038"/>
        <v>M0</v>
      </c>
      <c r="KF18" s="6" t="str">
        <f t="shared" si="1038"/>
        <v>M0</v>
      </c>
      <c r="KG18" s="6" t="str">
        <f t="shared" si="1038"/>
        <v>M0</v>
      </c>
      <c r="KH18" s="6" t="str">
        <f t="shared" si="1038"/>
        <v>M0</v>
      </c>
      <c r="KI18" s="6" t="str">
        <f t="shared" si="1038"/>
        <v>M0</v>
      </c>
      <c r="KJ18" s="6" t="str">
        <f t="shared" si="1038"/>
        <v>M0</v>
      </c>
      <c r="KK18" s="6" t="str">
        <f t="shared" si="1038"/>
        <v>M0</v>
      </c>
      <c r="KL18" s="6" t="str">
        <f t="shared" si="1038"/>
        <v>M0</v>
      </c>
      <c r="KM18" s="6" t="str">
        <f t="shared" si="1038"/>
        <v>M0</v>
      </c>
      <c r="KN18" s="6" t="str">
        <f t="shared" si="1038"/>
        <v>M0</v>
      </c>
      <c r="KO18" s="6" t="str">
        <f t="shared" si="1038"/>
        <v>M0</v>
      </c>
      <c r="KP18" s="6" t="str">
        <f t="shared" si="1038"/>
        <v>M0</v>
      </c>
      <c r="KQ18" s="6" t="str">
        <f t="shared" si="1038"/>
        <v>M0</v>
      </c>
      <c r="KR18" s="6" t="str">
        <f t="shared" si="1038"/>
        <v>M0</v>
      </c>
      <c r="KS18" s="6" t="str">
        <f t="shared" si="1038"/>
        <v>M0</v>
      </c>
      <c r="KT18" s="6" t="str">
        <f t="shared" si="1038"/>
        <v>M0</v>
      </c>
      <c r="KU18" s="6" t="str">
        <f t="shared" si="1038"/>
        <v>M0</v>
      </c>
      <c r="KV18" s="6" t="str">
        <f t="shared" si="1038"/>
        <v>M0</v>
      </c>
      <c r="KW18" s="6" t="str">
        <f t="shared" si="1038"/>
        <v>M0</v>
      </c>
      <c r="KX18" s="6" t="str">
        <f t="shared" si="1038"/>
        <v>M1</v>
      </c>
      <c r="KY18" s="6" t="str">
        <f t="shared" si="1038"/>
        <v>M1</v>
      </c>
      <c r="KZ18" s="6" t="str">
        <f t="shared" si="1038"/>
        <v>M1</v>
      </c>
      <c r="LA18" s="6" t="str">
        <f t="shared" si="1038"/>
        <v>M1</v>
      </c>
      <c r="LB18" s="6" t="str">
        <f t="shared" si="1038"/>
        <v>M0</v>
      </c>
      <c r="LC18" s="6" t="str">
        <f t="shared" si="1038"/>
        <v>M0</v>
      </c>
      <c r="LD18" s="6" t="str">
        <f t="shared" si="1038"/>
        <v>M0</v>
      </c>
      <c r="LE18" s="6" t="str">
        <f t="shared" si="1038"/>
        <v>M0</v>
      </c>
      <c r="LF18" s="6" t="str">
        <f t="shared" si="1038"/>
        <v>M0</v>
      </c>
      <c r="LG18" s="6" t="str">
        <f t="shared" si="1038"/>
        <v>M0</v>
      </c>
      <c r="LH18" s="6" t="str">
        <f t="shared" si="1038"/>
        <v>M0</v>
      </c>
      <c r="LI18" s="6" t="str">
        <f t="shared" si="1038"/>
        <v>M0</v>
      </c>
      <c r="LJ18" s="6" t="str">
        <f t="shared" si="1038"/>
        <v>M0</v>
      </c>
      <c r="LK18" s="6" t="str">
        <f t="shared" si="1038"/>
        <v>M0</v>
      </c>
      <c r="LL18" s="6" t="str">
        <f t="shared" si="1038"/>
        <v>M0</v>
      </c>
      <c r="LM18" s="6" t="str">
        <f t="shared" ref="LM18:NX18" si="1039">IF(LM$19="M0","M0", "M1")</f>
        <v>M0</v>
      </c>
      <c r="LN18" s="6" t="str">
        <f t="shared" si="1039"/>
        <v>M0</v>
      </c>
      <c r="LO18" s="6" t="str">
        <f t="shared" si="1039"/>
        <v>M0</v>
      </c>
      <c r="LP18" s="6" t="str">
        <f t="shared" si="1039"/>
        <v>M0</v>
      </c>
      <c r="LQ18" s="6" t="str">
        <f t="shared" si="1039"/>
        <v>M0</v>
      </c>
      <c r="LR18" s="6" t="str">
        <f t="shared" si="1039"/>
        <v>M0</v>
      </c>
      <c r="LS18" s="6" t="str">
        <f t="shared" si="1039"/>
        <v>M0</v>
      </c>
      <c r="LT18" s="6" t="str">
        <f t="shared" si="1039"/>
        <v>M0</v>
      </c>
      <c r="LU18" s="6" t="str">
        <f t="shared" si="1039"/>
        <v>M0</v>
      </c>
      <c r="LV18" s="6" t="str">
        <f t="shared" si="1039"/>
        <v>M0</v>
      </c>
      <c r="LW18" s="6" t="str">
        <f t="shared" si="1039"/>
        <v>M0</v>
      </c>
      <c r="LX18" s="6" t="str">
        <f t="shared" si="1039"/>
        <v>M0</v>
      </c>
      <c r="LY18" s="6" t="str">
        <f t="shared" si="1039"/>
        <v>M0</v>
      </c>
      <c r="LZ18" s="6" t="str">
        <f t="shared" si="1039"/>
        <v>M0</v>
      </c>
      <c r="MA18" s="6" t="str">
        <f t="shared" si="1039"/>
        <v>M0</v>
      </c>
      <c r="MB18" s="6" t="str">
        <f t="shared" si="1039"/>
        <v>M0</v>
      </c>
      <c r="MC18" s="6" t="str">
        <f t="shared" si="1039"/>
        <v>M0</v>
      </c>
      <c r="MD18" s="6" t="str">
        <f t="shared" si="1039"/>
        <v>M0</v>
      </c>
      <c r="ME18" s="6" t="str">
        <f t="shared" si="1039"/>
        <v>M0</v>
      </c>
      <c r="MF18" s="6" t="str">
        <f t="shared" si="1039"/>
        <v>M0</v>
      </c>
      <c r="MG18" s="6" t="str">
        <f t="shared" si="1039"/>
        <v>M0</v>
      </c>
      <c r="MH18" s="6" t="str">
        <f t="shared" si="1039"/>
        <v>M0</v>
      </c>
      <c r="MI18" s="6" t="str">
        <f t="shared" si="1039"/>
        <v>M0</v>
      </c>
      <c r="MJ18" s="6" t="str">
        <f t="shared" si="1039"/>
        <v>M0</v>
      </c>
      <c r="MK18" s="6" t="str">
        <f t="shared" si="1039"/>
        <v>M0</v>
      </c>
      <c r="ML18" s="6" t="str">
        <f t="shared" si="1039"/>
        <v>M0</v>
      </c>
      <c r="MM18" s="6" t="str">
        <f t="shared" si="1039"/>
        <v>M0</v>
      </c>
      <c r="MN18" s="6" t="str">
        <f t="shared" si="1039"/>
        <v>M0</v>
      </c>
      <c r="MO18" s="6" t="str">
        <f t="shared" si="1039"/>
        <v>M0</v>
      </c>
      <c r="MP18" s="6" t="str">
        <f t="shared" si="1039"/>
        <v>M0</v>
      </c>
      <c r="MQ18" s="6" t="str">
        <f t="shared" si="1039"/>
        <v>M0</v>
      </c>
      <c r="MR18" s="6" t="str">
        <f t="shared" si="1039"/>
        <v>M0</v>
      </c>
      <c r="MS18" s="6" t="str">
        <f t="shared" si="1039"/>
        <v>M0</v>
      </c>
      <c r="MT18" s="6" t="str">
        <f t="shared" si="1039"/>
        <v>M0</v>
      </c>
      <c r="MU18" s="6" t="str">
        <f t="shared" si="1039"/>
        <v>M0</v>
      </c>
      <c r="MV18" s="6" t="str">
        <f t="shared" si="1039"/>
        <v>M0</v>
      </c>
      <c r="MW18" s="6" t="str">
        <f t="shared" si="1039"/>
        <v>M0</v>
      </c>
      <c r="MX18" s="6" t="str">
        <f t="shared" si="1039"/>
        <v>M0</v>
      </c>
      <c r="MY18" s="6" t="str">
        <f t="shared" si="1039"/>
        <v>M0</v>
      </c>
      <c r="MZ18" s="6" t="str">
        <f t="shared" si="1039"/>
        <v>M0</v>
      </c>
      <c r="NA18" s="6" t="str">
        <f t="shared" si="1039"/>
        <v>M0</v>
      </c>
      <c r="NB18" s="6" t="str">
        <f t="shared" si="1039"/>
        <v>M0</v>
      </c>
      <c r="NC18" s="6" t="str">
        <f t="shared" si="1039"/>
        <v>M0</v>
      </c>
      <c r="ND18" s="6" t="str">
        <f t="shared" si="1039"/>
        <v>M0</v>
      </c>
      <c r="NE18" s="6" t="str">
        <f t="shared" si="1039"/>
        <v>M0</v>
      </c>
      <c r="NF18" s="6" t="str">
        <f t="shared" si="1039"/>
        <v>M0</v>
      </c>
      <c r="NG18" s="6" t="str">
        <f t="shared" si="1039"/>
        <v>M0</v>
      </c>
      <c r="NH18" s="6" t="str">
        <f t="shared" si="1039"/>
        <v>M0</v>
      </c>
      <c r="NI18" s="6" t="str">
        <f t="shared" si="1039"/>
        <v>M0</v>
      </c>
      <c r="NJ18" s="6" t="str">
        <f t="shared" si="1039"/>
        <v>M0</v>
      </c>
      <c r="NK18" s="6" t="str">
        <f t="shared" si="1039"/>
        <v>M0</v>
      </c>
      <c r="NL18" s="6" t="str">
        <f t="shared" si="1039"/>
        <v>M0</v>
      </c>
      <c r="NM18" s="6" t="str">
        <f t="shared" si="1039"/>
        <v>M0</v>
      </c>
      <c r="NN18" s="6" t="str">
        <f t="shared" si="1039"/>
        <v>M0</v>
      </c>
      <c r="NO18" s="6" t="str">
        <f t="shared" si="1039"/>
        <v>M0</v>
      </c>
      <c r="NP18" s="6" t="str">
        <f t="shared" si="1039"/>
        <v>M0</v>
      </c>
      <c r="NQ18" s="6" t="str">
        <f t="shared" si="1039"/>
        <v>M0</v>
      </c>
      <c r="NR18" s="6" t="str">
        <f t="shared" si="1039"/>
        <v>M1</v>
      </c>
      <c r="NS18" s="6" t="str">
        <f t="shared" si="1039"/>
        <v>M1</v>
      </c>
      <c r="NT18" s="6" t="str">
        <f t="shared" si="1039"/>
        <v>M1</v>
      </c>
      <c r="NU18" s="6" t="str">
        <f t="shared" si="1039"/>
        <v>M1</v>
      </c>
      <c r="NV18" s="6" t="str">
        <f t="shared" si="1039"/>
        <v>M0</v>
      </c>
      <c r="NW18" s="6" t="str">
        <f t="shared" si="1039"/>
        <v>M0</v>
      </c>
      <c r="NX18" s="6" t="str">
        <f t="shared" si="1039"/>
        <v>M0</v>
      </c>
      <c r="NY18" s="6" t="str">
        <f t="shared" ref="NY18:QJ18" si="1040">IF(NY$19="M0","M0", "M1")</f>
        <v>M0</v>
      </c>
      <c r="NZ18" s="6" t="str">
        <f t="shared" si="1040"/>
        <v>M0</v>
      </c>
      <c r="OA18" s="6" t="str">
        <f t="shared" si="1040"/>
        <v>M0</v>
      </c>
      <c r="OB18" s="6" t="str">
        <f t="shared" si="1040"/>
        <v>M0</v>
      </c>
      <c r="OC18" s="6" t="str">
        <f t="shared" si="1040"/>
        <v>M0</v>
      </c>
      <c r="OD18" s="6" t="str">
        <f t="shared" si="1040"/>
        <v>M0</v>
      </c>
      <c r="OE18" s="6" t="str">
        <f t="shared" si="1040"/>
        <v>M0</v>
      </c>
      <c r="OF18" s="6" t="str">
        <f t="shared" si="1040"/>
        <v>M0</v>
      </c>
      <c r="OG18" s="6" t="str">
        <f t="shared" si="1040"/>
        <v>M0</v>
      </c>
      <c r="OH18" s="6" t="str">
        <f t="shared" si="1040"/>
        <v>M0</v>
      </c>
      <c r="OI18" s="6" t="str">
        <f t="shared" si="1040"/>
        <v>M0</v>
      </c>
      <c r="OJ18" s="6" t="str">
        <f t="shared" si="1040"/>
        <v>M0</v>
      </c>
      <c r="OK18" s="6" t="str">
        <f t="shared" si="1040"/>
        <v>M0</v>
      </c>
      <c r="OL18" s="6" t="str">
        <f t="shared" si="1040"/>
        <v>M0</v>
      </c>
      <c r="OM18" s="6" t="str">
        <f t="shared" si="1040"/>
        <v>M0</v>
      </c>
      <c r="ON18" s="6" t="str">
        <f t="shared" si="1040"/>
        <v>M0</v>
      </c>
      <c r="OO18" s="6" t="str">
        <f t="shared" si="1040"/>
        <v>M0</v>
      </c>
      <c r="OP18" s="6" t="str">
        <f t="shared" si="1040"/>
        <v>M0</v>
      </c>
      <c r="OQ18" s="6" t="str">
        <f t="shared" si="1040"/>
        <v>M0</v>
      </c>
      <c r="OR18" s="6" t="str">
        <f t="shared" si="1040"/>
        <v>M0</v>
      </c>
      <c r="OS18" s="6" t="str">
        <f t="shared" si="1040"/>
        <v>M0</v>
      </c>
      <c r="OT18" s="6" t="str">
        <f t="shared" si="1040"/>
        <v>M0</v>
      </c>
      <c r="OU18" s="6" t="str">
        <f t="shared" si="1040"/>
        <v>M0</v>
      </c>
      <c r="OV18" s="6" t="str">
        <f t="shared" si="1040"/>
        <v>M0</v>
      </c>
      <c r="OW18" s="6" t="str">
        <f t="shared" si="1040"/>
        <v>M0</v>
      </c>
      <c r="OX18" s="6" t="str">
        <f t="shared" si="1040"/>
        <v>M0</v>
      </c>
      <c r="OY18" s="6" t="str">
        <f t="shared" si="1040"/>
        <v>M0</v>
      </c>
      <c r="OZ18" s="6" t="str">
        <f t="shared" si="1040"/>
        <v>M0</v>
      </c>
      <c r="PA18" s="6" t="str">
        <f t="shared" si="1040"/>
        <v>M0</v>
      </c>
      <c r="PB18" s="6" t="str">
        <f t="shared" si="1040"/>
        <v>M0</v>
      </c>
      <c r="PC18" s="6" t="str">
        <f t="shared" si="1040"/>
        <v>M0</v>
      </c>
      <c r="PD18" s="6" t="str">
        <f t="shared" si="1040"/>
        <v>M0</v>
      </c>
      <c r="PE18" s="6" t="str">
        <f t="shared" si="1040"/>
        <v>M0</v>
      </c>
      <c r="PF18" s="6" t="str">
        <f t="shared" si="1040"/>
        <v>M0</v>
      </c>
      <c r="PG18" s="6" t="str">
        <f t="shared" si="1040"/>
        <v>M0</v>
      </c>
      <c r="PH18" s="6" t="str">
        <f t="shared" si="1040"/>
        <v>M0</v>
      </c>
      <c r="PI18" s="6" t="str">
        <f t="shared" si="1040"/>
        <v>M0</v>
      </c>
      <c r="PJ18" s="6" t="str">
        <f t="shared" si="1040"/>
        <v>M0</v>
      </c>
      <c r="PK18" s="6" t="str">
        <f t="shared" si="1040"/>
        <v>M0</v>
      </c>
      <c r="PL18" s="6" t="str">
        <f t="shared" si="1040"/>
        <v>M0</v>
      </c>
      <c r="PM18" s="6" t="str">
        <f t="shared" si="1040"/>
        <v>M0</v>
      </c>
      <c r="PN18" s="6" t="str">
        <f t="shared" si="1040"/>
        <v>M0</v>
      </c>
      <c r="PO18" s="6" t="str">
        <f t="shared" si="1040"/>
        <v>M0</v>
      </c>
      <c r="PP18" s="6" t="str">
        <f t="shared" si="1040"/>
        <v>M0</v>
      </c>
      <c r="PQ18" s="6" t="str">
        <f t="shared" si="1040"/>
        <v>M0</v>
      </c>
      <c r="PR18" s="6" t="str">
        <f t="shared" si="1040"/>
        <v>M0</v>
      </c>
      <c r="PS18" s="6" t="str">
        <f t="shared" si="1040"/>
        <v>M0</v>
      </c>
      <c r="PT18" s="6" t="str">
        <f t="shared" si="1040"/>
        <v>M0</v>
      </c>
      <c r="PU18" s="6" t="str">
        <f t="shared" si="1040"/>
        <v>M0</v>
      </c>
      <c r="PV18" s="6" t="str">
        <f t="shared" si="1040"/>
        <v>M0</v>
      </c>
      <c r="PW18" s="6" t="str">
        <f t="shared" si="1040"/>
        <v>M0</v>
      </c>
      <c r="PX18" s="6" t="str">
        <f t="shared" si="1040"/>
        <v>M0</v>
      </c>
      <c r="PY18" s="6" t="str">
        <f t="shared" si="1040"/>
        <v>M0</v>
      </c>
      <c r="PZ18" s="6" t="str">
        <f t="shared" si="1040"/>
        <v>M0</v>
      </c>
      <c r="QA18" s="6" t="str">
        <f t="shared" si="1040"/>
        <v>M0</v>
      </c>
      <c r="QB18" s="6" t="str">
        <f t="shared" si="1040"/>
        <v>M0</v>
      </c>
      <c r="QC18" s="6" t="str">
        <f t="shared" si="1040"/>
        <v>M0</v>
      </c>
      <c r="QD18" s="6" t="str">
        <f t="shared" si="1040"/>
        <v>M0</v>
      </c>
      <c r="QE18" s="6" t="str">
        <f t="shared" si="1040"/>
        <v>M0</v>
      </c>
      <c r="QF18" s="6" t="str">
        <f t="shared" si="1040"/>
        <v>M0</v>
      </c>
      <c r="QG18" s="6" t="str">
        <f t="shared" si="1040"/>
        <v>M0</v>
      </c>
      <c r="QH18" s="6" t="str">
        <f t="shared" si="1040"/>
        <v>M0</v>
      </c>
      <c r="QI18" s="6" t="str">
        <f t="shared" si="1040"/>
        <v>M0</v>
      </c>
      <c r="QJ18" s="6" t="str">
        <f t="shared" si="1040"/>
        <v>M0</v>
      </c>
      <c r="QK18" s="6" t="str">
        <f t="shared" ref="QK18:SV18" si="1041">IF(QK$19="M0","M0", "M1")</f>
        <v>M0</v>
      </c>
      <c r="QL18" s="6" t="str">
        <f t="shared" si="1041"/>
        <v>M1</v>
      </c>
      <c r="QM18" s="6" t="str">
        <f t="shared" si="1041"/>
        <v>M1</v>
      </c>
      <c r="QN18" s="6" t="str">
        <f t="shared" si="1041"/>
        <v>M1</v>
      </c>
      <c r="QO18" s="6" t="str">
        <f t="shared" si="1041"/>
        <v>M1</v>
      </c>
      <c r="QP18" s="6" t="str">
        <f t="shared" si="1041"/>
        <v>M0</v>
      </c>
      <c r="QQ18" s="6" t="str">
        <f t="shared" si="1041"/>
        <v>M0</v>
      </c>
      <c r="QR18" s="6" t="str">
        <f t="shared" si="1041"/>
        <v>M0</v>
      </c>
      <c r="QS18" s="6" t="str">
        <f t="shared" si="1041"/>
        <v>M0</v>
      </c>
      <c r="QT18" s="6" t="str">
        <f t="shared" si="1041"/>
        <v>M0</v>
      </c>
      <c r="QU18" s="6" t="str">
        <f t="shared" si="1041"/>
        <v>M0</v>
      </c>
      <c r="QV18" s="6" t="str">
        <f t="shared" si="1041"/>
        <v>M0</v>
      </c>
      <c r="QW18" s="6" t="str">
        <f t="shared" si="1041"/>
        <v>M0</v>
      </c>
      <c r="QX18" s="6" t="str">
        <f t="shared" si="1041"/>
        <v>M0</v>
      </c>
      <c r="QY18" s="6" t="str">
        <f t="shared" si="1041"/>
        <v>M0</v>
      </c>
      <c r="QZ18" s="6" t="str">
        <f t="shared" si="1041"/>
        <v>M0</v>
      </c>
      <c r="RA18" s="6" t="str">
        <f t="shared" si="1041"/>
        <v>M0</v>
      </c>
      <c r="RB18" s="6" t="str">
        <f t="shared" si="1041"/>
        <v>M0</v>
      </c>
      <c r="RC18" s="6" t="str">
        <f t="shared" si="1041"/>
        <v>M0</v>
      </c>
      <c r="RD18" s="6" t="str">
        <f t="shared" si="1041"/>
        <v>M0</v>
      </c>
      <c r="RE18" s="6" t="str">
        <f t="shared" si="1041"/>
        <v>M0</v>
      </c>
      <c r="RF18" s="6" t="str">
        <f t="shared" si="1041"/>
        <v>M0</v>
      </c>
      <c r="RG18" s="6" t="str">
        <f t="shared" si="1041"/>
        <v>M0</v>
      </c>
      <c r="RH18" s="6" t="str">
        <f t="shared" si="1041"/>
        <v>M0</v>
      </c>
      <c r="RI18" s="6" t="str">
        <f t="shared" si="1041"/>
        <v>M0</v>
      </c>
      <c r="RJ18" s="6" t="str">
        <f t="shared" si="1041"/>
        <v>M0</v>
      </c>
      <c r="RK18" s="6" t="str">
        <f t="shared" si="1041"/>
        <v>M0</v>
      </c>
      <c r="RL18" s="6" t="str">
        <f t="shared" si="1041"/>
        <v>M0</v>
      </c>
      <c r="RM18" s="6" t="str">
        <f t="shared" si="1041"/>
        <v>M0</v>
      </c>
      <c r="RN18" s="6" t="str">
        <f t="shared" si="1041"/>
        <v>M0</v>
      </c>
      <c r="RO18" s="6" t="str">
        <f t="shared" si="1041"/>
        <v>M0</v>
      </c>
      <c r="RP18" s="6" t="str">
        <f t="shared" si="1041"/>
        <v>M0</v>
      </c>
      <c r="RQ18" s="6" t="str">
        <f t="shared" si="1041"/>
        <v>M0</v>
      </c>
      <c r="RR18" s="6" t="str">
        <f t="shared" si="1041"/>
        <v>M0</v>
      </c>
      <c r="RS18" s="6" t="str">
        <f t="shared" si="1041"/>
        <v>M0</v>
      </c>
      <c r="RT18" s="6" t="str">
        <f t="shared" si="1041"/>
        <v>M0</v>
      </c>
      <c r="RU18" s="6" t="str">
        <f t="shared" si="1041"/>
        <v>M0</v>
      </c>
      <c r="RV18" s="6" t="str">
        <f t="shared" si="1041"/>
        <v>M0</v>
      </c>
      <c r="RW18" s="6" t="str">
        <f t="shared" si="1041"/>
        <v>M0</v>
      </c>
      <c r="RX18" s="6" t="str">
        <f t="shared" si="1041"/>
        <v>M0</v>
      </c>
      <c r="RY18" s="6" t="str">
        <f t="shared" si="1041"/>
        <v>M0</v>
      </c>
      <c r="RZ18" s="6" t="str">
        <f t="shared" si="1041"/>
        <v>M0</v>
      </c>
      <c r="SA18" s="6" t="str">
        <f t="shared" si="1041"/>
        <v>M0</v>
      </c>
      <c r="SB18" s="6" t="str">
        <f t="shared" si="1041"/>
        <v>M0</v>
      </c>
      <c r="SC18" s="6" t="str">
        <f t="shared" si="1041"/>
        <v>M0</v>
      </c>
      <c r="SD18" s="6" t="str">
        <f t="shared" si="1041"/>
        <v>M0</v>
      </c>
      <c r="SE18" s="6" t="str">
        <f t="shared" si="1041"/>
        <v>M0</v>
      </c>
      <c r="SF18" s="6" t="str">
        <f t="shared" si="1041"/>
        <v>M0</v>
      </c>
      <c r="SG18" s="6" t="str">
        <f t="shared" si="1041"/>
        <v>M0</v>
      </c>
      <c r="SH18" s="6" t="str">
        <f t="shared" si="1041"/>
        <v>M0</v>
      </c>
      <c r="SI18" s="6" t="str">
        <f t="shared" si="1041"/>
        <v>M0</v>
      </c>
      <c r="SJ18" s="6" t="str">
        <f t="shared" si="1041"/>
        <v>M0</v>
      </c>
      <c r="SK18" s="6" t="str">
        <f t="shared" si="1041"/>
        <v>M0</v>
      </c>
      <c r="SL18" s="6" t="str">
        <f t="shared" si="1041"/>
        <v>M0</v>
      </c>
      <c r="SM18" s="6" t="str">
        <f t="shared" si="1041"/>
        <v>M0</v>
      </c>
      <c r="SN18" s="6" t="str">
        <f t="shared" si="1041"/>
        <v>M0</v>
      </c>
      <c r="SO18" s="6" t="str">
        <f t="shared" si="1041"/>
        <v>M0</v>
      </c>
      <c r="SP18" s="6" t="str">
        <f t="shared" si="1041"/>
        <v>M0</v>
      </c>
      <c r="SQ18" s="6" t="str">
        <f t="shared" si="1041"/>
        <v>M0</v>
      </c>
      <c r="SR18" s="6" t="str">
        <f t="shared" si="1041"/>
        <v>M0</v>
      </c>
      <c r="SS18" s="6" t="str">
        <f t="shared" si="1041"/>
        <v>M0</v>
      </c>
      <c r="ST18" s="6" t="str">
        <f t="shared" si="1041"/>
        <v>M0</v>
      </c>
      <c r="SU18" s="6" t="str">
        <f t="shared" si="1041"/>
        <v>M0</v>
      </c>
      <c r="SV18" s="6" t="str">
        <f t="shared" si="1041"/>
        <v>M0</v>
      </c>
      <c r="SW18" s="6" t="str">
        <f t="shared" ref="SW18:VH18" si="1042">IF(SW$19="M0","M0", "M1")</f>
        <v>M0</v>
      </c>
      <c r="SX18" s="6" t="str">
        <f t="shared" si="1042"/>
        <v>M0</v>
      </c>
      <c r="SY18" s="6" t="str">
        <f t="shared" si="1042"/>
        <v>M0</v>
      </c>
      <c r="SZ18" s="6" t="str">
        <f t="shared" si="1042"/>
        <v>M0</v>
      </c>
      <c r="TA18" s="6" t="str">
        <f t="shared" si="1042"/>
        <v>M0</v>
      </c>
      <c r="TB18" s="6" t="str">
        <f t="shared" si="1042"/>
        <v>M0</v>
      </c>
      <c r="TC18" s="6" t="str">
        <f t="shared" si="1042"/>
        <v>M0</v>
      </c>
      <c r="TD18" s="6" t="str">
        <f t="shared" si="1042"/>
        <v>M0</v>
      </c>
      <c r="TE18" s="6" t="str">
        <f t="shared" si="1042"/>
        <v>M0</v>
      </c>
      <c r="TF18" s="6" t="str">
        <f t="shared" si="1042"/>
        <v>M1</v>
      </c>
      <c r="TG18" s="6" t="str">
        <f t="shared" si="1042"/>
        <v>M1</v>
      </c>
      <c r="TH18" s="6" t="str">
        <f t="shared" si="1042"/>
        <v>M1</v>
      </c>
      <c r="TI18" s="6" t="str">
        <f t="shared" si="1042"/>
        <v>M1</v>
      </c>
      <c r="TJ18" s="6" t="str">
        <f t="shared" si="1042"/>
        <v>M0</v>
      </c>
      <c r="TK18" s="6" t="str">
        <f t="shared" si="1042"/>
        <v>M0</v>
      </c>
      <c r="TL18" s="6" t="str">
        <f t="shared" si="1042"/>
        <v>M0</v>
      </c>
      <c r="TM18" s="6" t="str">
        <f t="shared" si="1042"/>
        <v>M0</v>
      </c>
      <c r="TN18" s="6" t="str">
        <f t="shared" si="1042"/>
        <v>M0</v>
      </c>
      <c r="TO18" s="6" t="str">
        <f t="shared" si="1042"/>
        <v>M0</v>
      </c>
      <c r="TP18" s="6" t="str">
        <f t="shared" si="1042"/>
        <v>M0</v>
      </c>
      <c r="TQ18" s="6" t="str">
        <f t="shared" si="1042"/>
        <v>M0</v>
      </c>
      <c r="TR18" s="6" t="str">
        <f t="shared" si="1042"/>
        <v>M0</v>
      </c>
      <c r="TS18" s="6" t="str">
        <f t="shared" si="1042"/>
        <v>M0</v>
      </c>
      <c r="TT18" s="6" t="str">
        <f t="shared" si="1042"/>
        <v>M0</v>
      </c>
      <c r="TU18" s="6" t="str">
        <f t="shared" si="1042"/>
        <v>M0</v>
      </c>
      <c r="TV18" s="6" t="str">
        <f t="shared" si="1042"/>
        <v>M0</v>
      </c>
      <c r="TW18" s="6" t="str">
        <f t="shared" si="1042"/>
        <v>M0</v>
      </c>
      <c r="TX18" s="6" t="str">
        <f t="shared" si="1042"/>
        <v>M0</v>
      </c>
      <c r="TY18" s="6" t="str">
        <f t="shared" si="1042"/>
        <v>M0</v>
      </c>
      <c r="TZ18" s="6" t="str">
        <f t="shared" si="1042"/>
        <v>M0</v>
      </c>
      <c r="UA18" s="6" t="str">
        <f t="shared" si="1042"/>
        <v>M0</v>
      </c>
      <c r="UB18" s="6" t="str">
        <f t="shared" si="1042"/>
        <v>M0</v>
      </c>
      <c r="UC18" s="6" t="str">
        <f t="shared" si="1042"/>
        <v>M0</v>
      </c>
      <c r="UD18" s="6" t="str">
        <f t="shared" si="1042"/>
        <v>M0</v>
      </c>
      <c r="UE18" s="6" t="str">
        <f t="shared" si="1042"/>
        <v>M0</v>
      </c>
      <c r="UF18" s="6" t="str">
        <f t="shared" si="1042"/>
        <v>M0</v>
      </c>
      <c r="UG18" s="6" t="str">
        <f t="shared" si="1042"/>
        <v>M0</v>
      </c>
      <c r="UH18" s="6" t="str">
        <f t="shared" si="1042"/>
        <v>M0</v>
      </c>
      <c r="UI18" s="6" t="str">
        <f t="shared" si="1042"/>
        <v>M0</v>
      </c>
      <c r="UJ18" s="6" t="str">
        <f t="shared" si="1042"/>
        <v>M0</v>
      </c>
      <c r="UK18" s="6" t="str">
        <f t="shared" si="1042"/>
        <v>M0</v>
      </c>
      <c r="UL18" s="6" t="str">
        <f t="shared" si="1042"/>
        <v>M0</v>
      </c>
      <c r="UM18" s="6" t="str">
        <f t="shared" si="1042"/>
        <v>M0</v>
      </c>
      <c r="UN18" s="6" t="str">
        <f t="shared" si="1042"/>
        <v>M0</v>
      </c>
      <c r="UO18" s="6" t="str">
        <f t="shared" si="1042"/>
        <v>M0</v>
      </c>
      <c r="UP18" s="6" t="str">
        <f t="shared" si="1042"/>
        <v>M0</v>
      </c>
      <c r="UQ18" s="6" t="str">
        <f t="shared" si="1042"/>
        <v>M0</v>
      </c>
      <c r="UR18" s="6" t="str">
        <f t="shared" si="1042"/>
        <v>M0</v>
      </c>
      <c r="US18" s="6" t="str">
        <f t="shared" si="1042"/>
        <v>M0</v>
      </c>
      <c r="UT18" s="6" t="str">
        <f t="shared" si="1042"/>
        <v>M0</v>
      </c>
      <c r="UU18" s="6" t="str">
        <f t="shared" si="1042"/>
        <v>M0</v>
      </c>
      <c r="UV18" s="6" t="str">
        <f t="shared" si="1042"/>
        <v>M0</v>
      </c>
      <c r="UW18" s="6" t="str">
        <f t="shared" si="1042"/>
        <v>M0</v>
      </c>
      <c r="UX18" s="6" t="str">
        <f t="shared" si="1042"/>
        <v>M0</v>
      </c>
      <c r="UY18" s="6" t="str">
        <f t="shared" si="1042"/>
        <v>M0</v>
      </c>
      <c r="UZ18" s="6" t="str">
        <f t="shared" si="1042"/>
        <v>M0</v>
      </c>
      <c r="VA18" s="6" t="str">
        <f t="shared" si="1042"/>
        <v>M0</v>
      </c>
      <c r="VB18" s="6" t="str">
        <f t="shared" si="1042"/>
        <v>M0</v>
      </c>
      <c r="VC18" s="6" t="str">
        <f t="shared" si="1042"/>
        <v>M0</v>
      </c>
      <c r="VD18" s="6" t="str">
        <f t="shared" si="1042"/>
        <v>M0</v>
      </c>
      <c r="VE18" s="6" t="str">
        <f t="shared" si="1042"/>
        <v>M0</v>
      </c>
      <c r="VF18" s="6" t="str">
        <f t="shared" si="1042"/>
        <v>M0</v>
      </c>
      <c r="VG18" s="6" t="str">
        <f t="shared" si="1042"/>
        <v>M0</v>
      </c>
      <c r="VH18" s="6" t="str">
        <f t="shared" si="1042"/>
        <v>M0</v>
      </c>
      <c r="VI18" s="6" t="str">
        <f t="shared" ref="VI18:XT18" si="1043">IF(VI$19="M0","M0", "M1")</f>
        <v>M0</v>
      </c>
      <c r="VJ18" s="6" t="str">
        <f t="shared" si="1043"/>
        <v>M0</v>
      </c>
      <c r="VK18" s="6" t="str">
        <f t="shared" si="1043"/>
        <v>M0</v>
      </c>
      <c r="VL18" s="6" t="str">
        <f t="shared" si="1043"/>
        <v>M0</v>
      </c>
      <c r="VM18" s="6" t="str">
        <f t="shared" si="1043"/>
        <v>M0</v>
      </c>
      <c r="VN18" s="6" t="str">
        <f t="shared" si="1043"/>
        <v>M0</v>
      </c>
      <c r="VO18" s="6" t="str">
        <f t="shared" si="1043"/>
        <v>M0</v>
      </c>
      <c r="VP18" s="6" t="str">
        <f t="shared" si="1043"/>
        <v>M0</v>
      </c>
      <c r="VQ18" s="6" t="str">
        <f t="shared" si="1043"/>
        <v>M0</v>
      </c>
      <c r="VR18" s="6" t="str">
        <f t="shared" si="1043"/>
        <v>M0</v>
      </c>
      <c r="VS18" s="6" t="str">
        <f t="shared" si="1043"/>
        <v>M0</v>
      </c>
      <c r="VT18" s="6" t="str">
        <f t="shared" si="1043"/>
        <v>M0</v>
      </c>
      <c r="VU18" s="6" t="str">
        <f t="shared" si="1043"/>
        <v>M0</v>
      </c>
      <c r="VV18" s="6" t="str">
        <f t="shared" si="1043"/>
        <v>M0</v>
      </c>
      <c r="VW18" s="6" t="str">
        <f t="shared" si="1043"/>
        <v>M0</v>
      </c>
      <c r="VX18" s="6" t="str">
        <f t="shared" si="1043"/>
        <v>M0</v>
      </c>
      <c r="VY18" s="6" t="str">
        <f t="shared" si="1043"/>
        <v>M0</v>
      </c>
      <c r="VZ18" s="6" t="str">
        <f t="shared" si="1043"/>
        <v>M1</v>
      </c>
      <c r="WA18" s="6" t="str">
        <f t="shared" si="1043"/>
        <v>M1</v>
      </c>
      <c r="WB18" s="6" t="str">
        <f t="shared" si="1043"/>
        <v>M1</v>
      </c>
      <c r="WC18" s="6" t="str">
        <f t="shared" si="1043"/>
        <v>M1</v>
      </c>
      <c r="WD18" s="6" t="str">
        <f t="shared" si="1043"/>
        <v>M0</v>
      </c>
      <c r="WE18" s="6" t="str">
        <f t="shared" si="1043"/>
        <v>M0</v>
      </c>
      <c r="WF18" s="6" t="str">
        <f t="shared" si="1043"/>
        <v>M0</v>
      </c>
      <c r="WG18" s="6" t="str">
        <f t="shared" si="1043"/>
        <v>M0</v>
      </c>
      <c r="WH18" s="6" t="str">
        <f t="shared" si="1043"/>
        <v>M0</v>
      </c>
      <c r="WI18" s="6" t="str">
        <f t="shared" si="1043"/>
        <v>M0</v>
      </c>
      <c r="WJ18" s="6" t="str">
        <f t="shared" si="1043"/>
        <v>M0</v>
      </c>
      <c r="WK18" s="6" t="str">
        <f t="shared" si="1043"/>
        <v>M0</v>
      </c>
      <c r="WL18" s="6" t="str">
        <f t="shared" si="1043"/>
        <v>M0</v>
      </c>
      <c r="WM18" s="6" t="str">
        <f t="shared" si="1043"/>
        <v>M0</v>
      </c>
      <c r="WN18" s="6" t="str">
        <f t="shared" si="1043"/>
        <v>M0</v>
      </c>
      <c r="WO18" s="6" t="str">
        <f t="shared" si="1043"/>
        <v>M0</v>
      </c>
      <c r="WP18" s="6" t="str">
        <f t="shared" si="1043"/>
        <v>M0</v>
      </c>
      <c r="WQ18" s="6" t="str">
        <f t="shared" si="1043"/>
        <v>M0</v>
      </c>
      <c r="WR18" s="6" t="str">
        <f t="shared" si="1043"/>
        <v>M0</v>
      </c>
      <c r="WS18" s="6" t="str">
        <f t="shared" si="1043"/>
        <v>M0</v>
      </c>
      <c r="WT18" s="6" t="str">
        <f t="shared" si="1043"/>
        <v>M0</v>
      </c>
      <c r="WU18" s="6" t="str">
        <f t="shared" si="1043"/>
        <v>M0</v>
      </c>
      <c r="WV18" s="6" t="str">
        <f t="shared" si="1043"/>
        <v>M0</v>
      </c>
      <c r="WW18" s="6" t="str">
        <f t="shared" si="1043"/>
        <v>M0</v>
      </c>
      <c r="WX18" s="6" t="str">
        <f t="shared" si="1043"/>
        <v>M0</v>
      </c>
      <c r="WY18" s="6" t="str">
        <f t="shared" si="1043"/>
        <v>M0</v>
      </c>
      <c r="WZ18" s="6" t="str">
        <f t="shared" si="1043"/>
        <v>M0</v>
      </c>
      <c r="XA18" s="6" t="str">
        <f t="shared" si="1043"/>
        <v>M0</v>
      </c>
      <c r="XB18" s="6" t="str">
        <f t="shared" si="1043"/>
        <v>M0</v>
      </c>
      <c r="XC18" s="6" t="str">
        <f t="shared" si="1043"/>
        <v>M0</v>
      </c>
      <c r="XD18" s="6" t="str">
        <f t="shared" si="1043"/>
        <v>M0</v>
      </c>
      <c r="XE18" s="6" t="str">
        <f t="shared" si="1043"/>
        <v>M0</v>
      </c>
      <c r="XF18" s="6" t="str">
        <f t="shared" si="1043"/>
        <v>M0</v>
      </c>
      <c r="XG18" s="6" t="str">
        <f t="shared" si="1043"/>
        <v>M0</v>
      </c>
      <c r="XH18" s="6" t="str">
        <f t="shared" si="1043"/>
        <v>M0</v>
      </c>
      <c r="XI18" s="6" t="str">
        <f t="shared" si="1043"/>
        <v>M0</v>
      </c>
      <c r="XJ18" s="6" t="str">
        <f t="shared" si="1043"/>
        <v>M0</v>
      </c>
      <c r="XK18" s="6" t="str">
        <f t="shared" si="1043"/>
        <v>M0</v>
      </c>
      <c r="XL18" s="6" t="str">
        <f t="shared" si="1043"/>
        <v>M0</v>
      </c>
      <c r="XM18" s="6" t="str">
        <f t="shared" si="1043"/>
        <v>M0</v>
      </c>
      <c r="XN18" s="6" t="str">
        <f t="shared" si="1043"/>
        <v>M0</v>
      </c>
      <c r="XO18" s="6" t="str">
        <f t="shared" si="1043"/>
        <v>M0</v>
      </c>
      <c r="XP18" s="6" t="str">
        <f t="shared" si="1043"/>
        <v>M0</v>
      </c>
      <c r="XQ18" s="6" t="str">
        <f t="shared" si="1043"/>
        <v>M0</v>
      </c>
      <c r="XR18" s="6" t="str">
        <f t="shared" si="1043"/>
        <v>M0</v>
      </c>
      <c r="XS18" s="6" t="str">
        <f t="shared" si="1043"/>
        <v>M0</v>
      </c>
      <c r="XT18" s="6" t="str">
        <f t="shared" si="1043"/>
        <v>M0</v>
      </c>
      <c r="XU18" s="6" t="str">
        <f t="shared" ref="XU18:AAF18" si="1044">IF(XU$19="M0","M0", "M1")</f>
        <v>M0</v>
      </c>
      <c r="XV18" s="6" t="str">
        <f t="shared" si="1044"/>
        <v>M0</v>
      </c>
      <c r="XW18" s="6" t="str">
        <f t="shared" si="1044"/>
        <v>M0</v>
      </c>
      <c r="XX18" s="6" t="str">
        <f t="shared" si="1044"/>
        <v>M0</v>
      </c>
      <c r="XY18" s="6" t="str">
        <f t="shared" si="1044"/>
        <v>M0</v>
      </c>
      <c r="XZ18" s="6" t="str">
        <f t="shared" si="1044"/>
        <v>M0</v>
      </c>
      <c r="YA18" s="6" t="str">
        <f t="shared" si="1044"/>
        <v>M0</v>
      </c>
      <c r="YB18" s="6" t="str">
        <f t="shared" si="1044"/>
        <v>M0</v>
      </c>
      <c r="YC18" s="6" t="str">
        <f t="shared" si="1044"/>
        <v>M0</v>
      </c>
      <c r="YD18" s="6" t="str">
        <f t="shared" si="1044"/>
        <v>M0</v>
      </c>
      <c r="YE18" s="6" t="str">
        <f t="shared" si="1044"/>
        <v>M0</v>
      </c>
      <c r="YF18" s="6" t="str">
        <f t="shared" si="1044"/>
        <v>M0</v>
      </c>
      <c r="YG18" s="6" t="str">
        <f t="shared" si="1044"/>
        <v>M0</v>
      </c>
      <c r="YH18" s="6" t="str">
        <f t="shared" si="1044"/>
        <v>M0</v>
      </c>
      <c r="YI18" s="6" t="str">
        <f t="shared" si="1044"/>
        <v>M0</v>
      </c>
      <c r="YJ18" s="6" t="str">
        <f t="shared" si="1044"/>
        <v>M0</v>
      </c>
      <c r="YK18" s="6" t="str">
        <f t="shared" si="1044"/>
        <v>M0</v>
      </c>
      <c r="YL18" s="6" t="str">
        <f t="shared" si="1044"/>
        <v>M0</v>
      </c>
      <c r="YM18" s="6" t="str">
        <f t="shared" si="1044"/>
        <v>M0</v>
      </c>
      <c r="YN18" s="6" t="str">
        <f t="shared" si="1044"/>
        <v>M0</v>
      </c>
      <c r="YO18" s="6" t="str">
        <f t="shared" si="1044"/>
        <v>M0</v>
      </c>
      <c r="YP18" s="6" t="str">
        <f t="shared" si="1044"/>
        <v>M0</v>
      </c>
      <c r="YQ18" s="6" t="str">
        <f t="shared" si="1044"/>
        <v>M0</v>
      </c>
      <c r="YR18" s="6" t="str">
        <f t="shared" si="1044"/>
        <v>M0</v>
      </c>
      <c r="YS18" s="6" t="str">
        <f t="shared" si="1044"/>
        <v>M0</v>
      </c>
      <c r="YT18" s="6" t="str">
        <f t="shared" si="1044"/>
        <v>M1</v>
      </c>
      <c r="YU18" s="6" t="str">
        <f t="shared" si="1044"/>
        <v>M1</v>
      </c>
      <c r="YV18" s="6" t="str">
        <f t="shared" si="1044"/>
        <v>M1</v>
      </c>
      <c r="YW18" s="6" t="str">
        <f t="shared" si="1044"/>
        <v>M1</v>
      </c>
      <c r="YX18" s="6" t="str">
        <f t="shared" si="1044"/>
        <v>M0</v>
      </c>
      <c r="YY18" s="6" t="str">
        <f t="shared" si="1044"/>
        <v>M0</v>
      </c>
      <c r="YZ18" s="6" t="str">
        <f t="shared" si="1044"/>
        <v>M0</v>
      </c>
      <c r="ZA18" s="6" t="str">
        <f t="shared" si="1044"/>
        <v>M0</v>
      </c>
      <c r="ZB18" s="6" t="str">
        <f t="shared" si="1044"/>
        <v>M0</v>
      </c>
      <c r="ZC18" s="6" t="str">
        <f t="shared" si="1044"/>
        <v>M0</v>
      </c>
      <c r="ZD18" s="6" t="str">
        <f t="shared" si="1044"/>
        <v>M0</v>
      </c>
      <c r="ZE18" s="6" t="str">
        <f t="shared" si="1044"/>
        <v>M0</v>
      </c>
      <c r="ZF18" s="6" t="str">
        <f t="shared" si="1044"/>
        <v>M0</v>
      </c>
      <c r="ZG18" s="6" t="str">
        <f t="shared" si="1044"/>
        <v>M0</v>
      </c>
      <c r="ZH18" s="6" t="str">
        <f t="shared" si="1044"/>
        <v>M0</v>
      </c>
      <c r="ZI18" s="6" t="str">
        <f t="shared" si="1044"/>
        <v>M0</v>
      </c>
      <c r="ZJ18" s="6" t="str">
        <f t="shared" si="1044"/>
        <v>M0</v>
      </c>
      <c r="ZK18" s="6" t="str">
        <f t="shared" si="1044"/>
        <v>M0</v>
      </c>
      <c r="ZL18" s="6" t="str">
        <f t="shared" si="1044"/>
        <v>M0</v>
      </c>
      <c r="ZM18" s="6" t="str">
        <f t="shared" si="1044"/>
        <v>M0</v>
      </c>
      <c r="ZN18" s="6" t="str">
        <f t="shared" si="1044"/>
        <v>M0</v>
      </c>
      <c r="ZO18" s="6" t="str">
        <f t="shared" si="1044"/>
        <v>M0</v>
      </c>
      <c r="ZP18" s="6" t="str">
        <f t="shared" si="1044"/>
        <v>M0</v>
      </c>
      <c r="ZQ18" s="6" t="str">
        <f t="shared" si="1044"/>
        <v>M0</v>
      </c>
      <c r="ZR18" s="6" t="str">
        <f t="shared" si="1044"/>
        <v>M0</v>
      </c>
      <c r="ZS18" s="6" t="str">
        <f t="shared" si="1044"/>
        <v>M0</v>
      </c>
      <c r="ZT18" s="6" t="str">
        <f t="shared" si="1044"/>
        <v>M0</v>
      </c>
      <c r="ZU18" s="6" t="str">
        <f t="shared" si="1044"/>
        <v>M0</v>
      </c>
      <c r="ZV18" s="6" t="str">
        <f t="shared" si="1044"/>
        <v>M0</v>
      </c>
      <c r="ZW18" s="6" t="str">
        <f t="shared" si="1044"/>
        <v>M0</v>
      </c>
      <c r="ZX18" s="6" t="str">
        <f t="shared" si="1044"/>
        <v>M0</v>
      </c>
      <c r="ZY18" s="6" t="str">
        <f t="shared" si="1044"/>
        <v>M0</v>
      </c>
      <c r="ZZ18" s="6" t="str">
        <f t="shared" si="1044"/>
        <v>M0</v>
      </c>
      <c r="AAA18" s="6" t="str">
        <f t="shared" si="1044"/>
        <v>M0</v>
      </c>
      <c r="AAB18" s="6" t="str">
        <f t="shared" si="1044"/>
        <v>M0</v>
      </c>
      <c r="AAC18" s="6" t="str">
        <f t="shared" si="1044"/>
        <v>M0</v>
      </c>
      <c r="AAD18" s="6" t="str">
        <f t="shared" si="1044"/>
        <v>M0</v>
      </c>
      <c r="AAE18" s="6" t="str">
        <f t="shared" si="1044"/>
        <v>M0</v>
      </c>
      <c r="AAF18" s="6" t="str">
        <f t="shared" si="1044"/>
        <v>M0</v>
      </c>
      <c r="AAG18" s="6" t="str">
        <f t="shared" ref="AAG18:ACR18" si="1045">IF(AAG$19="M0","M0", "M1")</f>
        <v>M0</v>
      </c>
      <c r="AAH18" s="6" t="str">
        <f t="shared" si="1045"/>
        <v>M0</v>
      </c>
      <c r="AAI18" s="6" t="str">
        <f t="shared" si="1045"/>
        <v>M0</v>
      </c>
      <c r="AAJ18" s="6" t="str">
        <f t="shared" si="1045"/>
        <v>M0</v>
      </c>
      <c r="AAK18" s="6" t="str">
        <f t="shared" si="1045"/>
        <v>M0</v>
      </c>
      <c r="AAL18" s="6" t="str">
        <f t="shared" si="1045"/>
        <v>M0</v>
      </c>
      <c r="AAM18" s="6" t="str">
        <f t="shared" si="1045"/>
        <v>M0</v>
      </c>
      <c r="AAN18" s="6" t="str">
        <f t="shared" si="1045"/>
        <v>M0</v>
      </c>
      <c r="AAO18" s="6" t="str">
        <f t="shared" si="1045"/>
        <v>M0</v>
      </c>
      <c r="AAP18" s="6" t="str">
        <f t="shared" si="1045"/>
        <v>M0</v>
      </c>
      <c r="AAQ18" s="6" t="str">
        <f t="shared" si="1045"/>
        <v>M0</v>
      </c>
      <c r="AAR18" s="6" t="str">
        <f t="shared" si="1045"/>
        <v>M0</v>
      </c>
      <c r="AAS18" s="6" t="str">
        <f t="shared" si="1045"/>
        <v>M0</v>
      </c>
      <c r="AAT18" s="6" t="str">
        <f t="shared" si="1045"/>
        <v>M0</v>
      </c>
      <c r="AAU18" s="6" t="str">
        <f t="shared" si="1045"/>
        <v>M0</v>
      </c>
      <c r="AAV18" s="6" t="str">
        <f t="shared" si="1045"/>
        <v>M0</v>
      </c>
      <c r="AAW18" s="6" t="str">
        <f t="shared" si="1045"/>
        <v>M0</v>
      </c>
      <c r="AAX18" s="6" t="str">
        <f t="shared" si="1045"/>
        <v>M0</v>
      </c>
      <c r="AAY18" s="6" t="str">
        <f t="shared" si="1045"/>
        <v>M0</v>
      </c>
      <c r="AAZ18" s="6" t="str">
        <f t="shared" si="1045"/>
        <v>M0</v>
      </c>
      <c r="ABA18" s="6" t="str">
        <f t="shared" si="1045"/>
        <v>M0</v>
      </c>
      <c r="ABB18" s="6" t="str">
        <f t="shared" si="1045"/>
        <v>M0</v>
      </c>
      <c r="ABC18" s="6" t="str">
        <f t="shared" si="1045"/>
        <v>M0</v>
      </c>
      <c r="ABD18" s="6" t="str">
        <f t="shared" si="1045"/>
        <v>M0</v>
      </c>
      <c r="ABE18" s="6" t="str">
        <f t="shared" si="1045"/>
        <v>M0</v>
      </c>
      <c r="ABF18" s="6" t="str">
        <f t="shared" si="1045"/>
        <v>M0</v>
      </c>
      <c r="ABG18" s="6" t="str">
        <f t="shared" si="1045"/>
        <v>M0</v>
      </c>
      <c r="ABH18" s="6" t="str">
        <f t="shared" si="1045"/>
        <v>M0</v>
      </c>
      <c r="ABI18" s="6" t="str">
        <f t="shared" si="1045"/>
        <v>M0</v>
      </c>
      <c r="ABJ18" s="6" t="str">
        <f t="shared" si="1045"/>
        <v>M0</v>
      </c>
      <c r="ABK18" s="6" t="str">
        <f t="shared" si="1045"/>
        <v>M0</v>
      </c>
      <c r="ABL18" s="6" t="str">
        <f t="shared" si="1045"/>
        <v>M0</v>
      </c>
      <c r="ABM18" s="6" t="str">
        <f t="shared" si="1045"/>
        <v>M0</v>
      </c>
      <c r="ABN18" s="6" t="str">
        <f t="shared" si="1045"/>
        <v>M1</v>
      </c>
      <c r="ABO18" s="6" t="str">
        <f t="shared" si="1045"/>
        <v>M1</v>
      </c>
      <c r="ABP18" s="6" t="str">
        <f t="shared" si="1045"/>
        <v>M1</v>
      </c>
      <c r="ABQ18" s="6" t="str">
        <f t="shared" si="1045"/>
        <v>M1</v>
      </c>
      <c r="ABR18" s="6" t="str">
        <f t="shared" si="1045"/>
        <v>M0</v>
      </c>
      <c r="ABS18" s="6" t="str">
        <f t="shared" si="1045"/>
        <v>M0</v>
      </c>
      <c r="ABT18" s="6" t="str">
        <f t="shared" si="1045"/>
        <v>M0</v>
      </c>
      <c r="ABU18" s="6" t="str">
        <f t="shared" si="1045"/>
        <v>M0</v>
      </c>
      <c r="ABV18" s="6" t="str">
        <f t="shared" si="1045"/>
        <v>M0</v>
      </c>
      <c r="ABW18" s="6" t="str">
        <f t="shared" si="1045"/>
        <v>M0</v>
      </c>
      <c r="ABX18" s="6" t="str">
        <f t="shared" si="1045"/>
        <v>M0</v>
      </c>
      <c r="ABY18" s="6" t="str">
        <f t="shared" si="1045"/>
        <v>M0</v>
      </c>
      <c r="ABZ18" s="6" t="str">
        <f t="shared" si="1045"/>
        <v>M0</v>
      </c>
      <c r="ACA18" s="6" t="str">
        <f t="shared" si="1045"/>
        <v>M0</v>
      </c>
      <c r="ACB18" s="6" t="str">
        <f t="shared" si="1045"/>
        <v>M0</v>
      </c>
      <c r="ACC18" s="6" t="str">
        <f t="shared" si="1045"/>
        <v>M0</v>
      </c>
      <c r="ACD18" s="6" t="str">
        <f t="shared" si="1045"/>
        <v>M0</v>
      </c>
      <c r="ACE18" s="6" t="str">
        <f t="shared" si="1045"/>
        <v>M0</v>
      </c>
      <c r="ACF18" s="6" t="str">
        <f t="shared" si="1045"/>
        <v>M0</v>
      </c>
      <c r="ACG18" s="6" t="str">
        <f t="shared" si="1045"/>
        <v>M0</v>
      </c>
      <c r="ACH18" s="6" t="str">
        <f t="shared" si="1045"/>
        <v>M0</v>
      </c>
      <c r="ACI18" s="6" t="str">
        <f t="shared" si="1045"/>
        <v>M0</v>
      </c>
      <c r="ACJ18" s="6" t="str">
        <f t="shared" si="1045"/>
        <v>M0</v>
      </c>
      <c r="ACK18" s="6" t="str">
        <f t="shared" si="1045"/>
        <v>M0</v>
      </c>
      <c r="ACL18" s="6" t="str">
        <f t="shared" si="1045"/>
        <v>M0</v>
      </c>
      <c r="ACM18" s="6" t="str">
        <f t="shared" si="1045"/>
        <v>M0</v>
      </c>
      <c r="ACN18" s="6" t="str">
        <f t="shared" si="1045"/>
        <v>M0</v>
      </c>
      <c r="ACO18" s="6" t="str">
        <f t="shared" si="1045"/>
        <v>M0</v>
      </c>
      <c r="ACP18" s="6" t="str">
        <f t="shared" si="1045"/>
        <v>M0</v>
      </c>
      <c r="ACQ18" s="6" t="str">
        <f t="shared" si="1045"/>
        <v>M0</v>
      </c>
      <c r="ACR18" s="6" t="str">
        <f t="shared" si="1045"/>
        <v>M0</v>
      </c>
      <c r="ACS18" s="6" t="str">
        <f t="shared" ref="ACS18:AFD18" si="1046">IF(ACS$19="M0","M0", "M1")</f>
        <v>M0</v>
      </c>
      <c r="ACT18" s="6" t="str">
        <f t="shared" si="1046"/>
        <v>M0</v>
      </c>
      <c r="ACU18" s="6" t="str">
        <f t="shared" si="1046"/>
        <v>M0</v>
      </c>
      <c r="ACV18" s="6" t="str">
        <f t="shared" si="1046"/>
        <v>M0</v>
      </c>
      <c r="ACW18" s="6" t="str">
        <f t="shared" si="1046"/>
        <v>M0</v>
      </c>
      <c r="ACX18" s="6" t="str">
        <f t="shared" si="1046"/>
        <v>M0</v>
      </c>
      <c r="ACY18" s="6" t="str">
        <f t="shared" si="1046"/>
        <v>M0</v>
      </c>
      <c r="ACZ18" s="6" t="str">
        <f t="shared" si="1046"/>
        <v>M0</v>
      </c>
      <c r="ADA18" s="6" t="str">
        <f t="shared" si="1046"/>
        <v>M0</v>
      </c>
      <c r="ADB18" s="6" t="str">
        <f t="shared" si="1046"/>
        <v>M0</v>
      </c>
      <c r="ADC18" s="6" t="str">
        <f t="shared" si="1046"/>
        <v>M0</v>
      </c>
      <c r="ADD18" s="6" t="str">
        <f t="shared" si="1046"/>
        <v>M0</v>
      </c>
      <c r="ADE18" s="6" t="str">
        <f t="shared" si="1046"/>
        <v>M0</v>
      </c>
      <c r="ADF18" s="6" t="str">
        <f t="shared" si="1046"/>
        <v>M0</v>
      </c>
      <c r="ADG18" s="6" t="str">
        <f t="shared" si="1046"/>
        <v>M0</v>
      </c>
      <c r="ADH18" s="6" t="str">
        <f t="shared" si="1046"/>
        <v>M0</v>
      </c>
      <c r="ADI18" s="6" t="str">
        <f t="shared" si="1046"/>
        <v>M0</v>
      </c>
      <c r="ADJ18" s="6" t="str">
        <f t="shared" si="1046"/>
        <v>M0</v>
      </c>
      <c r="ADK18" s="6" t="str">
        <f t="shared" si="1046"/>
        <v>M0</v>
      </c>
      <c r="ADL18" s="6" t="str">
        <f t="shared" si="1046"/>
        <v>M0</v>
      </c>
      <c r="ADM18" s="6" t="str">
        <f t="shared" si="1046"/>
        <v>M0</v>
      </c>
      <c r="ADN18" s="6" t="str">
        <f t="shared" si="1046"/>
        <v>M0</v>
      </c>
      <c r="ADO18" s="6" t="str">
        <f t="shared" si="1046"/>
        <v>M0</v>
      </c>
      <c r="ADP18" s="6" t="str">
        <f t="shared" si="1046"/>
        <v>M0</v>
      </c>
      <c r="ADQ18" s="6" t="str">
        <f t="shared" si="1046"/>
        <v>M0</v>
      </c>
      <c r="ADR18" s="6" t="str">
        <f t="shared" si="1046"/>
        <v>M0</v>
      </c>
      <c r="ADS18" s="6" t="str">
        <f t="shared" si="1046"/>
        <v>M0</v>
      </c>
      <c r="ADT18" s="6" t="str">
        <f t="shared" si="1046"/>
        <v>M0</v>
      </c>
      <c r="ADU18" s="6" t="str">
        <f t="shared" si="1046"/>
        <v>M0</v>
      </c>
      <c r="ADV18" s="6" t="str">
        <f t="shared" si="1046"/>
        <v>M0</v>
      </c>
      <c r="ADW18" s="6" t="str">
        <f t="shared" si="1046"/>
        <v>M0</v>
      </c>
      <c r="ADX18" s="6" t="str">
        <f t="shared" si="1046"/>
        <v>M0</v>
      </c>
      <c r="ADY18" s="6" t="str">
        <f t="shared" si="1046"/>
        <v>M0</v>
      </c>
      <c r="ADZ18" s="6" t="str">
        <f t="shared" si="1046"/>
        <v>M0</v>
      </c>
      <c r="AEA18" s="6" t="str">
        <f t="shared" si="1046"/>
        <v>M0</v>
      </c>
      <c r="AEB18" s="6" t="str">
        <f t="shared" si="1046"/>
        <v>M0</v>
      </c>
      <c r="AEC18" s="6" t="str">
        <f t="shared" si="1046"/>
        <v>M0</v>
      </c>
      <c r="AED18" s="6" t="str">
        <f t="shared" si="1046"/>
        <v>M0</v>
      </c>
      <c r="AEE18" s="6" t="str">
        <f t="shared" si="1046"/>
        <v>M0</v>
      </c>
      <c r="AEF18" s="6" t="str">
        <f t="shared" si="1046"/>
        <v>M0</v>
      </c>
      <c r="AEG18" s="6" t="str">
        <f t="shared" si="1046"/>
        <v>M0</v>
      </c>
      <c r="AEH18" s="6" t="str">
        <f t="shared" si="1046"/>
        <v>M1</v>
      </c>
      <c r="AEI18" s="6" t="str">
        <f t="shared" si="1046"/>
        <v>M1</v>
      </c>
      <c r="AEJ18" s="6" t="str">
        <f t="shared" si="1046"/>
        <v>M1</v>
      </c>
      <c r="AEK18" s="6" t="str">
        <f t="shared" si="1046"/>
        <v>M1</v>
      </c>
      <c r="AEL18" s="6" t="str">
        <f t="shared" si="1046"/>
        <v>M0</v>
      </c>
      <c r="AEM18" s="6" t="str">
        <f t="shared" si="1046"/>
        <v>M0</v>
      </c>
      <c r="AEN18" s="6" t="str">
        <f t="shared" si="1046"/>
        <v>M0</v>
      </c>
      <c r="AEO18" s="6" t="str">
        <f t="shared" si="1046"/>
        <v>M0</v>
      </c>
      <c r="AEP18" s="6" t="str">
        <f t="shared" si="1046"/>
        <v>M0</v>
      </c>
      <c r="AEQ18" s="6" t="str">
        <f t="shared" si="1046"/>
        <v>M0</v>
      </c>
      <c r="AER18" s="6" t="str">
        <f t="shared" si="1046"/>
        <v>M0</v>
      </c>
      <c r="AES18" s="6" t="str">
        <f t="shared" si="1046"/>
        <v>M0</v>
      </c>
      <c r="AET18" s="6" t="str">
        <f t="shared" si="1046"/>
        <v>M0</v>
      </c>
      <c r="AEU18" s="6" t="str">
        <f t="shared" si="1046"/>
        <v>M0</v>
      </c>
      <c r="AEV18" s="6" t="str">
        <f t="shared" si="1046"/>
        <v>M0</v>
      </c>
      <c r="AEW18" s="6" t="str">
        <f t="shared" si="1046"/>
        <v>M0</v>
      </c>
      <c r="AEX18" s="6" t="str">
        <f t="shared" si="1046"/>
        <v>M0</v>
      </c>
      <c r="AEY18" s="6" t="str">
        <f t="shared" si="1046"/>
        <v>M0</v>
      </c>
      <c r="AEZ18" s="6" t="str">
        <f t="shared" si="1046"/>
        <v>M0</v>
      </c>
      <c r="AFA18" s="6" t="str">
        <f t="shared" si="1046"/>
        <v>M0</v>
      </c>
      <c r="AFB18" s="6" t="str">
        <f t="shared" si="1046"/>
        <v>M0</v>
      </c>
      <c r="AFC18" s="6" t="str">
        <f t="shared" si="1046"/>
        <v>M0</v>
      </c>
      <c r="AFD18" s="6" t="str">
        <f t="shared" si="1046"/>
        <v>M0</v>
      </c>
      <c r="AFE18" s="6" t="str">
        <f t="shared" ref="AFE18:AHP18" si="1047">IF(AFE$19="M0","M0", "M1")</f>
        <v>M0</v>
      </c>
      <c r="AFF18" s="6" t="str">
        <f t="shared" si="1047"/>
        <v>M0</v>
      </c>
      <c r="AFG18" s="6" t="str">
        <f t="shared" si="1047"/>
        <v>M0</v>
      </c>
      <c r="AFH18" s="6" t="str">
        <f t="shared" si="1047"/>
        <v>M0</v>
      </c>
      <c r="AFI18" s="6" t="str">
        <f t="shared" si="1047"/>
        <v>M0</v>
      </c>
      <c r="AFJ18" s="6" t="str">
        <f t="shared" si="1047"/>
        <v>M0</v>
      </c>
      <c r="AFK18" s="6" t="str">
        <f t="shared" si="1047"/>
        <v>M0</v>
      </c>
      <c r="AFL18" s="6" t="str">
        <f t="shared" si="1047"/>
        <v>M0</v>
      </c>
      <c r="AFM18" s="6" t="str">
        <f t="shared" si="1047"/>
        <v>M0</v>
      </c>
      <c r="AFN18" s="6" t="str">
        <f t="shared" si="1047"/>
        <v>M0</v>
      </c>
      <c r="AFO18" s="6" t="str">
        <f t="shared" si="1047"/>
        <v>M0</v>
      </c>
      <c r="AFP18" s="6" t="str">
        <f t="shared" si="1047"/>
        <v>M0</v>
      </c>
      <c r="AFQ18" s="6" t="str">
        <f t="shared" si="1047"/>
        <v>M0</v>
      </c>
      <c r="AFR18" s="6" t="str">
        <f t="shared" si="1047"/>
        <v>M0</v>
      </c>
      <c r="AFS18" s="6" t="str">
        <f t="shared" si="1047"/>
        <v>M0</v>
      </c>
      <c r="AFT18" s="6" t="str">
        <f t="shared" si="1047"/>
        <v>M0</v>
      </c>
      <c r="AFU18" s="6" t="str">
        <f t="shared" si="1047"/>
        <v>M0</v>
      </c>
      <c r="AFV18" s="6" t="str">
        <f t="shared" si="1047"/>
        <v>M0</v>
      </c>
      <c r="AFW18" s="6" t="str">
        <f t="shared" si="1047"/>
        <v>M0</v>
      </c>
      <c r="AFX18" s="6" t="str">
        <f t="shared" si="1047"/>
        <v>M0</v>
      </c>
      <c r="AFY18" s="6" t="str">
        <f t="shared" si="1047"/>
        <v>M0</v>
      </c>
      <c r="AFZ18" s="6" t="str">
        <f t="shared" si="1047"/>
        <v>M0</v>
      </c>
      <c r="AGA18" s="6" t="str">
        <f t="shared" si="1047"/>
        <v>M0</v>
      </c>
      <c r="AGB18" s="6" t="str">
        <f t="shared" si="1047"/>
        <v>M0</v>
      </c>
      <c r="AGC18" s="6" t="str">
        <f t="shared" si="1047"/>
        <v>M0</v>
      </c>
      <c r="AGD18" s="6" t="str">
        <f t="shared" si="1047"/>
        <v>M0</v>
      </c>
      <c r="AGE18" s="6" t="str">
        <f t="shared" si="1047"/>
        <v>M0</v>
      </c>
      <c r="AGF18" s="6" t="str">
        <f t="shared" si="1047"/>
        <v>M0</v>
      </c>
      <c r="AGG18" s="6" t="str">
        <f t="shared" si="1047"/>
        <v>M0</v>
      </c>
      <c r="AGH18" s="6" t="str">
        <f t="shared" si="1047"/>
        <v>M0</v>
      </c>
      <c r="AGI18" s="6" t="str">
        <f t="shared" si="1047"/>
        <v>M0</v>
      </c>
      <c r="AGJ18" s="6" t="str">
        <f t="shared" si="1047"/>
        <v>M0</v>
      </c>
      <c r="AGK18" s="6" t="str">
        <f t="shared" si="1047"/>
        <v>M0</v>
      </c>
      <c r="AGL18" s="6" t="str">
        <f t="shared" si="1047"/>
        <v>M0</v>
      </c>
      <c r="AGM18" s="6" t="str">
        <f t="shared" si="1047"/>
        <v>M0</v>
      </c>
      <c r="AGN18" s="6" t="str">
        <f t="shared" si="1047"/>
        <v>M0</v>
      </c>
      <c r="AGO18" s="6" t="str">
        <f t="shared" si="1047"/>
        <v>M0</v>
      </c>
      <c r="AGP18" s="6" t="str">
        <f t="shared" si="1047"/>
        <v>M0</v>
      </c>
      <c r="AGQ18" s="6" t="str">
        <f t="shared" si="1047"/>
        <v>M0</v>
      </c>
      <c r="AGR18" s="6" t="str">
        <f t="shared" si="1047"/>
        <v>M0</v>
      </c>
      <c r="AGS18" s="6" t="str">
        <f t="shared" si="1047"/>
        <v>M0</v>
      </c>
      <c r="AGT18" s="6" t="str">
        <f t="shared" si="1047"/>
        <v>M0</v>
      </c>
      <c r="AGU18" s="6" t="str">
        <f t="shared" si="1047"/>
        <v>M0</v>
      </c>
      <c r="AGV18" s="6" t="str">
        <f t="shared" si="1047"/>
        <v>M0</v>
      </c>
      <c r="AGW18" s="6" t="str">
        <f t="shared" si="1047"/>
        <v>M0</v>
      </c>
      <c r="AGX18" s="6" t="str">
        <f t="shared" si="1047"/>
        <v>M0</v>
      </c>
      <c r="AGY18" s="6" t="str">
        <f t="shared" si="1047"/>
        <v>M0</v>
      </c>
      <c r="AGZ18" s="6" t="str">
        <f t="shared" si="1047"/>
        <v>M0</v>
      </c>
      <c r="AHA18" s="6" t="str">
        <f t="shared" si="1047"/>
        <v>M0</v>
      </c>
      <c r="AHB18" s="6" t="str">
        <f t="shared" si="1047"/>
        <v>M1</v>
      </c>
      <c r="AHC18" s="6" t="str">
        <f t="shared" si="1047"/>
        <v>M1</v>
      </c>
      <c r="AHD18" s="6" t="str">
        <f t="shared" si="1047"/>
        <v>M1</v>
      </c>
      <c r="AHE18" s="6" t="str">
        <f t="shared" si="1047"/>
        <v>M1</v>
      </c>
      <c r="AHF18" s="6" t="str">
        <f t="shared" si="1047"/>
        <v>M0</v>
      </c>
      <c r="AHG18" s="6" t="str">
        <f t="shared" si="1047"/>
        <v>M0</v>
      </c>
      <c r="AHH18" s="6" t="str">
        <f t="shared" si="1047"/>
        <v>M0</v>
      </c>
      <c r="AHI18" s="6" t="str">
        <f t="shared" si="1047"/>
        <v>M0</v>
      </c>
      <c r="AHJ18" s="6" t="str">
        <f t="shared" si="1047"/>
        <v>M0</v>
      </c>
      <c r="AHK18" s="6" t="str">
        <f t="shared" si="1047"/>
        <v>M0</v>
      </c>
      <c r="AHL18" s="6" t="str">
        <f t="shared" si="1047"/>
        <v>M0</v>
      </c>
      <c r="AHM18" s="6" t="str">
        <f t="shared" si="1047"/>
        <v>M0</v>
      </c>
      <c r="AHN18" s="6" t="str">
        <f t="shared" si="1047"/>
        <v>M0</v>
      </c>
      <c r="AHO18" s="6" t="str">
        <f t="shared" si="1047"/>
        <v>M0</v>
      </c>
      <c r="AHP18" s="6" t="str">
        <f t="shared" si="1047"/>
        <v>M0</v>
      </c>
      <c r="AHQ18" s="6" t="str">
        <f t="shared" ref="AHQ18:AKB18" si="1048">IF(AHQ$19="M0","M0", "M1")</f>
        <v>M0</v>
      </c>
      <c r="AHR18" s="6" t="str">
        <f t="shared" si="1048"/>
        <v>M0</v>
      </c>
      <c r="AHS18" s="6" t="str">
        <f t="shared" si="1048"/>
        <v>M0</v>
      </c>
      <c r="AHT18" s="6" t="str">
        <f t="shared" si="1048"/>
        <v>M0</v>
      </c>
      <c r="AHU18" s="6" t="str">
        <f t="shared" si="1048"/>
        <v>M0</v>
      </c>
      <c r="AHV18" s="6" t="str">
        <f t="shared" si="1048"/>
        <v>M0</v>
      </c>
      <c r="AHW18" s="6" t="str">
        <f t="shared" si="1048"/>
        <v>M0</v>
      </c>
      <c r="AHX18" s="6" t="str">
        <f t="shared" si="1048"/>
        <v>M0</v>
      </c>
      <c r="AHY18" s="6" t="str">
        <f t="shared" si="1048"/>
        <v>M0</v>
      </c>
      <c r="AHZ18" s="6" t="str">
        <f t="shared" si="1048"/>
        <v>M0</v>
      </c>
      <c r="AIA18" s="6" t="str">
        <f t="shared" si="1048"/>
        <v>M0</v>
      </c>
      <c r="AIB18" s="6" t="str">
        <f t="shared" si="1048"/>
        <v>M0</v>
      </c>
      <c r="AIC18" s="6" t="str">
        <f t="shared" si="1048"/>
        <v>M0</v>
      </c>
      <c r="AID18" s="6" t="str">
        <f t="shared" si="1048"/>
        <v>M0</v>
      </c>
      <c r="AIE18" s="6" t="str">
        <f t="shared" si="1048"/>
        <v>M0</v>
      </c>
      <c r="AIF18" s="6" t="str">
        <f t="shared" si="1048"/>
        <v>M0</v>
      </c>
      <c r="AIG18" s="6" t="str">
        <f t="shared" si="1048"/>
        <v>M0</v>
      </c>
      <c r="AIH18" s="6" t="str">
        <f t="shared" si="1048"/>
        <v>M0</v>
      </c>
      <c r="AII18" s="6" t="str">
        <f t="shared" si="1048"/>
        <v>M0</v>
      </c>
      <c r="AIJ18" s="6" t="str">
        <f t="shared" si="1048"/>
        <v>M0</v>
      </c>
      <c r="AIK18" s="6" t="str">
        <f t="shared" si="1048"/>
        <v>M0</v>
      </c>
      <c r="AIL18" s="6" t="str">
        <f t="shared" si="1048"/>
        <v>M0</v>
      </c>
      <c r="AIM18" s="6" t="str">
        <f t="shared" si="1048"/>
        <v>M0</v>
      </c>
      <c r="AIN18" s="6" t="str">
        <f t="shared" si="1048"/>
        <v>M0</v>
      </c>
      <c r="AIO18" s="6" t="str">
        <f t="shared" si="1048"/>
        <v>M0</v>
      </c>
      <c r="AIP18" s="6" t="str">
        <f t="shared" si="1048"/>
        <v>M0</v>
      </c>
      <c r="AIQ18" s="6" t="str">
        <f t="shared" si="1048"/>
        <v>M0</v>
      </c>
      <c r="AIR18" s="6" t="str">
        <f t="shared" si="1048"/>
        <v>M0</v>
      </c>
      <c r="AIS18" s="6" t="str">
        <f t="shared" si="1048"/>
        <v>M0</v>
      </c>
      <c r="AIT18" s="6" t="str">
        <f t="shared" si="1048"/>
        <v>M0</v>
      </c>
      <c r="AIU18" s="6" t="str">
        <f t="shared" si="1048"/>
        <v>M0</v>
      </c>
      <c r="AIV18" s="6" t="str">
        <f t="shared" si="1048"/>
        <v>M0</v>
      </c>
      <c r="AIW18" s="6" t="str">
        <f t="shared" si="1048"/>
        <v>M0</v>
      </c>
      <c r="AIX18" s="6" t="str">
        <f t="shared" si="1048"/>
        <v>M0</v>
      </c>
      <c r="AIY18" s="6" t="str">
        <f t="shared" si="1048"/>
        <v>M0</v>
      </c>
      <c r="AIZ18" s="6" t="str">
        <f t="shared" si="1048"/>
        <v>M0</v>
      </c>
      <c r="AJA18" s="6" t="str">
        <f t="shared" si="1048"/>
        <v>M0</v>
      </c>
      <c r="AJB18" s="6" t="str">
        <f t="shared" si="1048"/>
        <v>M0</v>
      </c>
      <c r="AJC18" s="6" t="str">
        <f t="shared" si="1048"/>
        <v>M0</v>
      </c>
      <c r="AJD18" s="6" t="str">
        <f t="shared" si="1048"/>
        <v>M0</v>
      </c>
      <c r="AJE18" s="6" t="str">
        <f t="shared" si="1048"/>
        <v>M0</v>
      </c>
      <c r="AJF18" s="6" t="str">
        <f t="shared" si="1048"/>
        <v>M0</v>
      </c>
      <c r="AJG18" s="6" t="str">
        <f t="shared" si="1048"/>
        <v>M0</v>
      </c>
      <c r="AJH18" s="6" t="str">
        <f t="shared" si="1048"/>
        <v>M0</v>
      </c>
      <c r="AJI18" s="6" t="str">
        <f t="shared" si="1048"/>
        <v>M0</v>
      </c>
      <c r="AJJ18" s="6" t="str">
        <f t="shared" si="1048"/>
        <v>M0</v>
      </c>
      <c r="AJK18" s="6" t="str">
        <f t="shared" si="1048"/>
        <v>M0</v>
      </c>
      <c r="AJL18" s="6" t="str">
        <f t="shared" si="1048"/>
        <v>M0</v>
      </c>
      <c r="AJM18" s="6" t="str">
        <f t="shared" si="1048"/>
        <v>M0</v>
      </c>
      <c r="AJN18" s="6" t="str">
        <f t="shared" si="1048"/>
        <v>M0</v>
      </c>
      <c r="AJO18" s="6" t="str">
        <f t="shared" si="1048"/>
        <v>M0</v>
      </c>
      <c r="AJP18" s="6" t="str">
        <f t="shared" si="1048"/>
        <v>M0</v>
      </c>
      <c r="AJQ18" s="6" t="str">
        <f t="shared" si="1048"/>
        <v>M0</v>
      </c>
      <c r="AJR18" s="6" t="str">
        <f t="shared" si="1048"/>
        <v>M0</v>
      </c>
      <c r="AJS18" s="6" t="str">
        <f t="shared" si="1048"/>
        <v>M0</v>
      </c>
      <c r="AJT18" s="6" t="str">
        <f t="shared" si="1048"/>
        <v>M0</v>
      </c>
      <c r="AJU18" s="6" t="str">
        <f t="shared" si="1048"/>
        <v>M0</v>
      </c>
      <c r="AJV18" s="6" t="str">
        <f t="shared" si="1048"/>
        <v>M1</v>
      </c>
      <c r="AJW18" s="6" t="str">
        <f t="shared" si="1048"/>
        <v>M1</v>
      </c>
      <c r="AJX18" s="6" t="str">
        <f t="shared" si="1048"/>
        <v>M1</v>
      </c>
      <c r="AJY18" s="6" t="str">
        <f t="shared" si="1048"/>
        <v>M1</v>
      </c>
      <c r="AJZ18" s="6" t="str">
        <f t="shared" si="1048"/>
        <v>M0</v>
      </c>
      <c r="AKA18" s="6" t="str">
        <f t="shared" si="1048"/>
        <v>M0</v>
      </c>
      <c r="AKB18" s="6" t="str">
        <f t="shared" si="1048"/>
        <v>M0</v>
      </c>
      <c r="AKC18" s="6" t="str">
        <f t="shared" ref="AKC18:ALW18" si="1049">IF(AKC$19="M0","M0", "M1")</f>
        <v>M0</v>
      </c>
      <c r="AKD18" s="6" t="str">
        <f t="shared" si="1049"/>
        <v>M0</v>
      </c>
      <c r="AKE18" s="6" t="str">
        <f t="shared" si="1049"/>
        <v>M0</v>
      </c>
      <c r="AKF18" s="6" t="str">
        <f t="shared" si="1049"/>
        <v>M0</v>
      </c>
      <c r="AKG18" s="6" t="str">
        <f t="shared" si="1049"/>
        <v>M0</v>
      </c>
      <c r="AKH18" s="6" t="str">
        <f t="shared" si="1049"/>
        <v>M0</v>
      </c>
      <c r="AKI18" s="6" t="str">
        <f t="shared" si="1049"/>
        <v>M0</v>
      </c>
      <c r="AKJ18" s="6" t="str">
        <f t="shared" si="1049"/>
        <v>M0</v>
      </c>
      <c r="AKK18" s="6" t="str">
        <f t="shared" si="1049"/>
        <v>M0</v>
      </c>
      <c r="AKL18" s="6" t="str">
        <f t="shared" si="1049"/>
        <v>M0</v>
      </c>
      <c r="AKM18" s="6" t="str">
        <f t="shared" si="1049"/>
        <v>M0</v>
      </c>
      <c r="AKN18" s="6" t="str">
        <f t="shared" si="1049"/>
        <v>M0</v>
      </c>
      <c r="AKO18" s="6" t="str">
        <f t="shared" si="1049"/>
        <v>M0</v>
      </c>
      <c r="AKP18" s="6" t="str">
        <f t="shared" si="1049"/>
        <v>M0</v>
      </c>
      <c r="AKQ18" s="6" t="str">
        <f t="shared" si="1049"/>
        <v>M0</v>
      </c>
      <c r="AKR18" s="6" t="str">
        <f t="shared" si="1049"/>
        <v>M0</v>
      </c>
      <c r="AKS18" s="6" t="str">
        <f t="shared" si="1049"/>
        <v>M0</v>
      </c>
      <c r="AKT18" s="6" t="str">
        <f t="shared" si="1049"/>
        <v>M0</v>
      </c>
      <c r="AKU18" s="6" t="str">
        <f t="shared" si="1049"/>
        <v>M0</v>
      </c>
      <c r="AKV18" s="6" t="str">
        <f t="shared" si="1049"/>
        <v>M0</v>
      </c>
      <c r="AKW18" s="6" t="str">
        <f t="shared" si="1049"/>
        <v>M0</v>
      </c>
      <c r="AKX18" s="6" t="str">
        <f t="shared" si="1049"/>
        <v>M0</v>
      </c>
      <c r="AKY18" s="6" t="str">
        <f t="shared" si="1049"/>
        <v>M0</v>
      </c>
      <c r="AKZ18" s="6" t="str">
        <f t="shared" si="1049"/>
        <v>M0</v>
      </c>
      <c r="ALA18" s="6" t="str">
        <f t="shared" si="1049"/>
        <v>M0</v>
      </c>
      <c r="ALB18" s="6" t="str">
        <f t="shared" si="1049"/>
        <v>M0</v>
      </c>
      <c r="ALC18" s="6" t="str">
        <f t="shared" si="1049"/>
        <v>M0</v>
      </c>
      <c r="ALD18" s="6" t="str">
        <f t="shared" si="1049"/>
        <v>M0</v>
      </c>
      <c r="ALE18" s="6" t="str">
        <f t="shared" si="1049"/>
        <v>M0</v>
      </c>
      <c r="ALF18" s="6" t="str">
        <f t="shared" si="1049"/>
        <v>M0</v>
      </c>
      <c r="ALG18" s="6" t="str">
        <f t="shared" si="1049"/>
        <v>M0</v>
      </c>
      <c r="ALH18" s="6" t="str">
        <f t="shared" si="1049"/>
        <v>M0</v>
      </c>
      <c r="ALI18" s="6" t="str">
        <f t="shared" si="1049"/>
        <v>M0</v>
      </c>
      <c r="ALJ18" s="6" t="str">
        <f t="shared" si="1049"/>
        <v>M0</v>
      </c>
      <c r="ALK18" s="6" t="str">
        <f t="shared" si="1049"/>
        <v>M0</v>
      </c>
      <c r="ALL18" s="6" t="str">
        <f t="shared" si="1049"/>
        <v>M0</v>
      </c>
      <c r="ALM18" s="6" t="str">
        <f t="shared" si="1049"/>
        <v>M0</v>
      </c>
      <c r="ALN18" s="6" t="str">
        <f t="shared" si="1049"/>
        <v>M0</v>
      </c>
      <c r="ALO18" s="6" t="str">
        <f t="shared" si="1049"/>
        <v>M0</v>
      </c>
      <c r="ALP18" s="6" t="str">
        <f t="shared" si="1049"/>
        <v>M0</v>
      </c>
      <c r="ALQ18" s="6" t="str">
        <f t="shared" si="1049"/>
        <v>M0</v>
      </c>
      <c r="ALR18" s="6" t="str">
        <f t="shared" si="1049"/>
        <v>M0</v>
      </c>
      <c r="ALS18" s="6" t="str">
        <f t="shared" si="1049"/>
        <v>M0</v>
      </c>
      <c r="ALT18" s="6" t="str">
        <f t="shared" si="1049"/>
        <v>M0</v>
      </c>
      <c r="ALU18" s="6" t="str">
        <f t="shared" si="1049"/>
        <v>M0</v>
      </c>
      <c r="ALV18" s="6" t="str">
        <f t="shared" si="1049"/>
        <v>M0</v>
      </c>
      <c r="ALW18" s="6" t="str">
        <f t="shared" si="1049"/>
        <v>M0</v>
      </c>
    </row>
    <row r="19" spans="2:1011" outlineLevel="1" x14ac:dyDescent="0.25">
      <c r="C19" s="5" t="s">
        <v>6</v>
      </c>
      <c r="D19" s="6" t="str">
        <f>IF(D$20="M1","", "M0")</f>
        <v>M0</v>
      </c>
      <c r="E19" s="6" t="str">
        <f t="shared" ref="E19:BP19" si="1050">IF(E$20="M1","", "M0")</f>
        <v>M0</v>
      </c>
      <c r="F19" s="6" t="str">
        <f t="shared" si="1050"/>
        <v>M0</v>
      </c>
      <c r="G19" s="6" t="str">
        <f t="shared" si="1050"/>
        <v>M0</v>
      </c>
      <c r="H19" s="6" t="str">
        <f t="shared" si="1050"/>
        <v>M0</v>
      </c>
      <c r="I19" s="6" t="str">
        <f t="shared" si="1050"/>
        <v>M0</v>
      </c>
      <c r="J19" s="6" t="str">
        <f t="shared" si="1050"/>
        <v>M0</v>
      </c>
      <c r="K19" s="6" t="str">
        <f t="shared" si="1050"/>
        <v>M0</v>
      </c>
      <c r="L19" s="6" t="str">
        <f t="shared" si="1050"/>
        <v>M0</v>
      </c>
      <c r="M19" s="6" t="str">
        <f t="shared" si="1050"/>
        <v>M0</v>
      </c>
      <c r="N19" s="6" t="str">
        <f t="shared" si="1050"/>
        <v>M0</v>
      </c>
      <c r="O19" s="6" t="str">
        <f t="shared" si="1050"/>
        <v>M0</v>
      </c>
      <c r="P19" s="6" t="str">
        <f t="shared" si="1050"/>
        <v>M0</v>
      </c>
      <c r="Q19" s="6" t="str">
        <f t="shared" si="1050"/>
        <v>M0</v>
      </c>
      <c r="R19" s="6" t="str">
        <f t="shared" si="1050"/>
        <v>M0</v>
      </c>
      <c r="S19" s="6" t="str">
        <f t="shared" si="1050"/>
        <v>M0</v>
      </c>
      <c r="T19" s="6" t="str">
        <f t="shared" si="1050"/>
        <v>M0</v>
      </c>
      <c r="U19" s="6" t="str">
        <f t="shared" si="1050"/>
        <v>M0</v>
      </c>
      <c r="V19" s="6" t="str">
        <f t="shared" si="1050"/>
        <v/>
      </c>
      <c r="W19" s="6" t="str">
        <f t="shared" si="1050"/>
        <v/>
      </c>
      <c r="X19" s="6" t="str">
        <f t="shared" si="1050"/>
        <v/>
      </c>
      <c r="Y19" s="6" t="str">
        <f t="shared" si="1050"/>
        <v/>
      </c>
      <c r="Z19" s="6" t="str">
        <f t="shared" si="1050"/>
        <v>M0</v>
      </c>
      <c r="AA19" s="6" t="str">
        <f t="shared" si="1050"/>
        <v>M0</v>
      </c>
      <c r="AB19" s="6" t="str">
        <f t="shared" si="1050"/>
        <v>M0</v>
      </c>
      <c r="AC19" s="6" t="str">
        <f t="shared" si="1050"/>
        <v>M0</v>
      </c>
      <c r="AD19" s="6" t="str">
        <f t="shared" si="1050"/>
        <v>M0</v>
      </c>
      <c r="AE19" s="6" t="str">
        <f t="shared" si="1050"/>
        <v>M0</v>
      </c>
      <c r="AF19" s="6" t="str">
        <f t="shared" si="1050"/>
        <v>M0</v>
      </c>
      <c r="AG19" s="6" t="str">
        <f t="shared" si="1050"/>
        <v>M0</v>
      </c>
      <c r="AH19" s="6" t="str">
        <f t="shared" si="1050"/>
        <v>M0</v>
      </c>
      <c r="AI19" s="6" t="str">
        <f t="shared" si="1050"/>
        <v>M0</v>
      </c>
      <c r="AJ19" s="6" t="str">
        <f t="shared" si="1050"/>
        <v>M0</v>
      </c>
      <c r="AK19" s="6" t="str">
        <f t="shared" si="1050"/>
        <v>M0</v>
      </c>
      <c r="AL19" s="6" t="str">
        <f t="shared" si="1050"/>
        <v>M0</v>
      </c>
      <c r="AM19" s="6" t="str">
        <f t="shared" si="1050"/>
        <v>M0</v>
      </c>
      <c r="AN19" s="6" t="str">
        <f t="shared" si="1050"/>
        <v>M0</v>
      </c>
      <c r="AO19" s="6" t="str">
        <f t="shared" si="1050"/>
        <v>M0</v>
      </c>
      <c r="AP19" s="6" t="str">
        <f t="shared" si="1050"/>
        <v>M0</v>
      </c>
      <c r="AQ19" s="6" t="str">
        <f t="shared" si="1050"/>
        <v>M0</v>
      </c>
      <c r="AR19" s="6" t="str">
        <f t="shared" si="1050"/>
        <v>M0</v>
      </c>
      <c r="AS19" s="6" t="str">
        <f t="shared" si="1050"/>
        <v>M0</v>
      </c>
      <c r="AT19" s="6" t="str">
        <f t="shared" si="1050"/>
        <v>M0</v>
      </c>
      <c r="AU19" s="6" t="str">
        <f t="shared" si="1050"/>
        <v>M0</v>
      </c>
      <c r="AV19" s="6" t="str">
        <f t="shared" si="1050"/>
        <v>M0</v>
      </c>
      <c r="AW19" s="6" t="str">
        <f t="shared" si="1050"/>
        <v>M0</v>
      </c>
      <c r="AX19" s="6" t="str">
        <f t="shared" si="1050"/>
        <v>M0</v>
      </c>
      <c r="AY19" s="6" t="str">
        <f t="shared" si="1050"/>
        <v>M0</v>
      </c>
      <c r="AZ19" s="6" t="str">
        <f t="shared" si="1050"/>
        <v>M0</v>
      </c>
      <c r="BA19" s="6" t="str">
        <f t="shared" si="1050"/>
        <v>M0</v>
      </c>
      <c r="BB19" s="6" t="str">
        <f t="shared" si="1050"/>
        <v>M0</v>
      </c>
      <c r="BC19" s="6" t="str">
        <f t="shared" si="1050"/>
        <v>M0</v>
      </c>
      <c r="BD19" s="6" t="str">
        <f t="shared" si="1050"/>
        <v>M0</v>
      </c>
      <c r="BE19" s="6" t="str">
        <f t="shared" si="1050"/>
        <v>M0</v>
      </c>
      <c r="BF19" s="6" t="str">
        <f t="shared" si="1050"/>
        <v>M0</v>
      </c>
      <c r="BG19" s="6" t="str">
        <f t="shared" si="1050"/>
        <v>M0</v>
      </c>
      <c r="BH19" s="6" t="str">
        <f t="shared" si="1050"/>
        <v>M0</v>
      </c>
      <c r="BI19" s="6" t="str">
        <f t="shared" si="1050"/>
        <v>M0</v>
      </c>
      <c r="BJ19" s="6" t="str">
        <f t="shared" si="1050"/>
        <v>M0</v>
      </c>
      <c r="BK19" s="6" t="str">
        <f t="shared" si="1050"/>
        <v>M0</v>
      </c>
      <c r="BL19" s="6" t="str">
        <f t="shared" si="1050"/>
        <v>M0</v>
      </c>
      <c r="BM19" s="6" t="str">
        <f t="shared" si="1050"/>
        <v>M0</v>
      </c>
      <c r="BN19" s="6" t="str">
        <f t="shared" si="1050"/>
        <v>M0</v>
      </c>
      <c r="BO19" s="6" t="str">
        <f t="shared" si="1050"/>
        <v>M0</v>
      </c>
      <c r="BP19" s="6" t="str">
        <f t="shared" si="1050"/>
        <v>M0</v>
      </c>
      <c r="BQ19" s="6" t="str">
        <f t="shared" ref="BQ19:EB19" si="1051">IF(BQ$20="M1","", "M0")</f>
        <v>M0</v>
      </c>
      <c r="BR19" s="6" t="str">
        <f t="shared" si="1051"/>
        <v>M0</v>
      </c>
      <c r="BS19" s="6" t="str">
        <f t="shared" si="1051"/>
        <v>M0</v>
      </c>
      <c r="BT19" s="6" t="str">
        <f t="shared" si="1051"/>
        <v>M0</v>
      </c>
      <c r="BU19" s="6" t="str">
        <f t="shared" si="1051"/>
        <v>M0</v>
      </c>
      <c r="BV19" s="6" t="str">
        <f t="shared" si="1051"/>
        <v>M0</v>
      </c>
      <c r="BW19" s="6" t="str">
        <f t="shared" si="1051"/>
        <v>M0</v>
      </c>
      <c r="BX19" s="6" t="str">
        <f t="shared" si="1051"/>
        <v>M0</v>
      </c>
      <c r="BY19" s="6" t="str">
        <f t="shared" si="1051"/>
        <v>M0</v>
      </c>
      <c r="BZ19" s="6" t="str">
        <f t="shared" si="1051"/>
        <v>M0</v>
      </c>
      <c r="CA19" s="6" t="str">
        <f t="shared" si="1051"/>
        <v>M0</v>
      </c>
      <c r="CB19" s="6" t="str">
        <f t="shared" si="1051"/>
        <v>M0</v>
      </c>
      <c r="CC19" s="6" t="str">
        <f t="shared" si="1051"/>
        <v>M0</v>
      </c>
      <c r="CD19" s="6" t="str">
        <f t="shared" si="1051"/>
        <v>M0</v>
      </c>
      <c r="CE19" s="6" t="str">
        <f t="shared" si="1051"/>
        <v>M0</v>
      </c>
      <c r="CF19" s="6" t="str">
        <f t="shared" si="1051"/>
        <v>M0</v>
      </c>
      <c r="CG19" s="6" t="str">
        <f t="shared" si="1051"/>
        <v>M0</v>
      </c>
      <c r="CH19" s="6" t="str">
        <f t="shared" si="1051"/>
        <v>M0</v>
      </c>
      <c r="CI19" s="6" t="str">
        <f t="shared" si="1051"/>
        <v>M0</v>
      </c>
      <c r="CJ19" s="6" t="str">
        <f t="shared" si="1051"/>
        <v>M0</v>
      </c>
      <c r="CK19" s="6" t="str">
        <f t="shared" si="1051"/>
        <v>M0</v>
      </c>
      <c r="CL19" s="6" t="str">
        <f t="shared" si="1051"/>
        <v>M0</v>
      </c>
      <c r="CM19" s="6" t="str">
        <f t="shared" si="1051"/>
        <v>M0</v>
      </c>
      <c r="CN19" s="6" t="str">
        <f t="shared" si="1051"/>
        <v>M0</v>
      </c>
      <c r="CO19" s="6" t="str">
        <f t="shared" si="1051"/>
        <v>M0</v>
      </c>
      <c r="CP19" s="6" t="str">
        <f t="shared" si="1051"/>
        <v/>
      </c>
      <c r="CQ19" s="6" t="str">
        <f t="shared" si="1051"/>
        <v/>
      </c>
      <c r="CR19" s="6" t="str">
        <f t="shared" si="1051"/>
        <v/>
      </c>
      <c r="CS19" s="6" t="str">
        <f t="shared" si="1051"/>
        <v/>
      </c>
      <c r="CT19" s="6" t="str">
        <f t="shared" si="1051"/>
        <v>M0</v>
      </c>
      <c r="CU19" s="6" t="str">
        <f t="shared" si="1051"/>
        <v>M0</v>
      </c>
      <c r="CV19" s="6" t="str">
        <f t="shared" si="1051"/>
        <v>M0</v>
      </c>
      <c r="CW19" s="6" t="str">
        <f t="shared" si="1051"/>
        <v>M0</v>
      </c>
      <c r="CX19" s="6" t="str">
        <f t="shared" si="1051"/>
        <v>M0</v>
      </c>
      <c r="CY19" s="6" t="str">
        <f t="shared" si="1051"/>
        <v>M0</v>
      </c>
      <c r="CZ19" s="6" t="str">
        <f t="shared" si="1051"/>
        <v>M0</v>
      </c>
      <c r="DA19" s="6" t="str">
        <f t="shared" si="1051"/>
        <v>M0</v>
      </c>
      <c r="DB19" s="6" t="str">
        <f t="shared" si="1051"/>
        <v>M0</v>
      </c>
      <c r="DC19" s="6" t="str">
        <f t="shared" si="1051"/>
        <v>M0</v>
      </c>
      <c r="DD19" s="6" t="str">
        <f t="shared" si="1051"/>
        <v>M0</v>
      </c>
      <c r="DE19" s="6" t="str">
        <f t="shared" si="1051"/>
        <v>M0</v>
      </c>
      <c r="DF19" s="6" t="str">
        <f t="shared" si="1051"/>
        <v>M0</v>
      </c>
      <c r="DG19" s="6" t="str">
        <f t="shared" si="1051"/>
        <v>M0</v>
      </c>
      <c r="DH19" s="6" t="str">
        <f t="shared" si="1051"/>
        <v>M0</v>
      </c>
      <c r="DI19" s="6" t="str">
        <f t="shared" si="1051"/>
        <v>M0</v>
      </c>
      <c r="DJ19" s="6" t="str">
        <f t="shared" si="1051"/>
        <v>M0</v>
      </c>
      <c r="DK19" s="6" t="str">
        <f t="shared" si="1051"/>
        <v>M0</v>
      </c>
      <c r="DL19" s="6" t="str">
        <f t="shared" si="1051"/>
        <v>M0</v>
      </c>
      <c r="DM19" s="6" t="str">
        <f t="shared" si="1051"/>
        <v>M0</v>
      </c>
      <c r="DN19" s="6" t="str">
        <f t="shared" si="1051"/>
        <v>M0</v>
      </c>
      <c r="DO19" s="6" t="str">
        <f t="shared" si="1051"/>
        <v>M0</v>
      </c>
      <c r="DP19" s="6" t="str">
        <f t="shared" si="1051"/>
        <v>M0</v>
      </c>
      <c r="DQ19" s="6" t="str">
        <f t="shared" si="1051"/>
        <v>M0</v>
      </c>
      <c r="DR19" s="6" t="str">
        <f t="shared" si="1051"/>
        <v>M0</v>
      </c>
      <c r="DS19" s="6" t="str">
        <f t="shared" si="1051"/>
        <v>M0</v>
      </c>
      <c r="DT19" s="6" t="str">
        <f t="shared" si="1051"/>
        <v>M0</v>
      </c>
      <c r="DU19" s="6" t="str">
        <f t="shared" si="1051"/>
        <v>M0</v>
      </c>
      <c r="DV19" s="6" t="str">
        <f t="shared" si="1051"/>
        <v>M0</v>
      </c>
      <c r="DW19" s="6" t="str">
        <f t="shared" si="1051"/>
        <v>M0</v>
      </c>
      <c r="DX19" s="6" t="str">
        <f t="shared" si="1051"/>
        <v>M0</v>
      </c>
      <c r="DY19" s="6" t="str">
        <f t="shared" si="1051"/>
        <v>M0</v>
      </c>
      <c r="DZ19" s="6" t="str">
        <f t="shared" si="1051"/>
        <v>M0</v>
      </c>
      <c r="EA19" s="6" t="str">
        <f t="shared" si="1051"/>
        <v>M0</v>
      </c>
      <c r="EB19" s="6" t="str">
        <f t="shared" si="1051"/>
        <v>M0</v>
      </c>
      <c r="EC19" s="6" t="str">
        <f t="shared" ref="EC19:GN19" si="1052">IF(EC$20="M1","", "M0")</f>
        <v>M0</v>
      </c>
      <c r="ED19" s="6" t="str">
        <f t="shared" si="1052"/>
        <v>M0</v>
      </c>
      <c r="EE19" s="6" t="str">
        <f t="shared" si="1052"/>
        <v>M0</v>
      </c>
      <c r="EF19" s="6" t="str">
        <f t="shared" si="1052"/>
        <v>M0</v>
      </c>
      <c r="EG19" s="6" t="str">
        <f t="shared" si="1052"/>
        <v>M0</v>
      </c>
      <c r="EH19" s="6" t="str">
        <f t="shared" si="1052"/>
        <v>M0</v>
      </c>
      <c r="EI19" s="6" t="str">
        <f t="shared" si="1052"/>
        <v>M0</v>
      </c>
      <c r="EJ19" s="6" t="str">
        <f t="shared" si="1052"/>
        <v>M0</v>
      </c>
      <c r="EK19" s="6" t="str">
        <f t="shared" si="1052"/>
        <v>M0</v>
      </c>
      <c r="EL19" s="6" t="str">
        <f t="shared" si="1052"/>
        <v>M0</v>
      </c>
      <c r="EM19" s="6" t="str">
        <f t="shared" si="1052"/>
        <v>M0</v>
      </c>
      <c r="EN19" s="6" t="str">
        <f t="shared" si="1052"/>
        <v>M0</v>
      </c>
      <c r="EO19" s="6" t="str">
        <f t="shared" si="1052"/>
        <v>M0</v>
      </c>
      <c r="EP19" s="6" t="str">
        <f t="shared" si="1052"/>
        <v>M0</v>
      </c>
      <c r="EQ19" s="6" t="str">
        <f t="shared" si="1052"/>
        <v>M0</v>
      </c>
      <c r="ER19" s="6" t="str">
        <f t="shared" si="1052"/>
        <v>M0</v>
      </c>
      <c r="ES19" s="6" t="str">
        <f t="shared" si="1052"/>
        <v>M0</v>
      </c>
      <c r="ET19" s="6" t="str">
        <f t="shared" si="1052"/>
        <v>M0</v>
      </c>
      <c r="EU19" s="6" t="str">
        <f t="shared" si="1052"/>
        <v>M0</v>
      </c>
      <c r="EV19" s="6" t="str">
        <f t="shared" si="1052"/>
        <v>M0</v>
      </c>
      <c r="EW19" s="6" t="str">
        <f t="shared" si="1052"/>
        <v>M0</v>
      </c>
      <c r="EX19" s="6" t="str">
        <f t="shared" si="1052"/>
        <v>M0</v>
      </c>
      <c r="EY19" s="6" t="str">
        <f t="shared" si="1052"/>
        <v>M0</v>
      </c>
      <c r="EZ19" s="6" t="str">
        <f t="shared" si="1052"/>
        <v>M0</v>
      </c>
      <c r="FA19" s="6" t="str">
        <f t="shared" si="1052"/>
        <v>M0</v>
      </c>
      <c r="FB19" s="6" t="str">
        <f t="shared" si="1052"/>
        <v>M0</v>
      </c>
      <c r="FC19" s="6" t="str">
        <f t="shared" si="1052"/>
        <v>M0</v>
      </c>
      <c r="FD19" s="6" t="str">
        <f t="shared" si="1052"/>
        <v>M0</v>
      </c>
      <c r="FE19" s="6" t="str">
        <f t="shared" si="1052"/>
        <v>M0</v>
      </c>
      <c r="FF19" s="6" t="str">
        <f t="shared" si="1052"/>
        <v>M0</v>
      </c>
      <c r="FG19" s="6" t="str">
        <f t="shared" si="1052"/>
        <v>M0</v>
      </c>
      <c r="FH19" s="6" t="str">
        <f t="shared" si="1052"/>
        <v>M0</v>
      </c>
      <c r="FI19" s="6" t="str">
        <f t="shared" si="1052"/>
        <v>M0</v>
      </c>
      <c r="FJ19" s="6" t="str">
        <f t="shared" si="1052"/>
        <v/>
      </c>
      <c r="FK19" s="6" t="str">
        <f t="shared" si="1052"/>
        <v/>
      </c>
      <c r="FL19" s="6" t="str">
        <f t="shared" si="1052"/>
        <v/>
      </c>
      <c r="FM19" s="6" t="str">
        <f t="shared" si="1052"/>
        <v/>
      </c>
      <c r="FN19" s="6" t="str">
        <f t="shared" si="1052"/>
        <v>M0</v>
      </c>
      <c r="FO19" s="6" t="str">
        <f t="shared" si="1052"/>
        <v>M0</v>
      </c>
      <c r="FP19" s="6" t="str">
        <f t="shared" si="1052"/>
        <v>M0</v>
      </c>
      <c r="FQ19" s="6" t="str">
        <f t="shared" si="1052"/>
        <v>M0</v>
      </c>
      <c r="FR19" s="6" t="str">
        <f t="shared" si="1052"/>
        <v>M0</v>
      </c>
      <c r="FS19" s="6" t="str">
        <f t="shared" si="1052"/>
        <v>M0</v>
      </c>
      <c r="FT19" s="6" t="str">
        <f t="shared" si="1052"/>
        <v>M0</v>
      </c>
      <c r="FU19" s="6" t="str">
        <f t="shared" si="1052"/>
        <v>M0</v>
      </c>
      <c r="FV19" s="6" t="str">
        <f t="shared" si="1052"/>
        <v>M0</v>
      </c>
      <c r="FW19" s="6" t="str">
        <f t="shared" si="1052"/>
        <v>M0</v>
      </c>
      <c r="FX19" s="6" t="str">
        <f t="shared" si="1052"/>
        <v>M0</v>
      </c>
      <c r="FY19" s="6" t="str">
        <f t="shared" si="1052"/>
        <v>M0</v>
      </c>
      <c r="FZ19" s="6" t="str">
        <f t="shared" si="1052"/>
        <v>M0</v>
      </c>
      <c r="GA19" s="6" t="str">
        <f t="shared" si="1052"/>
        <v>M0</v>
      </c>
      <c r="GB19" s="6" t="str">
        <f t="shared" si="1052"/>
        <v>M0</v>
      </c>
      <c r="GC19" s="6" t="str">
        <f t="shared" si="1052"/>
        <v>M0</v>
      </c>
      <c r="GD19" s="6" t="str">
        <f t="shared" si="1052"/>
        <v>M0</v>
      </c>
      <c r="GE19" s="6" t="str">
        <f t="shared" si="1052"/>
        <v>M0</v>
      </c>
      <c r="GF19" s="6" t="str">
        <f t="shared" si="1052"/>
        <v>M0</v>
      </c>
      <c r="GG19" s="6" t="str">
        <f t="shared" si="1052"/>
        <v>M0</v>
      </c>
      <c r="GH19" s="6" t="str">
        <f t="shared" si="1052"/>
        <v>M0</v>
      </c>
      <c r="GI19" s="6" t="str">
        <f t="shared" si="1052"/>
        <v>M0</v>
      </c>
      <c r="GJ19" s="6" t="str">
        <f t="shared" si="1052"/>
        <v>M0</v>
      </c>
      <c r="GK19" s="6" t="str">
        <f t="shared" si="1052"/>
        <v>M0</v>
      </c>
      <c r="GL19" s="6" t="str">
        <f t="shared" si="1052"/>
        <v>M0</v>
      </c>
      <c r="GM19" s="6" t="str">
        <f t="shared" si="1052"/>
        <v>M0</v>
      </c>
      <c r="GN19" s="6" t="str">
        <f t="shared" si="1052"/>
        <v>M0</v>
      </c>
      <c r="GO19" s="6" t="str">
        <f t="shared" ref="GO19:IZ19" si="1053">IF(GO$20="M1","", "M0")</f>
        <v>M0</v>
      </c>
      <c r="GP19" s="6" t="str">
        <f t="shared" si="1053"/>
        <v>M0</v>
      </c>
      <c r="GQ19" s="6" t="str">
        <f t="shared" si="1053"/>
        <v>M0</v>
      </c>
      <c r="GR19" s="6" t="str">
        <f t="shared" si="1053"/>
        <v>M0</v>
      </c>
      <c r="GS19" s="6" t="str">
        <f t="shared" si="1053"/>
        <v>M0</v>
      </c>
      <c r="GT19" s="6" t="str">
        <f t="shared" si="1053"/>
        <v>M0</v>
      </c>
      <c r="GU19" s="6" t="str">
        <f t="shared" si="1053"/>
        <v>M0</v>
      </c>
      <c r="GV19" s="6" t="str">
        <f t="shared" si="1053"/>
        <v>M0</v>
      </c>
      <c r="GW19" s="6" t="str">
        <f t="shared" si="1053"/>
        <v>M0</v>
      </c>
      <c r="GX19" s="6" t="str">
        <f t="shared" si="1053"/>
        <v>M0</v>
      </c>
      <c r="GY19" s="6" t="str">
        <f t="shared" si="1053"/>
        <v>M0</v>
      </c>
      <c r="GZ19" s="6" t="str">
        <f t="shared" si="1053"/>
        <v>M0</v>
      </c>
      <c r="HA19" s="6" t="str">
        <f t="shared" si="1053"/>
        <v>M0</v>
      </c>
      <c r="HB19" s="6" t="str">
        <f t="shared" si="1053"/>
        <v>M0</v>
      </c>
      <c r="HC19" s="6" t="str">
        <f t="shared" si="1053"/>
        <v>M0</v>
      </c>
      <c r="HD19" s="6" t="str">
        <f t="shared" si="1053"/>
        <v>M0</v>
      </c>
      <c r="HE19" s="6" t="str">
        <f t="shared" si="1053"/>
        <v>M0</v>
      </c>
      <c r="HF19" s="6" t="str">
        <f t="shared" si="1053"/>
        <v>M0</v>
      </c>
      <c r="HG19" s="6" t="str">
        <f t="shared" si="1053"/>
        <v>M0</v>
      </c>
      <c r="HH19" s="6" t="str">
        <f t="shared" si="1053"/>
        <v>M0</v>
      </c>
      <c r="HI19" s="6" t="str">
        <f t="shared" si="1053"/>
        <v>M0</v>
      </c>
      <c r="HJ19" s="6" t="str">
        <f t="shared" si="1053"/>
        <v>M0</v>
      </c>
      <c r="HK19" s="6" t="str">
        <f t="shared" si="1053"/>
        <v>M0</v>
      </c>
      <c r="HL19" s="6" t="str">
        <f t="shared" si="1053"/>
        <v>M0</v>
      </c>
      <c r="HM19" s="6" t="str">
        <f t="shared" si="1053"/>
        <v>M0</v>
      </c>
      <c r="HN19" s="6" t="str">
        <f t="shared" si="1053"/>
        <v>M0</v>
      </c>
      <c r="HO19" s="6" t="str">
        <f t="shared" si="1053"/>
        <v>M0</v>
      </c>
      <c r="HP19" s="6" t="str">
        <f t="shared" si="1053"/>
        <v>M0</v>
      </c>
      <c r="HQ19" s="6" t="str">
        <f t="shared" si="1053"/>
        <v>M0</v>
      </c>
      <c r="HR19" s="6" t="str">
        <f t="shared" si="1053"/>
        <v>M0</v>
      </c>
      <c r="HS19" s="6" t="str">
        <f t="shared" si="1053"/>
        <v>M0</v>
      </c>
      <c r="HT19" s="6" t="str">
        <f t="shared" si="1053"/>
        <v>M0</v>
      </c>
      <c r="HU19" s="6" t="str">
        <f t="shared" si="1053"/>
        <v>M0</v>
      </c>
      <c r="HV19" s="6" t="str">
        <f t="shared" si="1053"/>
        <v>M0</v>
      </c>
      <c r="HW19" s="6" t="str">
        <f t="shared" si="1053"/>
        <v>M0</v>
      </c>
      <c r="HX19" s="6" t="str">
        <f t="shared" si="1053"/>
        <v>M0</v>
      </c>
      <c r="HY19" s="6" t="str">
        <f t="shared" si="1053"/>
        <v>M0</v>
      </c>
      <c r="HZ19" s="6" t="str">
        <f t="shared" si="1053"/>
        <v>M0</v>
      </c>
      <c r="IA19" s="6" t="str">
        <f t="shared" si="1053"/>
        <v>M0</v>
      </c>
      <c r="IB19" s="6" t="str">
        <f t="shared" si="1053"/>
        <v>M0</v>
      </c>
      <c r="IC19" s="6" t="str">
        <f t="shared" si="1053"/>
        <v>M0</v>
      </c>
      <c r="ID19" s="6" t="str">
        <f t="shared" si="1053"/>
        <v/>
      </c>
      <c r="IE19" s="6" t="str">
        <f t="shared" si="1053"/>
        <v/>
      </c>
      <c r="IF19" s="6" t="str">
        <f t="shared" si="1053"/>
        <v/>
      </c>
      <c r="IG19" s="6" t="str">
        <f t="shared" si="1053"/>
        <v/>
      </c>
      <c r="IH19" s="6" t="str">
        <f t="shared" si="1053"/>
        <v>M0</v>
      </c>
      <c r="II19" s="6" t="str">
        <f t="shared" si="1053"/>
        <v>M0</v>
      </c>
      <c r="IJ19" s="6" t="str">
        <f t="shared" si="1053"/>
        <v>M0</v>
      </c>
      <c r="IK19" s="6" t="str">
        <f t="shared" si="1053"/>
        <v>M0</v>
      </c>
      <c r="IL19" s="6" t="str">
        <f t="shared" si="1053"/>
        <v>M0</v>
      </c>
      <c r="IM19" s="6" t="str">
        <f t="shared" si="1053"/>
        <v>M0</v>
      </c>
      <c r="IN19" s="6" t="str">
        <f t="shared" si="1053"/>
        <v>M0</v>
      </c>
      <c r="IO19" s="6" t="str">
        <f t="shared" si="1053"/>
        <v>M0</v>
      </c>
      <c r="IP19" s="6" t="str">
        <f t="shared" si="1053"/>
        <v>M0</v>
      </c>
      <c r="IQ19" s="6" t="str">
        <f t="shared" si="1053"/>
        <v>M0</v>
      </c>
      <c r="IR19" s="6" t="str">
        <f t="shared" si="1053"/>
        <v>M0</v>
      </c>
      <c r="IS19" s="6" t="str">
        <f t="shared" si="1053"/>
        <v>M0</v>
      </c>
      <c r="IT19" s="6" t="str">
        <f t="shared" si="1053"/>
        <v>M0</v>
      </c>
      <c r="IU19" s="6" t="str">
        <f t="shared" si="1053"/>
        <v>M0</v>
      </c>
      <c r="IV19" s="6" t="str">
        <f t="shared" si="1053"/>
        <v>M0</v>
      </c>
      <c r="IW19" s="6" t="str">
        <f t="shared" si="1053"/>
        <v>M0</v>
      </c>
      <c r="IX19" s="6" t="str">
        <f t="shared" si="1053"/>
        <v>M0</v>
      </c>
      <c r="IY19" s="6" t="str">
        <f t="shared" si="1053"/>
        <v>M0</v>
      </c>
      <c r="IZ19" s="6" t="str">
        <f t="shared" si="1053"/>
        <v>M0</v>
      </c>
      <c r="JA19" s="6" t="str">
        <f t="shared" ref="JA19:LL19" si="1054">IF(JA$20="M1","", "M0")</f>
        <v>M0</v>
      </c>
      <c r="JB19" s="6" t="str">
        <f t="shared" si="1054"/>
        <v>M0</v>
      </c>
      <c r="JC19" s="6" t="str">
        <f t="shared" si="1054"/>
        <v>M0</v>
      </c>
      <c r="JD19" s="6" t="str">
        <f t="shared" si="1054"/>
        <v>M0</v>
      </c>
      <c r="JE19" s="6" t="str">
        <f t="shared" si="1054"/>
        <v>M0</v>
      </c>
      <c r="JF19" s="6" t="str">
        <f t="shared" si="1054"/>
        <v>M0</v>
      </c>
      <c r="JG19" s="6" t="str">
        <f t="shared" si="1054"/>
        <v>M0</v>
      </c>
      <c r="JH19" s="6" t="str">
        <f t="shared" si="1054"/>
        <v>M0</v>
      </c>
      <c r="JI19" s="6" t="str">
        <f t="shared" si="1054"/>
        <v>M0</v>
      </c>
      <c r="JJ19" s="6" t="str">
        <f t="shared" si="1054"/>
        <v>M0</v>
      </c>
      <c r="JK19" s="6" t="str">
        <f t="shared" si="1054"/>
        <v>M0</v>
      </c>
      <c r="JL19" s="6" t="str">
        <f t="shared" si="1054"/>
        <v>M0</v>
      </c>
      <c r="JM19" s="6" t="str">
        <f t="shared" si="1054"/>
        <v>M0</v>
      </c>
      <c r="JN19" s="6" t="str">
        <f t="shared" si="1054"/>
        <v>M0</v>
      </c>
      <c r="JO19" s="6" t="str">
        <f t="shared" si="1054"/>
        <v>M0</v>
      </c>
      <c r="JP19" s="6" t="str">
        <f t="shared" si="1054"/>
        <v>M0</v>
      </c>
      <c r="JQ19" s="6" t="str">
        <f t="shared" si="1054"/>
        <v>M0</v>
      </c>
      <c r="JR19" s="6" t="str">
        <f t="shared" si="1054"/>
        <v>M0</v>
      </c>
      <c r="JS19" s="6" t="str">
        <f t="shared" si="1054"/>
        <v>M0</v>
      </c>
      <c r="JT19" s="6" t="str">
        <f t="shared" si="1054"/>
        <v>M0</v>
      </c>
      <c r="JU19" s="6" t="str">
        <f t="shared" si="1054"/>
        <v>M0</v>
      </c>
      <c r="JV19" s="6" t="str">
        <f t="shared" si="1054"/>
        <v>M0</v>
      </c>
      <c r="JW19" s="6" t="str">
        <f t="shared" si="1054"/>
        <v>M0</v>
      </c>
      <c r="JX19" s="6" t="str">
        <f t="shared" si="1054"/>
        <v>M0</v>
      </c>
      <c r="JY19" s="6" t="str">
        <f t="shared" si="1054"/>
        <v>M0</v>
      </c>
      <c r="JZ19" s="6" t="str">
        <f t="shared" si="1054"/>
        <v>M0</v>
      </c>
      <c r="KA19" s="6" t="str">
        <f t="shared" si="1054"/>
        <v>M0</v>
      </c>
      <c r="KB19" s="6" t="str">
        <f t="shared" si="1054"/>
        <v>M0</v>
      </c>
      <c r="KC19" s="6" t="str">
        <f t="shared" si="1054"/>
        <v>M0</v>
      </c>
      <c r="KD19" s="6" t="str">
        <f t="shared" si="1054"/>
        <v>M0</v>
      </c>
      <c r="KE19" s="6" t="str">
        <f t="shared" si="1054"/>
        <v>M0</v>
      </c>
      <c r="KF19" s="6" t="str">
        <f t="shared" si="1054"/>
        <v>M0</v>
      </c>
      <c r="KG19" s="6" t="str">
        <f t="shared" si="1054"/>
        <v>M0</v>
      </c>
      <c r="KH19" s="6" t="str">
        <f t="shared" si="1054"/>
        <v>M0</v>
      </c>
      <c r="KI19" s="6" t="str">
        <f t="shared" si="1054"/>
        <v>M0</v>
      </c>
      <c r="KJ19" s="6" t="str">
        <f t="shared" si="1054"/>
        <v>M0</v>
      </c>
      <c r="KK19" s="6" t="str">
        <f t="shared" si="1054"/>
        <v>M0</v>
      </c>
      <c r="KL19" s="6" t="str">
        <f t="shared" si="1054"/>
        <v>M0</v>
      </c>
      <c r="KM19" s="6" t="str">
        <f t="shared" si="1054"/>
        <v>M0</v>
      </c>
      <c r="KN19" s="6" t="str">
        <f t="shared" si="1054"/>
        <v>M0</v>
      </c>
      <c r="KO19" s="6" t="str">
        <f t="shared" si="1054"/>
        <v>M0</v>
      </c>
      <c r="KP19" s="6" t="str">
        <f t="shared" si="1054"/>
        <v>M0</v>
      </c>
      <c r="KQ19" s="6" t="str">
        <f t="shared" si="1054"/>
        <v>M0</v>
      </c>
      <c r="KR19" s="6" t="str">
        <f t="shared" si="1054"/>
        <v>M0</v>
      </c>
      <c r="KS19" s="6" t="str">
        <f t="shared" si="1054"/>
        <v>M0</v>
      </c>
      <c r="KT19" s="6" t="str">
        <f t="shared" si="1054"/>
        <v>M0</v>
      </c>
      <c r="KU19" s="6" t="str">
        <f t="shared" si="1054"/>
        <v>M0</v>
      </c>
      <c r="KV19" s="6" t="str">
        <f t="shared" si="1054"/>
        <v>M0</v>
      </c>
      <c r="KW19" s="6" t="str">
        <f t="shared" si="1054"/>
        <v>M0</v>
      </c>
      <c r="KX19" s="6" t="str">
        <f t="shared" si="1054"/>
        <v/>
      </c>
      <c r="KY19" s="6" t="str">
        <f t="shared" si="1054"/>
        <v/>
      </c>
      <c r="KZ19" s="6" t="str">
        <f t="shared" si="1054"/>
        <v/>
      </c>
      <c r="LA19" s="6" t="str">
        <f t="shared" si="1054"/>
        <v/>
      </c>
      <c r="LB19" s="6" t="str">
        <f t="shared" si="1054"/>
        <v>M0</v>
      </c>
      <c r="LC19" s="6" t="str">
        <f t="shared" si="1054"/>
        <v>M0</v>
      </c>
      <c r="LD19" s="6" t="str">
        <f t="shared" si="1054"/>
        <v>M0</v>
      </c>
      <c r="LE19" s="6" t="str">
        <f t="shared" si="1054"/>
        <v>M0</v>
      </c>
      <c r="LF19" s="6" t="str">
        <f t="shared" si="1054"/>
        <v>M0</v>
      </c>
      <c r="LG19" s="6" t="str">
        <f t="shared" si="1054"/>
        <v>M0</v>
      </c>
      <c r="LH19" s="6" t="str">
        <f t="shared" si="1054"/>
        <v>M0</v>
      </c>
      <c r="LI19" s="6" t="str">
        <f t="shared" si="1054"/>
        <v>M0</v>
      </c>
      <c r="LJ19" s="6" t="str">
        <f t="shared" si="1054"/>
        <v>M0</v>
      </c>
      <c r="LK19" s="6" t="str">
        <f t="shared" si="1054"/>
        <v>M0</v>
      </c>
      <c r="LL19" s="6" t="str">
        <f t="shared" si="1054"/>
        <v>M0</v>
      </c>
      <c r="LM19" s="6" t="str">
        <f t="shared" ref="LM19:NX19" si="1055">IF(LM$20="M1","", "M0")</f>
        <v>M0</v>
      </c>
      <c r="LN19" s="6" t="str">
        <f t="shared" si="1055"/>
        <v>M0</v>
      </c>
      <c r="LO19" s="6" t="str">
        <f t="shared" si="1055"/>
        <v>M0</v>
      </c>
      <c r="LP19" s="6" t="str">
        <f t="shared" si="1055"/>
        <v>M0</v>
      </c>
      <c r="LQ19" s="6" t="str">
        <f t="shared" si="1055"/>
        <v>M0</v>
      </c>
      <c r="LR19" s="6" t="str">
        <f t="shared" si="1055"/>
        <v>M0</v>
      </c>
      <c r="LS19" s="6" t="str">
        <f t="shared" si="1055"/>
        <v>M0</v>
      </c>
      <c r="LT19" s="6" t="str">
        <f t="shared" si="1055"/>
        <v>M0</v>
      </c>
      <c r="LU19" s="6" t="str">
        <f t="shared" si="1055"/>
        <v>M0</v>
      </c>
      <c r="LV19" s="6" t="str">
        <f t="shared" si="1055"/>
        <v>M0</v>
      </c>
      <c r="LW19" s="6" t="str">
        <f t="shared" si="1055"/>
        <v>M0</v>
      </c>
      <c r="LX19" s="6" t="str">
        <f t="shared" si="1055"/>
        <v>M0</v>
      </c>
      <c r="LY19" s="6" t="str">
        <f t="shared" si="1055"/>
        <v>M0</v>
      </c>
      <c r="LZ19" s="6" t="str">
        <f t="shared" si="1055"/>
        <v>M0</v>
      </c>
      <c r="MA19" s="6" t="str">
        <f t="shared" si="1055"/>
        <v>M0</v>
      </c>
      <c r="MB19" s="6" t="str">
        <f t="shared" si="1055"/>
        <v>M0</v>
      </c>
      <c r="MC19" s="6" t="str">
        <f t="shared" si="1055"/>
        <v>M0</v>
      </c>
      <c r="MD19" s="6" t="str">
        <f t="shared" si="1055"/>
        <v>M0</v>
      </c>
      <c r="ME19" s="6" t="str">
        <f t="shared" si="1055"/>
        <v>M0</v>
      </c>
      <c r="MF19" s="6" t="str">
        <f t="shared" si="1055"/>
        <v>M0</v>
      </c>
      <c r="MG19" s="6" t="str">
        <f t="shared" si="1055"/>
        <v>M0</v>
      </c>
      <c r="MH19" s="6" t="str">
        <f t="shared" si="1055"/>
        <v>M0</v>
      </c>
      <c r="MI19" s="6" t="str">
        <f t="shared" si="1055"/>
        <v>M0</v>
      </c>
      <c r="MJ19" s="6" t="str">
        <f t="shared" si="1055"/>
        <v>M0</v>
      </c>
      <c r="MK19" s="6" t="str">
        <f t="shared" si="1055"/>
        <v>M0</v>
      </c>
      <c r="ML19" s="6" t="str">
        <f t="shared" si="1055"/>
        <v>M0</v>
      </c>
      <c r="MM19" s="6" t="str">
        <f t="shared" si="1055"/>
        <v>M0</v>
      </c>
      <c r="MN19" s="6" t="str">
        <f t="shared" si="1055"/>
        <v>M0</v>
      </c>
      <c r="MO19" s="6" t="str">
        <f t="shared" si="1055"/>
        <v>M0</v>
      </c>
      <c r="MP19" s="6" t="str">
        <f t="shared" si="1055"/>
        <v>M0</v>
      </c>
      <c r="MQ19" s="6" t="str">
        <f t="shared" si="1055"/>
        <v>M0</v>
      </c>
      <c r="MR19" s="6" t="str">
        <f t="shared" si="1055"/>
        <v>M0</v>
      </c>
      <c r="MS19" s="6" t="str">
        <f t="shared" si="1055"/>
        <v>M0</v>
      </c>
      <c r="MT19" s="6" t="str">
        <f t="shared" si="1055"/>
        <v>M0</v>
      </c>
      <c r="MU19" s="6" t="str">
        <f t="shared" si="1055"/>
        <v>M0</v>
      </c>
      <c r="MV19" s="6" t="str">
        <f t="shared" si="1055"/>
        <v>M0</v>
      </c>
      <c r="MW19" s="6" t="str">
        <f t="shared" si="1055"/>
        <v>M0</v>
      </c>
      <c r="MX19" s="6" t="str">
        <f t="shared" si="1055"/>
        <v>M0</v>
      </c>
      <c r="MY19" s="6" t="str">
        <f t="shared" si="1055"/>
        <v>M0</v>
      </c>
      <c r="MZ19" s="6" t="str">
        <f t="shared" si="1055"/>
        <v>M0</v>
      </c>
      <c r="NA19" s="6" t="str">
        <f t="shared" si="1055"/>
        <v>M0</v>
      </c>
      <c r="NB19" s="6" t="str">
        <f t="shared" si="1055"/>
        <v>M0</v>
      </c>
      <c r="NC19" s="6" t="str">
        <f t="shared" si="1055"/>
        <v>M0</v>
      </c>
      <c r="ND19" s="6" t="str">
        <f t="shared" si="1055"/>
        <v>M0</v>
      </c>
      <c r="NE19" s="6" t="str">
        <f t="shared" si="1055"/>
        <v>M0</v>
      </c>
      <c r="NF19" s="6" t="str">
        <f t="shared" si="1055"/>
        <v>M0</v>
      </c>
      <c r="NG19" s="6" t="str">
        <f t="shared" si="1055"/>
        <v>M0</v>
      </c>
      <c r="NH19" s="6" t="str">
        <f t="shared" si="1055"/>
        <v>M0</v>
      </c>
      <c r="NI19" s="6" t="str">
        <f t="shared" si="1055"/>
        <v>M0</v>
      </c>
      <c r="NJ19" s="6" t="str">
        <f t="shared" si="1055"/>
        <v>M0</v>
      </c>
      <c r="NK19" s="6" t="str">
        <f t="shared" si="1055"/>
        <v>M0</v>
      </c>
      <c r="NL19" s="6" t="str">
        <f t="shared" si="1055"/>
        <v>M0</v>
      </c>
      <c r="NM19" s="6" t="str">
        <f t="shared" si="1055"/>
        <v>M0</v>
      </c>
      <c r="NN19" s="6" t="str">
        <f t="shared" si="1055"/>
        <v>M0</v>
      </c>
      <c r="NO19" s="6" t="str">
        <f t="shared" si="1055"/>
        <v>M0</v>
      </c>
      <c r="NP19" s="6" t="str">
        <f t="shared" si="1055"/>
        <v>M0</v>
      </c>
      <c r="NQ19" s="6" t="str">
        <f t="shared" si="1055"/>
        <v>M0</v>
      </c>
      <c r="NR19" s="6" t="str">
        <f t="shared" si="1055"/>
        <v/>
      </c>
      <c r="NS19" s="6" t="str">
        <f t="shared" si="1055"/>
        <v/>
      </c>
      <c r="NT19" s="6" t="str">
        <f t="shared" si="1055"/>
        <v/>
      </c>
      <c r="NU19" s="6" t="str">
        <f t="shared" si="1055"/>
        <v/>
      </c>
      <c r="NV19" s="6" t="str">
        <f t="shared" si="1055"/>
        <v>M0</v>
      </c>
      <c r="NW19" s="6" t="str">
        <f t="shared" si="1055"/>
        <v>M0</v>
      </c>
      <c r="NX19" s="6" t="str">
        <f t="shared" si="1055"/>
        <v>M0</v>
      </c>
      <c r="NY19" s="6" t="str">
        <f t="shared" ref="NY19:QJ19" si="1056">IF(NY$20="M1","", "M0")</f>
        <v>M0</v>
      </c>
      <c r="NZ19" s="6" t="str">
        <f t="shared" si="1056"/>
        <v>M0</v>
      </c>
      <c r="OA19" s="6" t="str">
        <f t="shared" si="1056"/>
        <v>M0</v>
      </c>
      <c r="OB19" s="6" t="str">
        <f t="shared" si="1056"/>
        <v>M0</v>
      </c>
      <c r="OC19" s="6" t="str">
        <f t="shared" si="1056"/>
        <v>M0</v>
      </c>
      <c r="OD19" s="6" t="str">
        <f t="shared" si="1056"/>
        <v>M0</v>
      </c>
      <c r="OE19" s="6" t="str">
        <f t="shared" si="1056"/>
        <v>M0</v>
      </c>
      <c r="OF19" s="6" t="str">
        <f t="shared" si="1056"/>
        <v>M0</v>
      </c>
      <c r="OG19" s="6" t="str">
        <f t="shared" si="1056"/>
        <v>M0</v>
      </c>
      <c r="OH19" s="6" t="str">
        <f t="shared" si="1056"/>
        <v>M0</v>
      </c>
      <c r="OI19" s="6" t="str">
        <f t="shared" si="1056"/>
        <v>M0</v>
      </c>
      <c r="OJ19" s="6" t="str">
        <f t="shared" si="1056"/>
        <v>M0</v>
      </c>
      <c r="OK19" s="6" t="str">
        <f t="shared" si="1056"/>
        <v>M0</v>
      </c>
      <c r="OL19" s="6" t="str">
        <f t="shared" si="1056"/>
        <v>M0</v>
      </c>
      <c r="OM19" s="6" t="str">
        <f t="shared" si="1056"/>
        <v>M0</v>
      </c>
      <c r="ON19" s="6" t="str">
        <f t="shared" si="1056"/>
        <v>M0</v>
      </c>
      <c r="OO19" s="6" t="str">
        <f t="shared" si="1056"/>
        <v>M0</v>
      </c>
      <c r="OP19" s="6" t="str">
        <f t="shared" si="1056"/>
        <v>M0</v>
      </c>
      <c r="OQ19" s="6" t="str">
        <f t="shared" si="1056"/>
        <v>M0</v>
      </c>
      <c r="OR19" s="6" t="str">
        <f t="shared" si="1056"/>
        <v>M0</v>
      </c>
      <c r="OS19" s="6" t="str">
        <f t="shared" si="1056"/>
        <v>M0</v>
      </c>
      <c r="OT19" s="6" t="str">
        <f t="shared" si="1056"/>
        <v>M0</v>
      </c>
      <c r="OU19" s="6" t="str">
        <f t="shared" si="1056"/>
        <v>M0</v>
      </c>
      <c r="OV19" s="6" t="str">
        <f t="shared" si="1056"/>
        <v>M0</v>
      </c>
      <c r="OW19" s="6" t="str">
        <f t="shared" si="1056"/>
        <v>M0</v>
      </c>
      <c r="OX19" s="6" t="str">
        <f t="shared" si="1056"/>
        <v>M0</v>
      </c>
      <c r="OY19" s="6" t="str">
        <f t="shared" si="1056"/>
        <v>M0</v>
      </c>
      <c r="OZ19" s="6" t="str">
        <f t="shared" si="1056"/>
        <v>M0</v>
      </c>
      <c r="PA19" s="6" t="str">
        <f t="shared" si="1056"/>
        <v>M0</v>
      </c>
      <c r="PB19" s="6" t="str">
        <f t="shared" si="1056"/>
        <v>M0</v>
      </c>
      <c r="PC19" s="6" t="str">
        <f t="shared" si="1056"/>
        <v>M0</v>
      </c>
      <c r="PD19" s="6" t="str">
        <f t="shared" si="1056"/>
        <v>M0</v>
      </c>
      <c r="PE19" s="6" t="str">
        <f t="shared" si="1056"/>
        <v>M0</v>
      </c>
      <c r="PF19" s="6" t="str">
        <f t="shared" si="1056"/>
        <v>M0</v>
      </c>
      <c r="PG19" s="6" t="str">
        <f t="shared" si="1056"/>
        <v>M0</v>
      </c>
      <c r="PH19" s="6" t="str">
        <f t="shared" si="1056"/>
        <v>M0</v>
      </c>
      <c r="PI19" s="6" t="str">
        <f t="shared" si="1056"/>
        <v>M0</v>
      </c>
      <c r="PJ19" s="6" t="str">
        <f t="shared" si="1056"/>
        <v>M0</v>
      </c>
      <c r="PK19" s="6" t="str">
        <f t="shared" si="1056"/>
        <v>M0</v>
      </c>
      <c r="PL19" s="6" t="str">
        <f t="shared" si="1056"/>
        <v>M0</v>
      </c>
      <c r="PM19" s="6" t="str">
        <f t="shared" si="1056"/>
        <v>M0</v>
      </c>
      <c r="PN19" s="6" t="str">
        <f t="shared" si="1056"/>
        <v>M0</v>
      </c>
      <c r="PO19" s="6" t="str">
        <f t="shared" si="1056"/>
        <v>M0</v>
      </c>
      <c r="PP19" s="6" t="str">
        <f t="shared" si="1056"/>
        <v>M0</v>
      </c>
      <c r="PQ19" s="6" t="str">
        <f t="shared" si="1056"/>
        <v>M0</v>
      </c>
      <c r="PR19" s="6" t="str">
        <f t="shared" si="1056"/>
        <v>M0</v>
      </c>
      <c r="PS19" s="6" t="str">
        <f t="shared" si="1056"/>
        <v>M0</v>
      </c>
      <c r="PT19" s="6" t="str">
        <f t="shared" si="1056"/>
        <v>M0</v>
      </c>
      <c r="PU19" s="6" t="str">
        <f t="shared" si="1056"/>
        <v>M0</v>
      </c>
      <c r="PV19" s="6" t="str">
        <f t="shared" si="1056"/>
        <v>M0</v>
      </c>
      <c r="PW19" s="6" t="str">
        <f t="shared" si="1056"/>
        <v>M0</v>
      </c>
      <c r="PX19" s="6" t="str">
        <f t="shared" si="1056"/>
        <v>M0</v>
      </c>
      <c r="PY19" s="6" t="str">
        <f t="shared" si="1056"/>
        <v>M0</v>
      </c>
      <c r="PZ19" s="6" t="str">
        <f t="shared" si="1056"/>
        <v>M0</v>
      </c>
      <c r="QA19" s="6" t="str">
        <f t="shared" si="1056"/>
        <v>M0</v>
      </c>
      <c r="QB19" s="6" t="str">
        <f t="shared" si="1056"/>
        <v>M0</v>
      </c>
      <c r="QC19" s="6" t="str">
        <f t="shared" si="1056"/>
        <v>M0</v>
      </c>
      <c r="QD19" s="6" t="str">
        <f t="shared" si="1056"/>
        <v>M0</v>
      </c>
      <c r="QE19" s="6" t="str">
        <f t="shared" si="1056"/>
        <v>M0</v>
      </c>
      <c r="QF19" s="6" t="str">
        <f t="shared" si="1056"/>
        <v>M0</v>
      </c>
      <c r="QG19" s="6" t="str">
        <f t="shared" si="1056"/>
        <v>M0</v>
      </c>
      <c r="QH19" s="6" t="str">
        <f t="shared" si="1056"/>
        <v>M0</v>
      </c>
      <c r="QI19" s="6" t="str">
        <f t="shared" si="1056"/>
        <v>M0</v>
      </c>
      <c r="QJ19" s="6" t="str">
        <f t="shared" si="1056"/>
        <v>M0</v>
      </c>
      <c r="QK19" s="6" t="str">
        <f t="shared" ref="QK19:SV19" si="1057">IF(QK$20="M1","", "M0")</f>
        <v>M0</v>
      </c>
      <c r="QL19" s="6" t="str">
        <f t="shared" si="1057"/>
        <v/>
      </c>
      <c r="QM19" s="6" t="str">
        <f t="shared" si="1057"/>
        <v/>
      </c>
      <c r="QN19" s="6" t="str">
        <f t="shared" si="1057"/>
        <v/>
      </c>
      <c r="QO19" s="6" t="str">
        <f t="shared" si="1057"/>
        <v/>
      </c>
      <c r="QP19" s="6" t="str">
        <f t="shared" si="1057"/>
        <v>M0</v>
      </c>
      <c r="QQ19" s="6" t="str">
        <f t="shared" si="1057"/>
        <v>M0</v>
      </c>
      <c r="QR19" s="6" t="str">
        <f t="shared" si="1057"/>
        <v>M0</v>
      </c>
      <c r="QS19" s="6" t="str">
        <f t="shared" si="1057"/>
        <v>M0</v>
      </c>
      <c r="QT19" s="6" t="str">
        <f t="shared" si="1057"/>
        <v>M0</v>
      </c>
      <c r="QU19" s="6" t="str">
        <f t="shared" si="1057"/>
        <v>M0</v>
      </c>
      <c r="QV19" s="6" t="str">
        <f t="shared" si="1057"/>
        <v>M0</v>
      </c>
      <c r="QW19" s="6" t="str">
        <f t="shared" si="1057"/>
        <v>M0</v>
      </c>
      <c r="QX19" s="6" t="str">
        <f t="shared" si="1057"/>
        <v>M0</v>
      </c>
      <c r="QY19" s="6" t="str">
        <f t="shared" si="1057"/>
        <v>M0</v>
      </c>
      <c r="QZ19" s="6" t="str">
        <f t="shared" si="1057"/>
        <v>M0</v>
      </c>
      <c r="RA19" s="6" t="str">
        <f t="shared" si="1057"/>
        <v>M0</v>
      </c>
      <c r="RB19" s="6" t="str">
        <f t="shared" si="1057"/>
        <v>M0</v>
      </c>
      <c r="RC19" s="6" t="str">
        <f t="shared" si="1057"/>
        <v>M0</v>
      </c>
      <c r="RD19" s="6" t="str">
        <f t="shared" si="1057"/>
        <v>M0</v>
      </c>
      <c r="RE19" s="6" t="str">
        <f t="shared" si="1057"/>
        <v>M0</v>
      </c>
      <c r="RF19" s="6" t="str">
        <f t="shared" si="1057"/>
        <v>M0</v>
      </c>
      <c r="RG19" s="6" t="str">
        <f t="shared" si="1057"/>
        <v>M0</v>
      </c>
      <c r="RH19" s="6" t="str">
        <f t="shared" si="1057"/>
        <v>M0</v>
      </c>
      <c r="RI19" s="6" t="str">
        <f t="shared" si="1057"/>
        <v>M0</v>
      </c>
      <c r="RJ19" s="6" t="str">
        <f t="shared" si="1057"/>
        <v>M0</v>
      </c>
      <c r="RK19" s="6" t="str">
        <f t="shared" si="1057"/>
        <v>M0</v>
      </c>
      <c r="RL19" s="6" t="str">
        <f t="shared" si="1057"/>
        <v>M0</v>
      </c>
      <c r="RM19" s="6" t="str">
        <f t="shared" si="1057"/>
        <v>M0</v>
      </c>
      <c r="RN19" s="6" t="str">
        <f t="shared" si="1057"/>
        <v>M0</v>
      </c>
      <c r="RO19" s="6" t="str">
        <f t="shared" si="1057"/>
        <v>M0</v>
      </c>
      <c r="RP19" s="6" t="str">
        <f t="shared" si="1057"/>
        <v>M0</v>
      </c>
      <c r="RQ19" s="6" t="str">
        <f t="shared" si="1057"/>
        <v>M0</v>
      </c>
      <c r="RR19" s="6" t="str">
        <f t="shared" si="1057"/>
        <v>M0</v>
      </c>
      <c r="RS19" s="6" t="str">
        <f t="shared" si="1057"/>
        <v>M0</v>
      </c>
      <c r="RT19" s="6" t="str">
        <f t="shared" si="1057"/>
        <v>M0</v>
      </c>
      <c r="RU19" s="6" t="str">
        <f t="shared" si="1057"/>
        <v>M0</v>
      </c>
      <c r="RV19" s="6" t="str">
        <f t="shared" si="1057"/>
        <v>M0</v>
      </c>
      <c r="RW19" s="6" t="str">
        <f t="shared" si="1057"/>
        <v>M0</v>
      </c>
      <c r="RX19" s="6" t="str">
        <f t="shared" si="1057"/>
        <v>M0</v>
      </c>
      <c r="RY19" s="6" t="str">
        <f t="shared" si="1057"/>
        <v>M0</v>
      </c>
      <c r="RZ19" s="6" t="str">
        <f t="shared" si="1057"/>
        <v>M0</v>
      </c>
      <c r="SA19" s="6" t="str">
        <f t="shared" si="1057"/>
        <v>M0</v>
      </c>
      <c r="SB19" s="6" t="str">
        <f t="shared" si="1057"/>
        <v>M0</v>
      </c>
      <c r="SC19" s="6" t="str">
        <f t="shared" si="1057"/>
        <v>M0</v>
      </c>
      <c r="SD19" s="6" t="str">
        <f t="shared" si="1057"/>
        <v>M0</v>
      </c>
      <c r="SE19" s="6" t="str">
        <f t="shared" si="1057"/>
        <v>M0</v>
      </c>
      <c r="SF19" s="6" t="str">
        <f t="shared" si="1057"/>
        <v>M0</v>
      </c>
      <c r="SG19" s="6" t="str">
        <f t="shared" si="1057"/>
        <v>M0</v>
      </c>
      <c r="SH19" s="6" t="str">
        <f t="shared" si="1057"/>
        <v>M0</v>
      </c>
      <c r="SI19" s="6" t="str">
        <f t="shared" si="1057"/>
        <v>M0</v>
      </c>
      <c r="SJ19" s="6" t="str">
        <f t="shared" si="1057"/>
        <v>M0</v>
      </c>
      <c r="SK19" s="6" t="str">
        <f t="shared" si="1057"/>
        <v>M0</v>
      </c>
      <c r="SL19" s="6" t="str">
        <f t="shared" si="1057"/>
        <v>M0</v>
      </c>
      <c r="SM19" s="6" t="str">
        <f t="shared" si="1057"/>
        <v>M0</v>
      </c>
      <c r="SN19" s="6" t="str">
        <f t="shared" si="1057"/>
        <v>M0</v>
      </c>
      <c r="SO19" s="6" t="str">
        <f t="shared" si="1057"/>
        <v>M0</v>
      </c>
      <c r="SP19" s="6" t="str">
        <f t="shared" si="1057"/>
        <v>M0</v>
      </c>
      <c r="SQ19" s="6" t="str">
        <f t="shared" si="1057"/>
        <v>M0</v>
      </c>
      <c r="SR19" s="6" t="str">
        <f t="shared" si="1057"/>
        <v>M0</v>
      </c>
      <c r="SS19" s="6" t="str">
        <f t="shared" si="1057"/>
        <v>M0</v>
      </c>
      <c r="ST19" s="6" t="str">
        <f t="shared" si="1057"/>
        <v>M0</v>
      </c>
      <c r="SU19" s="6" t="str">
        <f t="shared" si="1057"/>
        <v>M0</v>
      </c>
      <c r="SV19" s="6" t="str">
        <f t="shared" si="1057"/>
        <v>M0</v>
      </c>
      <c r="SW19" s="6" t="str">
        <f t="shared" ref="SW19:VH19" si="1058">IF(SW$20="M1","", "M0")</f>
        <v>M0</v>
      </c>
      <c r="SX19" s="6" t="str">
        <f t="shared" si="1058"/>
        <v>M0</v>
      </c>
      <c r="SY19" s="6" t="str">
        <f t="shared" si="1058"/>
        <v>M0</v>
      </c>
      <c r="SZ19" s="6" t="str">
        <f t="shared" si="1058"/>
        <v>M0</v>
      </c>
      <c r="TA19" s="6" t="str">
        <f t="shared" si="1058"/>
        <v>M0</v>
      </c>
      <c r="TB19" s="6" t="str">
        <f t="shared" si="1058"/>
        <v>M0</v>
      </c>
      <c r="TC19" s="6" t="str">
        <f t="shared" si="1058"/>
        <v>M0</v>
      </c>
      <c r="TD19" s="6" t="str">
        <f t="shared" si="1058"/>
        <v>M0</v>
      </c>
      <c r="TE19" s="6" t="str">
        <f t="shared" si="1058"/>
        <v>M0</v>
      </c>
      <c r="TF19" s="6" t="str">
        <f t="shared" si="1058"/>
        <v/>
      </c>
      <c r="TG19" s="6" t="str">
        <f t="shared" si="1058"/>
        <v/>
      </c>
      <c r="TH19" s="6" t="str">
        <f t="shared" si="1058"/>
        <v/>
      </c>
      <c r="TI19" s="6" t="str">
        <f t="shared" si="1058"/>
        <v/>
      </c>
      <c r="TJ19" s="6" t="str">
        <f t="shared" si="1058"/>
        <v>M0</v>
      </c>
      <c r="TK19" s="6" t="str">
        <f t="shared" si="1058"/>
        <v>M0</v>
      </c>
      <c r="TL19" s="6" t="str">
        <f t="shared" si="1058"/>
        <v>M0</v>
      </c>
      <c r="TM19" s="6" t="str">
        <f t="shared" si="1058"/>
        <v>M0</v>
      </c>
      <c r="TN19" s="6" t="str">
        <f t="shared" si="1058"/>
        <v>M0</v>
      </c>
      <c r="TO19" s="6" t="str">
        <f t="shared" si="1058"/>
        <v>M0</v>
      </c>
      <c r="TP19" s="6" t="str">
        <f t="shared" si="1058"/>
        <v>M0</v>
      </c>
      <c r="TQ19" s="6" t="str">
        <f t="shared" si="1058"/>
        <v>M0</v>
      </c>
      <c r="TR19" s="6" t="str">
        <f t="shared" si="1058"/>
        <v>M0</v>
      </c>
      <c r="TS19" s="6" t="str">
        <f t="shared" si="1058"/>
        <v>M0</v>
      </c>
      <c r="TT19" s="6" t="str">
        <f t="shared" si="1058"/>
        <v>M0</v>
      </c>
      <c r="TU19" s="6" t="str">
        <f t="shared" si="1058"/>
        <v>M0</v>
      </c>
      <c r="TV19" s="6" t="str">
        <f t="shared" si="1058"/>
        <v>M0</v>
      </c>
      <c r="TW19" s="6" t="str">
        <f t="shared" si="1058"/>
        <v>M0</v>
      </c>
      <c r="TX19" s="6" t="str">
        <f t="shared" si="1058"/>
        <v>M0</v>
      </c>
      <c r="TY19" s="6" t="str">
        <f t="shared" si="1058"/>
        <v>M0</v>
      </c>
      <c r="TZ19" s="6" t="str">
        <f t="shared" si="1058"/>
        <v>M0</v>
      </c>
      <c r="UA19" s="6" t="str">
        <f t="shared" si="1058"/>
        <v>M0</v>
      </c>
      <c r="UB19" s="6" t="str">
        <f t="shared" si="1058"/>
        <v>M0</v>
      </c>
      <c r="UC19" s="6" t="str">
        <f t="shared" si="1058"/>
        <v>M0</v>
      </c>
      <c r="UD19" s="6" t="str">
        <f t="shared" si="1058"/>
        <v>M0</v>
      </c>
      <c r="UE19" s="6" t="str">
        <f t="shared" si="1058"/>
        <v>M0</v>
      </c>
      <c r="UF19" s="6" t="str">
        <f t="shared" si="1058"/>
        <v>M0</v>
      </c>
      <c r="UG19" s="6" t="str">
        <f t="shared" si="1058"/>
        <v>M0</v>
      </c>
      <c r="UH19" s="6" t="str">
        <f t="shared" si="1058"/>
        <v>M0</v>
      </c>
      <c r="UI19" s="6" t="str">
        <f t="shared" si="1058"/>
        <v>M0</v>
      </c>
      <c r="UJ19" s="6" t="str">
        <f t="shared" si="1058"/>
        <v>M0</v>
      </c>
      <c r="UK19" s="6" t="str">
        <f t="shared" si="1058"/>
        <v>M0</v>
      </c>
      <c r="UL19" s="6" t="str">
        <f t="shared" si="1058"/>
        <v>M0</v>
      </c>
      <c r="UM19" s="6" t="str">
        <f t="shared" si="1058"/>
        <v>M0</v>
      </c>
      <c r="UN19" s="6" t="str">
        <f t="shared" si="1058"/>
        <v>M0</v>
      </c>
      <c r="UO19" s="6" t="str">
        <f t="shared" si="1058"/>
        <v>M0</v>
      </c>
      <c r="UP19" s="6" t="str">
        <f t="shared" si="1058"/>
        <v>M0</v>
      </c>
      <c r="UQ19" s="6" t="str">
        <f t="shared" si="1058"/>
        <v>M0</v>
      </c>
      <c r="UR19" s="6" t="str">
        <f t="shared" si="1058"/>
        <v>M0</v>
      </c>
      <c r="US19" s="6" t="str">
        <f t="shared" si="1058"/>
        <v>M0</v>
      </c>
      <c r="UT19" s="6" t="str">
        <f t="shared" si="1058"/>
        <v>M0</v>
      </c>
      <c r="UU19" s="6" t="str">
        <f t="shared" si="1058"/>
        <v>M0</v>
      </c>
      <c r="UV19" s="6" t="str">
        <f t="shared" si="1058"/>
        <v>M0</v>
      </c>
      <c r="UW19" s="6" t="str">
        <f t="shared" si="1058"/>
        <v>M0</v>
      </c>
      <c r="UX19" s="6" t="str">
        <f t="shared" si="1058"/>
        <v>M0</v>
      </c>
      <c r="UY19" s="6" t="str">
        <f t="shared" si="1058"/>
        <v>M0</v>
      </c>
      <c r="UZ19" s="6" t="str">
        <f t="shared" si="1058"/>
        <v>M0</v>
      </c>
      <c r="VA19" s="6" t="str">
        <f t="shared" si="1058"/>
        <v>M0</v>
      </c>
      <c r="VB19" s="6" t="str">
        <f t="shared" si="1058"/>
        <v>M0</v>
      </c>
      <c r="VC19" s="6" t="str">
        <f t="shared" si="1058"/>
        <v>M0</v>
      </c>
      <c r="VD19" s="6" t="str">
        <f t="shared" si="1058"/>
        <v>M0</v>
      </c>
      <c r="VE19" s="6" t="str">
        <f t="shared" si="1058"/>
        <v>M0</v>
      </c>
      <c r="VF19" s="6" t="str">
        <f t="shared" si="1058"/>
        <v>M0</v>
      </c>
      <c r="VG19" s="6" t="str">
        <f t="shared" si="1058"/>
        <v>M0</v>
      </c>
      <c r="VH19" s="6" t="str">
        <f t="shared" si="1058"/>
        <v>M0</v>
      </c>
      <c r="VI19" s="6" t="str">
        <f t="shared" ref="VI19:XT19" si="1059">IF(VI$20="M1","", "M0")</f>
        <v>M0</v>
      </c>
      <c r="VJ19" s="6" t="str">
        <f t="shared" si="1059"/>
        <v>M0</v>
      </c>
      <c r="VK19" s="6" t="str">
        <f t="shared" si="1059"/>
        <v>M0</v>
      </c>
      <c r="VL19" s="6" t="str">
        <f t="shared" si="1059"/>
        <v>M0</v>
      </c>
      <c r="VM19" s="6" t="str">
        <f t="shared" si="1059"/>
        <v>M0</v>
      </c>
      <c r="VN19" s="6" t="str">
        <f t="shared" si="1059"/>
        <v>M0</v>
      </c>
      <c r="VO19" s="6" t="str">
        <f t="shared" si="1059"/>
        <v>M0</v>
      </c>
      <c r="VP19" s="6" t="str">
        <f t="shared" si="1059"/>
        <v>M0</v>
      </c>
      <c r="VQ19" s="6" t="str">
        <f t="shared" si="1059"/>
        <v>M0</v>
      </c>
      <c r="VR19" s="6" t="str">
        <f t="shared" si="1059"/>
        <v>M0</v>
      </c>
      <c r="VS19" s="6" t="str">
        <f t="shared" si="1059"/>
        <v>M0</v>
      </c>
      <c r="VT19" s="6" t="str">
        <f t="shared" si="1059"/>
        <v>M0</v>
      </c>
      <c r="VU19" s="6" t="str">
        <f t="shared" si="1059"/>
        <v>M0</v>
      </c>
      <c r="VV19" s="6" t="str">
        <f t="shared" si="1059"/>
        <v>M0</v>
      </c>
      <c r="VW19" s="6" t="str">
        <f t="shared" si="1059"/>
        <v>M0</v>
      </c>
      <c r="VX19" s="6" t="str">
        <f t="shared" si="1059"/>
        <v>M0</v>
      </c>
      <c r="VY19" s="6" t="str">
        <f t="shared" si="1059"/>
        <v>M0</v>
      </c>
      <c r="VZ19" s="6" t="str">
        <f t="shared" si="1059"/>
        <v/>
      </c>
      <c r="WA19" s="6" t="str">
        <f t="shared" si="1059"/>
        <v/>
      </c>
      <c r="WB19" s="6" t="str">
        <f t="shared" si="1059"/>
        <v/>
      </c>
      <c r="WC19" s="6" t="str">
        <f t="shared" si="1059"/>
        <v/>
      </c>
      <c r="WD19" s="6" t="str">
        <f t="shared" si="1059"/>
        <v>M0</v>
      </c>
      <c r="WE19" s="6" t="str">
        <f t="shared" si="1059"/>
        <v>M0</v>
      </c>
      <c r="WF19" s="6" t="str">
        <f t="shared" si="1059"/>
        <v>M0</v>
      </c>
      <c r="WG19" s="6" t="str">
        <f t="shared" si="1059"/>
        <v>M0</v>
      </c>
      <c r="WH19" s="6" t="str">
        <f t="shared" si="1059"/>
        <v>M0</v>
      </c>
      <c r="WI19" s="6" t="str">
        <f t="shared" si="1059"/>
        <v>M0</v>
      </c>
      <c r="WJ19" s="6" t="str">
        <f t="shared" si="1059"/>
        <v>M0</v>
      </c>
      <c r="WK19" s="6" t="str">
        <f t="shared" si="1059"/>
        <v>M0</v>
      </c>
      <c r="WL19" s="6" t="str">
        <f t="shared" si="1059"/>
        <v>M0</v>
      </c>
      <c r="WM19" s="6" t="str">
        <f t="shared" si="1059"/>
        <v>M0</v>
      </c>
      <c r="WN19" s="6" t="str">
        <f t="shared" si="1059"/>
        <v>M0</v>
      </c>
      <c r="WO19" s="6" t="str">
        <f t="shared" si="1059"/>
        <v>M0</v>
      </c>
      <c r="WP19" s="6" t="str">
        <f t="shared" si="1059"/>
        <v>M0</v>
      </c>
      <c r="WQ19" s="6" t="str">
        <f t="shared" si="1059"/>
        <v>M0</v>
      </c>
      <c r="WR19" s="6" t="str">
        <f t="shared" si="1059"/>
        <v>M0</v>
      </c>
      <c r="WS19" s="6" t="str">
        <f t="shared" si="1059"/>
        <v>M0</v>
      </c>
      <c r="WT19" s="6" t="str">
        <f t="shared" si="1059"/>
        <v>M0</v>
      </c>
      <c r="WU19" s="6" t="str">
        <f t="shared" si="1059"/>
        <v>M0</v>
      </c>
      <c r="WV19" s="6" t="str">
        <f t="shared" si="1059"/>
        <v>M0</v>
      </c>
      <c r="WW19" s="6" t="str">
        <f t="shared" si="1059"/>
        <v>M0</v>
      </c>
      <c r="WX19" s="6" t="str">
        <f t="shared" si="1059"/>
        <v>M0</v>
      </c>
      <c r="WY19" s="6" t="str">
        <f t="shared" si="1059"/>
        <v>M0</v>
      </c>
      <c r="WZ19" s="6" t="str">
        <f t="shared" si="1059"/>
        <v>M0</v>
      </c>
      <c r="XA19" s="6" t="str">
        <f t="shared" si="1059"/>
        <v>M0</v>
      </c>
      <c r="XB19" s="6" t="str">
        <f t="shared" si="1059"/>
        <v>M0</v>
      </c>
      <c r="XC19" s="6" t="str">
        <f t="shared" si="1059"/>
        <v>M0</v>
      </c>
      <c r="XD19" s="6" t="str">
        <f t="shared" si="1059"/>
        <v>M0</v>
      </c>
      <c r="XE19" s="6" t="str">
        <f t="shared" si="1059"/>
        <v>M0</v>
      </c>
      <c r="XF19" s="6" t="str">
        <f t="shared" si="1059"/>
        <v>M0</v>
      </c>
      <c r="XG19" s="6" t="str">
        <f t="shared" si="1059"/>
        <v>M0</v>
      </c>
      <c r="XH19" s="6" t="str">
        <f t="shared" si="1059"/>
        <v>M0</v>
      </c>
      <c r="XI19" s="6" t="str">
        <f t="shared" si="1059"/>
        <v>M0</v>
      </c>
      <c r="XJ19" s="6" t="str">
        <f t="shared" si="1059"/>
        <v>M0</v>
      </c>
      <c r="XK19" s="6" t="str">
        <f t="shared" si="1059"/>
        <v>M0</v>
      </c>
      <c r="XL19" s="6" t="str">
        <f t="shared" si="1059"/>
        <v>M0</v>
      </c>
      <c r="XM19" s="6" t="str">
        <f t="shared" si="1059"/>
        <v>M0</v>
      </c>
      <c r="XN19" s="6" t="str">
        <f t="shared" si="1059"/>
        <v>M0</v>
      </c>
      <c r="XO19" s="6" t="str">
        <f t="shared" si="1059"/>
        <v>M0</v>
      </c>
      <c r="XP19" s="6" t="str">
        <f t="shared" si="1059"/>
        <v>M0</v>
      </c>
      <c r="XQ19" s="6" t="str">
        <f t="shared" si="1059"/>
        <v>M0</v>
      </c>
      <c r="XR19" s="6" t="str">
        <f t="shared" si="1059"/>
        <v>M0</v>
      </c>
      <c r="XS19" s="6" t="str">
        <f t="shared" si="1059"/>
        <v>M0</v>
      </c>
      <c r="XT19" s="6" t="str">
        <f t="shared" si="1059"/>
        <v>M0</v>
      </c>
      <c r="XU19" s="6" t="str">
        <f t="shared" ref="XU19:AAF19" si="1060">IF(XU$20="M1","", "M0")</f>
        <v>M0</v>
      </c>
      <c r="XV19" s="6" t="str">
        <f t="shared" si="1060"/>
        <v>M0</v>
      </c>
      <c r="XW19" s="6" t="str">
        <f t="shared" si="1060"/>
        <v>M0</v>
      </c>
      <c r="XX19" s="6" t="str">
        <f t="shared" si="1060"/>
        <v>M0</v>
      </c>
      <c r="XY19" s="6" t="str">
        <f t="shared" si="1060"/>
        <v>M0</v>
      </c>
      <c r="XZ19" s="6" t="str">
        <f t="shared" si="1060"/>
        <v>M0</v>
      </c>
      <c r="YA19" s="6" t="str">
        <f t="shared" si="1060"/>
        <v>M0</v>
      </c>
      <c r="YB19" s="6" t="str">
        <f t="shared" si="1060"/>
        <v>M0</v>
      </c>
      <c r="YC19" s="6" t="str">
        <f t="shared" si="1060"/>
        <v>M0</v>
      </c>
      <c r="YD19" s="6" t="str">
        <f t="shared" si="1060"/>
        <v>M0</v>
      </c>
      <c r="YE19" s="6" t="str">
        <f t="shared" si="1060"/>
        <v>M0</v>
      </c>
      <c r="YF19" s="6" t="str">
        <f t="shared" si="1060"/>
        <v>M0</v>
      </c>
      <c r="YG19" s="6" t="str">
        <f t="shared" si="1060"/>
        <v>M0</v>
      </c>
      <c r="YH19" s="6" t="str">
        <f t="shared" si="1060"/>
        <v>M0</v>
      </c>
      <c r="YI19" s="6" t="str">
        <f t="shared" si="1060"/>
        <v>M0</v>
      </c>
      <c r="YJ19" s="6" t="str">
        <f t="shared" si="1060"/>
        <v>M0</v>
      </c>
      <c r="YK19" s="6" t="str">
        <f t="shared" si="1060"/>
        <v>M0</v>
      </c>
      <c r="YL19" s="6" t="str">
        <f t="shared" si="1060"/>
        <v>M0</v>
      </c>
      <c r="YM19" s="6" t="str">
        <f t="shared" si="1060"/>
        <v>M0</v>
      </c>
      <c r="YN19" s="6" t="str">
        <f t="shared" si="1060"/>
        <v>M0</v>
      </c>
      <c r="YO19" s="6" t="str">
        <f t="shared" si="1060"/>
        <v>M0</v>
      </c>
      <c r="YP19" s="6" t="str">
        <f t="shared" si="1060"/>
        <v>M0</v>
      </c>
      <c r="YQ19" s="6" t="str">
        <f t="shared" si="1060"/>
        <v>M0</v>
      </c>
      <c r="YR19" s="6" t="str">
        <f t="shared" si="1060"/>
        <v>M0</v>
      </c>
      <c r="YS19" s="6" t="str">
        <f t="shared" si="1060"/>
        <v>M0</v>
      </c>
      <c r="YT19" s="6" t="str">
        <f t="shared" si="1060"/>
        <v/>
      </c>
      <c r="YU19" s="6" t="str">
        <f t="shared" si="1060"/>
        <v/>
      </c>
      <c r="YV19" s="6" t="str">
        <f t="shared" si="1060"/>
        <v/>
      </c>
      <c r="YW19" s="6" t="str">
        <f t="shared" si="1060"/>
        <v/>
      </c>
      <c r="YX19" s="6" t="str">
        <f t="shared" si="1060"/>
        <v>M0</v>
      </c>
      <c r="YY19" s="6" t="str">
        <f t="shared" si="1060"/>
        <v>M0</v>
      </c>
      <c r="YZ19" s="6" t="str">
        <f t="shared" si="1060"/>
        <v>M0</v>
      </c>
      <c r="ZA19" s="6" t="str">
        <f t="shared" si="1060"/>
        <v>M0</v>
      </c>
      <c r="ZB19" s="6" t="str">
        <f t="shared" si="1060"/>
        <v>M0</v>
      </c>
      <c r="ZC19" s="6" t="str">
        <f t="shared" si="1060"/>
        <v>M0</v>
      </c>
      <c r="ZD19" s="6" t="str">
        <f t="shared" si="1060"/>
        <v>M0</v>
      </c>
      <c r="ZE19" s="6" t="str">
        <f t="shared" si="1060"/>
        <v>M0</v>
      </c>
      <c r="ZF19" s="6" t="str">
        <f t="shared" si="1060"/>
        <v>M0</v>
      </c>
      <c r="ZG19" s="6" t="str">
        <f t="shared" si="1060"/>
        <v>M0</v>
      </c>
      <c r="ZH19" s="6" t="str">
        <f t="shared" si="1060"/>
        <v>M0</v>
      </c>
      <c r="ZI19" s="6" t="str">
        <f t="shared" si="1060"/>
        <v>M0</v>
      </c>
      <c r="ZJ19" s="6" t="str">
        <f t="shared" si="1060"/>
        <v>M0</v>
      </c>
      <c r="ZK19" s="6" t="str">
        <f t="shared" si="1060"/>
        <v>M0</v>
      </c>
      <c r="ZL19" s="6" t="str">
        <f t="shared" si="1060"/>
        <v>M0</v>
      </c>
      <c r="ZM19" s="6" t="str">
        <f t="shared" si="1060"/>
        <v>M0</v>
      </c>
      <c r="ZN19" s="6" t="str">
        <f t="shared" si="1060"/>
        <v>M0</v>
      </c>
      <c r="ZO19" s="6" t="str">
        <f t="shared" si="1060"/>
        <v>M0</v>
      </c>
      <c r="ZP19" s="6" t="str">
        <f t="shared" si="1060"/>
        <v>M0</v>
      </c>
      <c r="ZQ19" s="6" t="str">
        <f t="shared" si="1060"/>
        <v>M0</v>
      </c>
      <c r="ZR19" s="6" t="str">
        <f t="shared" si="1060"/>
        <v>M0</v>
      </c>
      <c r="ZS19" s="6" t="str">
        <f t="shared" si="1060"/>
        <v>M0</v>
      </c>
      <c r="ZT19" s="6" t="str">
        <f t="shared" si="1060"/>
        <v>M0</v>
      </c>
      <c r="ZU19" s="6" t="str">
        <f t="shared" si="1060"/>
        <v>M0</v>
      </c>
      <c r="ZV19" s="6" t="str">
        <f t="shared" si="1060"/>
        <v>M0</v>
      </c>
      <c r="ZW19" s="6" t="str">
        <f t="shared" si="1060"/>
        <v>M0</v>
      </c>
      <c r="ZX19" s="6" t="str">
        <f t="shared" si="1060"/>
        <v>M0</v>
      </c>
      <c r="ZY19" s="6" t="str">
        <f t="shared" si="1060"/>
        <v>M0</v>
      </c>
      <c r="ZZ19" s="6" t="str">
        <f t="shared" si="1060"/>
        <v>M0</v>
      </c>
      <c r="AAA19" s="6" t="str">
        <f t="shared" si="1060"/>
        <v>M0</v>
      </c>
      <c r="AAB19" s="6" t="str">
        <f t="shared" si="1060"/>
        <v>M0</v>
      </c>
      <c r="AAC19" s="6" t="str">
        <f t="shared" si="1060"/>
        <v>M0</v>
      </c>
      <c r="AAD19" s="6" t="str">
        <f t="shared" si="1060"/>
        <v>M0</v>
      </c>
      <c r="AAE19" s="6" t="str">
        <f t="shared" si="1060"/>
        <v>M0</v>
      </c>
      <c r="AAF19" s="6" t="str">
        <f t="shared" si="1060"/>
        <v>M0</v>
      </c>
      <c r="AAG19" s="6" t="str">
        <f t="shared" ref="AAG19:ACR19" si="1061">IF(AAG$20="M1","", "M0")</f>
        <v>M0</v>
      </c>
      <c r="AAH19" s="6" t="str">
        <f t="shared" si="1061"/>
        <v>M0</v>
      </c>
      <c r="AAI19" s="6" t="str">
        <f t="shared" si="1061"/>
        <v>M0</v>
      </c>
      <c r="AAJ19" s="6" t="str">
        <f t="shared" si="1061"/>
        <v>M0</v>
      </c>
      <c r="AAK19" s="6" t="str">
        <f t="shared" si="1061"/>
        <v>M0</v>
      </c>
      <c r="AAL19" s="6" t="str">
        <f t="shared" si="1061"/>
        <v>M0</v>
      </c>
      <c r="AAM19" s="6" t="str">
        <f t="shared" si="1061"/>
        <v>M0</v>
      </c>
      <c r="AAN19" s="6" t="str">
        <f t="shared" si="1061"/>
        <v>M0</v>
      </c>
      <c r="AAO19" s="6" t="str">
        <f t="shared" si="1061"/>
        <v>M0</v>
      </c>
      <c r="AAP19" s="6" t="str">
        <f t="shared" si="1061"/>
        <v>M0</v>
      </c>
      <c r="AAQ19" s="6" t="str">
        <f t="shared" si="1061"/>
        <v>M0</v>
      </c>
      <c r="AAR19" s="6" t="str">
        <f t="shared" si="1061"/>
        <v>M0</v>
      </c>
      <c r="AAS19" s="6" t="str">
        <f t="shared" si="1061"/>
        <v>M0</v>
      </c>
      <c r="AAT19" s="6" t="str">
        <f t="shared" si="1061"/>
        <v>M0</v>
      </c>
      <c r="AAU19" s="6" t="str">
        <f t="shared" si="1061"/>
        <v>M0</v>
      </c>
      <c r="AAV19" s="6" t="str">
        <f t="shared" si="1061"/>
        <v>M0</v>
      </c>
      <c r="AAW19" s="6" t="str">
        <f t="shared" si="1061"/>
        <v>M0</v>
      </c>
      <c r="AAX19" s="6" t="str">
        <f t="shared" si="1061"/>
        <v>M0</v>
      </c>
      <c r="AAY19" s="6" t="str">
        <f t="shared" si="1061"/>
        <v>M0</v>
      </c>
      <c r="AAZ19" s="6" t="str">
        <f t="shared" si="1061"/>
        <v>M0</v>
      </c>
      <c r="ABA19" s="6" t="str">
        <f t="shared" si="1061"/>
        <v>M0</v>
      </c>
      <c r="ABB19" s="6" t="str">
        <f t="shared" si="1061"/>
        <v>M0</v>
      </c>
      <c r="ABC19" s="6" t="str">
        <f t="shared" si="1061"/>
        <v>M0</v>
      </c>
      <c r="ABD19" s="6" t="str">
        <f t="shared" si="1061"/>
        <v>M0</v>
      </c>
      <c r="ABE19" s="6" t="str">
        <f t="shared" si="1061"/>
        <v>M0</v>
      </c>
      <c r="ABF19" s="6" t="str">
        <f t="shared" si="1061"/>
        <v>M0</v>
      </c>
      <c r="ABG19" s="6" t="str">
        <f t="shared" si="1061"/>
        <v>M0</v>
      </c>
      <c r="ABH19" s="6" t="str">
        <f t="shared" si="1061"/>
        <v>M0</v>
      </c>
      <c r="ABI19" s="6" t="str">
        <f t="shared" si="1061"/>
        <v>M0</v>
      </c>
      <c r="ABJ19" s="6" t="str">
        <f t="shared" si="1061"/>
        <v>M0</v>
      </c>
      <c r="ABK19" s="6" t="str">
        <f t="shared" si="1061"/>
        <v>M0</v>
      </c>
      <c r="ABL19" s="6" t="str">
        <f t="shared" si="1061"/>
        <v>M0</v>
      </c>
      <c r="ABM19" s="6" t="str">
        <f t="shared" si="1061"/>
        <v>M0</v>
      </c>
      <c r="ABN19" s="6" t="str">
        <f t="shared" si="1061"/>
        <v/>
      </c>
      <c r="ABO19" s="6" t="str">
        <f t="shared" si="1061"/>
        <v/>
      </c>
      <c r="ABP19" s="6" t="str">
        <f t="shared" si="1061"/>
        <v/>
      </c>
      <c r="ABQ19" s="6" t="str">
        <f t="shared" si="1061"/>
        <v/>
      </c>
      <c r="ABR19" s="6" t="str">
        <f t="shared" si="1061"/>
        <v>M0</v>
      </c>
      <c r="ABS19" s="6" t="str">
        <f t="shared" si="1061"/>
        <v>M0</v>
      </c>
      <c r="ABT19" s="6" t="str">
        <f t="shared" si="1061"/>
        <v>M0</v>
      </c>
      <c r="ABU19" s="6" t="str">
        <f t="shared" si="1061"/>
        <v>M0</v>
      </c>
      <c r="ABV19" s="6" t="str">
        <f t="shared" si="1061"/>
        <v>M0</v>
      </c>
      <c r="ABW19" s="6" t="str">
        <f t="shared" si="1061"/>
        <v>M0</v>
      </c>
      <c r="ABX19" s="6" t="str">
        <f t="shared" si="1061"/>
        <v>M0</v>
      </c>
      <c r="ABY19" s="6" t="str">
        <f t="shared" si="1061"/>
        <v>M0</v>
      </c>
      <c r="ABZ19" s="6" t="str">
        <f t="shared" si="1061"/>
        <v>M0</v>
      </c>
      <c r="ACA19" s="6" t="str">
        <f t="shared" si="1061"/>
        <v>M0</v>
      </c>
      <c r="ACB19" s="6" t="str">
        <f t="shared" si="1061"/>
        <v>M0</v>
      </c>
      <c r="ACC19" s="6" t="str">
        <f t="shared" si="1061"/>
        <v>M0</v>
      </c>
      <c r="ACD19" s="6" t="str">
        <f t="shared" si="1061"/>
        <v>M0</v>
      </c>
      <c r="ACE19" s="6" t="str">
        <f t="shared" si="1061"/>
        <v>M0</v>
      </c>
      <c r="ACF19" s="6" t="str">
        <f t="shared" si="1061"/>
        <v>M0</v>
      </c>
      <c r="ACG19" s="6" t="str">
        <f t="shared" si="1061"/>
        <v>M0</v>
      </c>
      <c r="ACH19" s="6" t="str">
        <f t="shared" si="1061"/>
        <v>M0</v>
      </c>
      <c r="ACI19" s="6" t="str">
        <f t="shared" si="1061"/>
        <v>M0</v>
      </c>
      <c r="ACJ19" s="6" t="str">
        <f t="shared" si="1061"/>
        <v>M0</v>
      </c>
      <c r="ACK19" s="6" t="str">
        <f t="shared" si="1061"/>
        <v>M0</v>
      </c>
      <c r="ACL19" s="6" t="str">
        <f t="shared" si="1061"/>
        <v>M0</v>
      </c>
      <c r="ACM19" s="6" t="str">
        <f t="shared" si="1061"/>
        <v>M0</v>
      </c>
      <c r="ACN19" s="6" t="str">
        <f t="shared" si="1061"/>
        <v>M0</v>
      </c>
      <c r="ACO19" s="6" t="str">
        <f t="shared" si="1061"/>
        <v>M0</v>
      </c>
      <c r="ACP19" s="6" t="str">
        <f t="shared" si="1061"/>
        <v>M0</v>
      </c>
      <c r="ACQ19" s="6" t="str">
        <f t="shared" si="1061"/>
        <v>M0</v>
      </c>
      <c r="ACR19" s="6" t="str">
        <f t="shared" si="1061"/>
        <v>M0</v>
      </c>
      <c r="ACS19" s="6" t="str">
        <f t="shared" ref="ACS19:AFD19" si="1062">IF(ACS$20="M1","", "M0")</f>
        <v>M0</v>
      </c>
      <c r="ACT19" s="6" t="str">
        <f t="shared" si="1062"/>
        <v>M0</v>
      </c>
      <c r="ACU19" s="6" t="str">
        <f t="shared" si="1062"/>
        <v>M0</v>
      </c>
      <c r="ACV19" s="6" t="str">
        <f t="shared" si="1062"/>
        <v>M0</v>
      </c>
      <c r="ACW19" s="6" t="str">
        <f t="shared" si="1062"/>
        <v>M0</v>
      </c>
      <c r="ACX19" s="6" t="str">
        <f t="shared" si="1062"/>
        <v>M0</v>
      </c>
      <c r="ACY19" s="6" t="str">
        <f t="shared" si="1062"/>
        <v>M0</v>
      </c>
      <c r="ACZ19" s="6" t="str">
        <f t="shared" si="1062"/>
        <v>M0</v>
      </c>
      <c r="ADA19" s="6" t="str">
        <f t="shared" si="1062"/>
        <v>M0</v>
      </c>
      <c r="ADB19" s="6" t="str">
        <f t="shared" si="1062"/>
        <v>M0</v>
      </c>
      <c r="ADC19" s="6" t="str">
        <f t="shared" si="1062"/>
        <v>M0</v>
      </c>
      <c r="ADD19" s="6" t="str">
        <f t="shared" si="1062"/>
        <v>M0</v>
      </c>
      <c r="ADE19" s="6" t="str">
        <f t="shared" si="1062"/>
        <v>M0</v>
      </c>
      <c r="ADF19" s="6" t="str">
        <f t="shared" si="1062"/>
        <v>M0</v>
      </c>
      <c r="ADG19" s="6" t="str">
        <f t="shared" si="1062"/>
        <v>M0</v>
      </c>
      <c r="ADH19" s="6" t="str">
        <f t="shared" si="1062"/>
        <v>M0</v>
      </c>
      <c r="ADI19" s="6" t="str">
        <f t="shared" si="1062"/>
        <v>M0</v>
      </c>
      <c r="ADJ19" s="6" t="str">
        <f t="shared" si="1062"/>
        <v>M0</v>
      </c>
      <c r="ADK19" s="6" t="str">
        <f t="shared" si="1062"/>
        <v>M0</v>
      </c>
      <c r="ADL19" s="6" t="str">
        <f t="shared" si="1062"/>
        <v>M0</v>
      </c>
      <c r="ADM19" s="6" t="str">
        <f t="shared" si="1062"/>
        <v>M0</v>
      </c>
      <c r="ADN19" s="6" t="str">
        <f t="shared" si="1062"/>
        <v>M0</v>
      </c>
      <c r="ADO19" s="6" t="str">
        <f t="shared" si="1062"/>
        <v>M0</v>
      </c>
      <c r="ADP19" s="6" t="str">
        <f t="shared" si="1062"/>
        <v>M0</v>
      </c>
      <c r="ADQ19" s="6" t="str">
        <f t="shared" si="1062"/>
        <v>M0</v>
      </c>
      <c r="ADR19" s="6" t="str">
        <f t="shared" si="1062"/>
        <v>M0</v>
      </c>
      <c r="ADS19" s="6" t="str">
        <f t="shared" si="1062"/>
        <v>M0</v>
      </c>
      <c r="ADT19" s="6" t="str">
        <f t="shared" si="1062"/>
        <v>M0</v>
      </c>
      <c r="ADU19" s="6" t="str">
        <f t="shared" si="1062"/>
        <v>M0</v>
      </c>
      <c r="ADV19" s="6" t="str">
        <f t="shared" si="1062"/>
        <v>M0</v>
      </c>
      <c r="ADW19" s="6" t="str">
        <f t="shared" si="1062"/>
        <v>M0</v>
      </c>
      <c r="ADX19" s="6" t="str">
        <f t="shared" si="1062"/>
        <v>M0</v>
      </c>
      <c r="ADY19" s="6" t="str">
        <f t="shared" si="1062"/>
        <v>M0</v>
      </c>
      <c r="ADZ19" s="6" t="str">
        <f t="shared" si="1062"/>
        <v>M0</v>
      </c>
      <c r="AEA19" s="6" t="str">
        <f t="shared" si="1062"/>
        <v>M0</v>
      </c>
      <c r="AEB19" s="6" t="str">
        <f t="shared" si="1062"/>
        <v>M0</v>
      </c>
      <c r="AEC19" s="6" t="str">
        <f t="shared" si="1062"/>
        <v>M0</v>
      </c>
      <c r="AED19" s="6" t="str">
        <f t="shared" si="1062"/>
        <v>M0</v>
      </c>
      <c r="AEE19" s="6" t="str">
        <f t="shared" si="1062"/>
        <v>M0</v>
      </c>
      <c r="AEF19" s="6" t="str">
        <f t="shared" si="1062"/>
        <v>M0</v>
      </c>
      <c r="AEG19" s="6" t="str">
        <f t="shared" si="1062"/>
        <v>M0</v>
      </c>
      <c r="AEH19" s="6" t="str">
        <f t="shared" si="1062"/>
        <v/>
      </c>
      <c r="AEI19" s="6" t="str">
        <f t="shared" si="1062"/>
        <v/>
      </c>
      <c r="AEJ19" s="6" t="str">
        <f t="shared" si="1062"/>
        <v/>
      </c>
      <c r="AEK19" s="6" t="str">
        <f t="shared" si="1062"/>
        <v/>
      </c>
      <c r="AEL19" s="6" t="str">
        <f t="shared" si="1062"/>
        <v>M0</v>
      </c>
      <c r="AEM19" s="6" t="str">
        <f t="shared" si="1062"/>
        <v>M0</v>
      </c>
      <c r="AEN19" s="6" t="str">
        <f t="shared" si="1062"/>
        <v>M0</v>
      </c>
      <c r="AEO19" s="6" t="str">
        <f t="shared" si="1062"/>
        <v>M0</v>
      </c>
      <c r="AEP19" s="6" t="str">
        <f t="shared" si="1062"/>
        <v>M0</v>
      </c>
      <c r="AEQ19" s="6" t="str">
        <f t="shared" si="1062"/>
        <v>M0</v>
      </c>
      <c r="AER19" s="6" t="str">
        <f t="shared" si="1062"/>
        <v>M0</v>
      </c>
      <c r="AES19" s="6" t="str">
        <f t="shared" si="1062"/>
        <v>M0</v>
      </c>
      <c r="AET19" s="6" t="str">
        <f t="shared" si="1062"/>
        <v>M0</v>
      </c>
      <c r="AEU19" s="6" t="str">
        <f t="shared" si="1062"/>
        <v>M0</v>
      </c>
      <c r="AEV19" s="6" t="str">
        <f t="shared" si="1062"/>
        <v>M0</v>
      </c>
      <c r="AEW19" s="6" t="str">
        <f t="shared" si="1062"/>
        <v>M0</v>
      </c>
      <c r="AEX19" s="6" t="str">
        <f t="shared" si="1062"/>
        <v>M0</v>
      </c>
      <c r="AEY19" s="6" t="str">
        <f t="shared" si="1062"/>
        <v>M0</v>
      </c>
      <c r="AEZ19" s="6" t="str">
        <f t="shared" si="1062"/>
        <v>M0</v>
      </c>
      <c r="AFA19" s="6" t="str">
        <f t="shared" si="1062"/>
        <v>M0</v>
      </c>
      <c r="AFB19" s="6" t="str">
        <f t="shared" si="1062"/>
        <v>M0</v>
      </c>
      <c r="AFC19" s="6" t="str">
        <f t="shared" si="1062"/>
        <v>M0</v>
      </c>
      <c r="AFD19" s="6" t="str">
        <f t="shared" si="1062"/>
        <v>M0</v>
      </c>
      <c r="AFE19" s="6" t="str">
        <f t="shared" ref="AFE19:AHP19" si="1063">IF(AFE$20="M1","", "M0")</f>
        <v>M0</v>
      </c>
      <c r="AFF19" s="6" t="str">
        <f t="shared" si="1063"/>
        <v>M0</v>
      </c>
      <c r="AFG19" s="6" t="str">
        <f t="shared" si="1063"/>
        <v>M0</v>
      </c>
      <c r="AFH19" s="6" t="str">
        <f t="shared" si="1063"/>
        <v>M0</v>
      </c>
      <c r="AFI19" s="6" t="str">
        <f t="shared" si="1063"/>
        <v>M0</v>
      </c>
      <c r="AFJ19" s="6" t="str">
        <f t="shared" si="1063"/>
        <v>M0</v>
      </c>
      <c r="AFK19" s="6" t="str">
        <f t="shared" si="1063"/>
        <v>M0</v>
      </c>
      <c r="AFL19" s="6" t="str">
        <f t="shared" si="1063"/>
        <v>M0</v>
      </c>
      <c r="AFM19" s="6" t="str">
        <f t="shared" si="1063"/>
        <v>M0</v>
      </c>
      <c r="AFN19" s="6" t="str">
        <f t="shared" si="1063"/>
        <v>M0</v>
      </c>
      <c r="AFO19" s="6" t="str">
        <f t="shared" si="1063"/>
        <v>M0</v>
      </c>
      <c r="AFP19" s="6" t="str">
        <f t="shared" si="1063"/>
        <v>M0</v>
      </c>
      <c r="AFQ19" s="6" t="str">
        <f t="shared" si="1063"/>
        <v>M0</v>
      </c>
      <c r="AFR19" s="6" t="str">
        <f t="shared" si="1063"/>
        <v>M0</v>
      </c>
      <c r="AFS19" s="6" t="str">
        <f t="shared" si="1063"/>
        <v>M0</v>
      </c>
      <c r="AFT19" s="6" t="str">
        <f t="shared" si="1063"/>
        <v>M0</v>
      </c>
      <c r="AFU19" s="6" t="str">
        <f t="shared" si="1063"/>
        <v>M0</v>
      </c>
      <c r="AFV19" s="6" t="str">
        <f t="shared" si="1063"/>
        <v>M0</v>
      </c>
      <c r="AFW19" s="6" t="str">
        <f t="shared" si="1063"/>
        <v>M0</v>
      </c>
      <c r="AFX19" s="6" t="str">
        <f t="shared" si="1063"/>
        <v>M0</v>
      </c>
      <c r="AFY19" s="6" t="str">
        <f t="shared" si="1063"/>
        <v>M0</v>
      </c>
      <c r="AFZ19" s="6" t="str">
        <f t="shared" si="1063"/>
        <v>M0</v>
      </c>
      <c r="AGA19" s="6" t="str">
        <f t="shared" si="1063"/>
        <v>M0</v>
      </c>
      <c r="AGB19" s="6" t="str">
        <f t="shared" si="1063"/>
        <v>M0</v>
      </c>
      <c r="AGC19" s="6" t="str">
        <f t="shared" si="1063"/>
        <v>M0</v>
      </c>
      <c r="AGD19" s="6" t="str">
        <f t="shared" si="1063"/>
        <v>M0</v>
      </c>
      <c r="AGE19" s="6" t="str">
        <f t="shared" si="1063"/>
        <v>M0</v>
      </c>
      <c r="AGF19" s="6" t="str">
        <f t="shared" si="1063"/>
        <v>M0</v>
      </c>
      <c r="AGG19" s="6" t="str">
        <f t="shared" si="1063"/>
        <v>M0</v>
      </c>
      <c r="AGH19" s="6" t="str">
        <f t="shared" si="1063"/>
        <v>M0</v>
      </c>
      <c r="AGI19" s="6" t="str">
        <f t="shared" si="1063"/>
        <v>M0</v>
      </c>
      <c r="AGJ19" s="6" t="str">
        <f t="shared" si="1063"/>
        <v>M0</v>
      </c>
      <c r="AGK19" s="6" t="str">
        <f t="shared" si="1063"/>
        <v>M0</v>
      </c>
      <c r="AGL19" s="6" t="str">
        <f t="shared" si="1063"/>
        <v>M0</v>
      </c>
      <c r="AGM19" s="6" t="str">
        <f t="shared" si="1063"/>
        <v>M0</v>
      </c>
      <c r="AGN19" s="6" t="str">
        <f t="shared" si="1063"/>
        <v>M0</v>
      </c>
      <c r="AGO19" s="6" t="str">
        <f t="shared" si="1063"/>
        <v>M0</v>
      </c>
      <c r="AGP19" s="6" t="str">
        <f t="shared" si="1063"/>
        <v>M0</v>
      </c>
      <c r="AGQ19" s="6" t="str">
        <f t="shared" si="1063"/>
        <v>M0</v>
      </c>
      <c r="AGR19" s="6" t="str">
        <f t="shared" si="1063"/>
        <v>M0</v>
      </c>
      <c r="AGS19" s="6" t="str">
        <f t="shared" si="1063"/>
        <v>M0</v>
      </c>
      <c r="AGT19" s="6" t="str">
        <f t="shared" si="1063"/>
        <v>M0</v>
      </c>
      <c r="AGU19" s="6" t="str">
        <f t="shared" si="1063"/>
        <v>M0</v>
      </c>
      <c r="AGV19" s="6" t="str">
        <f t="shared" si="1063"/>
        <v>M0</v>
      </c>
      <c r="AGW19" s="6" t="str">
        <f t="shared" si="1063"/>
        <v>M0</v>
      </c>
      <c r="AGX19" s="6" t="str">
        <f t="shared" si="1063"/>
        <v>M0</v>
      </c>
      <c r="AGY19" s="6" t="str">
        <f t="shared" si="1063"/>
        <v>M0</v>
      </c>
      <c r="AGZ19" s="6" t="str">
        <f t="shared" si="1063"/>
        <v>M0</v>
      </c>
      <c r="AHA19" s="6" t="str">
        <f t="shared" si="1063"/>
        <v>M0</v>
      </c>
      <c r="AHB19" s="6" t="str">
        <f t="shared" si="1063"/>
        <v/>
      </c>
      <c r="AHC19" s="6" t="str">
        <f t="shared" si="1063"/>
        <v/>
      </c>
      <c r="AHD19" s="6" t="str">
        <f t="shared" si="1063"/>
        <v/>
      </c>
      <c r="AHE19" s="6" t="str">
        <f t="shared" si="1063"/>
        <v/>
      </c>
      <c r="AHF19" s="6" t="str">
        <f t="shared" si="1063"/>
        <v>M0</v>
      </c>
      <c r="AHG19" s="6" t="str">
        <f t="shared" si="1063"/>
        <v>M0</v>
      </c>
      <c r="AHH19" s="6" t="str">
        <f t="shared" si="1063"/>
        <v>M0</v>
      </c>
      <c r="AHI19" s="6" t="str">
        <f t="shared" si="1063"/>
        <v>M0</v>
      </c>
      <c r="AHJ19" s="6" t="str">
        <f t="shared" si="1063"/>
        <v>M0</v>
      </c>
      <c r="AHK19" s="6" t="str">
        <f t="shared" si="1063"/>
        <v>M0</v>
      </c>
      <c r="AHL19" s="6" t="str">
        <f t="shared" si="1063"/>
        <v>M0</v>
      </c>
      <c r="AHM19" s="6" t="str">
        <f t="shared" si="1063"/>
        <v>M0</v>
      </c>
      <c r="AHN19" s="6" t="str">
        <f t="shared" si="1063"/>
        <v>M0</v>
      </c>
      <c r="AHO19" s="6" t="str">
        <f t="shared" si="1063"/>
        <v>M0</v>
      </c>
      <c r="AHP19" s="6" t="str">
        <f t="shared" si="1063"/>
        <v>M0</v>
      </c>
      <c r="AHQ19" s="6" t="str">
        <f t="shared" ref="AHQ19:AKB19" si="1064">IF(AHQ$20="M1","", "M0")</f>
        <v>M0</v>
      </c>
      <c r="AHR19" s="6" t="str">
        <f t="shared" si="1064"/>
        <v>M0</v>
      </c>
      <c r="AHS19" s="6" t="str">
        <f t="shared" si="1064"/>
        <v>M0</v>
      </c>
      <c r="AHT19" s="6" t="str">
        <f t="shared" si="1064"/>
        <v>M0</v>
      </c>
      <c r="AHU19" s="6" t="str">
        <f t="shared" si="1064"/>
        <v>M0</v>
      </c>
      <c r="AHV19" s="6" t="str">
        <f t="shared" si="1064"/>
        <v>M0</v>
      </c>
      <c r="AHW19" s="6" t="str">
        <f t="shared" si="1064"/>
        <v>M0</v>
      </c>
      <c r="AHX19" s="6" t="str">
        <f t="shared" si="1064"/>
        <v>M0</v>
      </c>
      <c r="AHY19" s="6" t="str">
        <f t="shared" si="1064"/>
        <v>M0</v>
      </c>
      <c r="AHZ19" s="6" t="str">
        <f t="shared" si="1064"/>
        <v>M0</v>
      </c>
      <c r="AIA19" s="6" t="str">
        <f t="shared" si="1064"/>
        <v>M0</v>
      </c>
      <c r="AIB19" s="6" t="str">
        <f t="shared" si="1064"/>
        <v>M0</v>
      </c>
      <c r="AIC19" s="6" t="str">
        <f t="shared" si="1064"/>
        <v>M0</v>
      </c>
      <c r="AID19" s="6" t="str">
        <f t="shared" si="1064"/>
        <v>M0</v>
      </c>
      <c r="AIE19" s="6" t="str">
        <f t="shared" si="1064"/>
        <v>M0</v>
      </c>
      <c r="AIF19" s="6" t="str">
        <f t="shared" si="1064"/>
        <v>M0</v>
      </c>
      <c r="AIG19" s="6" t="str">
        <f t="shared" si="1064"/>
        <v>M0</v>
      </c>
      <c r="AIH19" s="6" t="str">
        <f t="shared" si="1064"/>
        <v>M0</v>
      </c>
      <c r="AII19" s="6" t="str">
        <f t="shared" si="1064"/>
        <v>M0</v>
      </c>
      <c r="AIJ19" s="6" t="str">
        <f t="shared" si="1064"/>
        <v>M0</v>
      </c>
      <c r="AIK19" s="6" t="str">
        <f t="shared" si="1064"/>
        <v>M0</v>
      </c>
      <c r="AIL19" s="6" t="str">
        <f t="shared" si="1064"/>
        <v>M0</v>
      </c>
      <c r="AIM19" s="6" t="str">
        <f t="shared" si="1064"/>
        <v>M0</v>
      </c>
      <c r="AIN19" s="6" t="str">
        <f t="shared" si="1064"/>
        <v>M0</v>
      </c>
      <c r="AIO19" s="6" t="str">
        <f t="shared" si="1064"/>
        <v>M0</v>
      </c>
      <c r="AIP19" s="6" t="str">
        <f t="shared" si="1064"/>
        <v>M0</v>
      </c>
      <c r="AIQ19" s="6" t="str">
        <f t="shared" si="1064"/>
        <v>M0</v>
      </c>
      <c r="AIR19" s="6" t="str">
        <f t="shared" si="1064"/>
        <v>M0</v>
      </c>
      <c r="AIS19" s="6" t="str">
        <f t="shared" si="1064"/>
        <v>M0</v>
      </c>
      <c r="AIT19" s="6" t="str">
        <f t="shared" si="1064"/>
        <v>M0</v>
      </c>
      <c r="AIU19" s="6" t="str">
        <f t="shared" si="1064"/>
        <v>M0</v>
      </c>
      <c r="AIV19" s="6" t="str">
        <f t="shared" si="1064"/>
        <v>M0</v>
      </c>
      <c r="AIW19" s="6" t="str">
        <f t="shared" si="1064"/>
        <v>M0</v>
      </c>
      <c r="AIX19" s="6" t="str">
        <f t="shared" si="1064"/>
        <v>M0</v>
      </c>
      <c r="AIY19" s="6" t="str">
        <f t="shared" si="1064"/>
        <v>M0</v>
      </c>
      <c r="AIZ19" s="6" t="str">
        <f t="shared" si="1064"/>
        <v>M0</v>
      </c>
      <c r="AJA19" s="6" t="str">
        <f t="shared" si="1064"/>
        <v>M0</v>
      </c>
      <c r="AJB19" s="6" t="str">
        <f t="shared" si="1064"/>
        <v>M0</v>
      </c>
      <c r="AJC19" s="6" t="str">
        <f t="shared" si="1064"/>
        <v>M0</v>
      </c>
      <c r="AJD19" s="6" t="str">
        <f t="shared" si="1064"/>
        <v>M0</v>
      </c>
      <c r="AJE19" s="6" t="str">
        <f t="shared" si="1064"/>
        <v>M0</v>
      </c>
      <c r="AJF19" s="6" t="str">
        <f t="shared" si="1064"/>
        <v>M0</v>
      </c>
      <c r="AJG19" s="6" t="str">
        <f t="shared" si="1064"/>
        <v>M0</v>
      </c>
      <c r="AJH19" s="6" t="str">
        <f t="shared" si="1064"/>
        <v>M0</v>
      </c>
      <c r="AJI19" s="6" t="str">
        <f t="shared" si="1064"/>
        <v>M0</v>
      </c>
      <c r="AJJ19" s="6" t="str">
        <f t="shared" si="1064"/>
        <v>M0</v>
      </c>
      <c r="AJK19" s="6" t="str">
        <f t="shared" si="1064"/>
        <v>M0</v>
      </c>
      <c r="AJL19" s="6" t="str">
        <f t="shared" si="1064"/>
        <v>M0</v>
      </c>
      <c r="AJM19" s="6" t="str">
        <f t="shared" si="1064"/>
        <v>M0</v>
      </c>
      <c r="AJN19" s="6" t="str">
        <f t="shared" si="1064"/>
        <v>M0</v>
      </c>
      <c r="AJO19" s="6" t="str">
        <f t="shared" si="1064"/>
        <v>M0</v>
      </c>
      <c r="AJP19" s="6" t="str">
        <f t="shared" si="1064"/>
        <v>M0</v>
      </c>
      <c r="AJQ19" s="6" t="str">
        <f t="shared" si="1064"/>
        <v>M0</v>
      </c>
      <c r="AJR19" s="6" t="str">
        <f t="shared" si="1064"/>
        <v>M0</v>
      </c>
      <c r="AJS19" s="6" t="str">
        <f t="shared" si="1064"/>
        <v>M0</v>
      </c>
      <c r="AJT19" s="6" t="str">
        <f t="shared" si="1064"/>
        <v>M0</v>
      </c>
      <c r="AJU19" s="6" t="str">
        <f t="shared" si="1064"/>
        <v>M0</v>
      </c>
      <c r="AJV19" s="6" t="str">
        <f t="shared" si="1064"/>
        <v/>
      </c>
      <c r="AJW19" s="6" t="str">
        <f t="shared" si="1064"/>
        <v/>
      </c>
      <c r="AJX19" s="6" t="str">
        <f t="shared" si="1064"/>
        <v/>
      </c>
      <c r="AJY19" s="6" t="str">
        <f t="shared" si="1064"/>
        <v/>
      </c>
      <c r="AJZ19" s="6" t="str">
        <f t="shared" si="1064"/>
        <v>M0</v>
      </c>
      <c r="AKA19" s="6" t="str">
        <f t="shared" si="1064"/>
        <v>M0</v>
      </c>
      <c r="AKB19" s="6" t="str">
        <f t="shared" si="1064"/>
        <v>M0</v>
      </c>
      <c r="AKC19" s="6" t="str">
        <f t="shared" ref="AKC19:ALW19" si="1065">IF(AKC$20="M1","", "M0")</f>
        <v>M0</v>
      </c>
      <c r="AKD19" s="6" t="str">
        <f t="shared" si="1065"/>
        <v>M0</v>
      </c>
      <c r="AKE19" s="6" t="str">
        <f t="shared" si="1065"/>
        <v>M0</v>
      </c>
      <c r="AKF19" s="6" t="str">
        <f t="shared" si="1065"/>
        <v>M0</v>
      </c>
      <c r="AKG19" s="6" t="str">
        <f t="shared" si="1065"/>
        <v>M0</v>
      </c>
      <c r="AKH19" s="6" t="str">
        <f t="shared" si="1065"/>
        <v>M0</v>
      </c>
      <c r="AKI19" s="6" t="str">
        <f t="shared" si="1065"/>
        <v>M0</v>
      </c>
      <c r="AKJ19" s="6" t="str">
        <f t="shared" si="1065"/>
        <v>M0</v>
      </c>
      <c r="AKK19" s="6" t="str">
        <f t="shared" si="1065"/>
        <v>M0</v>
      </c>
      <c r="AKL19" s="6" t="str">
        <f t="shared" si="1065"/>
        <v>M0</v>
      </c>
      <c r="AKM19" s="6" t="str">
        <f t="shared" si="1065"/>
        <v>M0</v>
      </c>
      <c r="AKN19" s="6" t="str">
        <f t="shared" si="1065"/>
        <v>M0</v>
      </c>
      <c r="AKO19" s="6" t="str">
        <f t="shared" si="1065"/>
        <v>M0</v>
      </c>
      <c r="AKP19" s="6" t="str">
        <f t="shared" si="1065"/>
        <v>M0</v>
      </c>
      <c r="AKQ19" s="6" t="str">
        <f t="shared" si="1065"/>
        <v>M0</v>
      </c>
      <c r="AKR19" s="6" t="str">
        <f t="shared" si="1065"/>
        <v>M0</v>
      </c>
      <c r="AKS19" s="6" t="str">
        <f t="shared" si="1065"/>
        <v>M0</v>
      </c>
      <c r="AKT19" s="6" t="str">
        <f t="shared" si="1065"/>
        <v>M0</v>
      </c>
      <c r="AKU19" s="6" t="str">
        <f t="shared" si="1065"/>
        <v>M0</v>
      </c>
      <c r="AKV19" s="6" t="str">
        <f t="shared" si="1065"/>
        <v>M0</v>
      </c>
      <c r="AKW19" s="6" t="str">
        <f t="shared" si="1065"/>
        <v>M0</v>
      </c>
      <c r="AKX19" s="6" t="str">
        <f t="shared" si="1065"/>
        <v>M0</v>
      </c>
      <c r="AKY19" s="6" t="str">
        <f t="shared" si="1065"/>
        <v>M0</v>
      </c>
      <c r="AKZ19" s="6" t="str">
        <f t="shared" si="1065"/>
        <v>M0</v>
      </c>
      <c r="ALA19" s="6" t="str">
        <f t="shared" si="1065"/>
        <v>M0</v>
      </c>
      <c r="ALB19" s="6" t="str">
        <f t="shared" si="1065"/>
        <v>M0</v>
      </c>
      <c r="ALC19" s="6" t="str">
        <f t="shared" si="1065"/>
        <v>M0</v>
      </c>
      <c r="ALD19" s="6" t="str">
        <f t="shared" si="1065"/>
        <v>M0</v>
      </c>
      <c r="ALE19" s="6" t="str">
        <f t="shared" si="1065"/>
        <v>M0</v>
      </c>
      <c r="ALF19" s="6" t="str">
        <f t="shared" si="1065"/>
        <v>M0</v>
      </c>
      <c r="ALG19" s="6" t="str">
        <f t="shared" si="1065"/>
        <v>M0</v>
      </c>
      <c r="ALH19" s="6" t="str">
        <f t="shared" si="1065"/>
        <v>M0</v>
      </c>
      <c r="ALI19" s="6" t="str">
        <f t="shared" si="1065"/>
        <v>M0</v>
      </c>
      <c r="ALJ19" s="6" t="str">
        <f t="shared" si="1065"/>
        <v>M0</v>
      </c>
      <c r="ALK19" s="6" t="str">
        <f t="shared" si="1065"/>
        <v>M0</v>
      </c>
      <c r="ALL19" s="6" t="str">
        <f t="shared" si="1065"/>
        <v>M0</v>
      </c>
      <c r="ALM19" s="6" t="str">
        <f t="shared" si="1065"/>
        <v>M0</v>
      </c>
      <c r="ALN19" s="6" t="str">
        <f t="shared" si="1065"/>
        <v>M0</v>
      </c>
      <c r="ALO19" s="6" t="str">
        <f t="shared" si="1065"/>
        <v>M0</v>
      </c>
      <c r="ALP19" s="6" t="str">
        <f t="shared" si="1065"/>
        <v>M0</v>
      </c>
      <c r="ALQ19" s="6" t="str">
        <f t="shared" si="1065"/>
        <v>M0</v>
      </c>
      <c r="ALR19" s="6" t="str">
        <f t="shared" si="1065"/>
        <v>M0</v>
      </c>
      <c r="ALS19" s="6" t="str">
        <f t="shared" si="1065"/>
        <v>M0</v>
      </c>
      <c r="ALT19" s="6" t="str">
        <f t="shared" si="1065"/>
        <v>M0</v>
      </c>
      <c r="ALU19" s="6" t="str">
        <f t="shared" si="1065"/>
        <v>M0</v>
      </c>
      <c r="ALV19" s="6" t="str">
        <f t="shared" si="1065"/>
        <v>M0</v>
      </c>
      <c r="ALW19" s="6" t="str">
        <f t="shared" si="1065"/>
        <v>M0</v>
      </c>
    </row>
    <row r="20" spans="2:1011" outlineLevel="1" x14ac:dyDescent="0.25">
      <c r="B20" s="8"/>
      <c r="C20" s="5" t="s">
        <v>4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 t="s">
        <v>4</v>
      </c>
      <c r="W20" s="6" t="s">
        <v>4</v>
      </c>
      <c r="X20" s="6" t="s">
        <v>4</v>
      </c>
      <c r="Y20" s="6" t="s">
        <v>4</v>
      </c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 t="s">
        <v>4</v>
      </c>
      <c r="CQ20" s="6" t="s">
        <v>4</v>
      </c>
      <c r="CR20" s="6" t="s">
        <v>4</v>
      </c>
      <c r="CS20" s="6" t="s">
        <v>4</v>
      </c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 t="s">
        <v>4</v>
      </c>
      <c r="FK20" s="6" t="s">
        <v>4</v>
      </c>
      <c r="FL20" s="6" t="s">
        <v>4</v>
      </c>
      <c r="FM20" s="6" t="s">
        <v>4</v>
      </c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6"/>
      <c r="HT20" s="6"/>
      <c r="HU20" s="6"/>
      <c r="HV20" s="6"/>
      <c r="HW20" s="6"/>
      <c r="HX20" s="6"/>
      <c r="HY20" s="6"/>
      <c r="HZ20" s="6"/>
      <c r="IA20" s="6"/>
      <c r="IB20" s="6"/>
      <c r="IC20" s="6"/>
      <c r="ID20" s="6" t="s">
        <v>4</v>
      </c>
      <c r="IE20" s="6" t="s">
        <v>4</v>
      </c>
      <c r="IF20" s="6" t="s">
        <v>4</v>
      </c>
      <c r="IG20" s="6" t="s">
        <v>4</v>
      </c>
      <c r="IH20" s="6"/>
      <c r="II20" s="6"/>
      <c r="IJ20" s="6"/>
      <c r="IK20" s="6"/>
      <c r="IL20" s="6"/>
      <c r="IM20" s="6"/>
      <c r="IN20" s="6"/>
      <c r="IO20" s="6"/>
      <c r="IP20" s="6"/>
      <c r="IQ20" s="6"/>
      <c r="IR20" s="6"/>
      <c r="IS20" s="6"/>
      <c r="IT20" s="6"/>
      <c r="IU20" s="6"/>
      <c r="IV20" s="6"/>
      <c r="IW20" s="6"/>
      <c r="IX20" s="6"/>
      <c r="IY20" s="6"/>
      <c r="IZ20" s="6"/>
      <c r="JA20" s="6"/>
      <c r="JB20" s="6"/>
      <c r="JC20" s="6"/>
      <c r="JD20" s="6"/>
      <c r="JE20" s="6"/>
      <c r="JF20" s="6"/>
      <c r="JG20" s="6"/>
      <c r="JH20" s="6"/>
      <c r="JI20" s="6"/>
      <c r="JJ20" s="6"/>
      <c r="JK20" s="6"/>
      <c r="JL20" s="6"/>
      <c r="JM20" s="6"/>
      <c r="JN20" s="6"/>
      <c r="JO20" s="6"/>
      <c r="JP20" s="6"/>
      <c r="JQ20" s="6"/>
      <c r="JR20" s="6"/>
      <c r="JS20" s="6"/>
      <c r="JT20" s="6"/>
      <c r="JU20" s="6"/>
      <c r="JV20" s="6"/>
      <c r="JW20" s="6"/>
      <c r="JX20" s="6"/>
      <c r="JY20" s="6"/>
      <c r="JZ20" s="6"/>
      <c r="KA20" s="6"/>
      <c r="KB20" s="6"/>
      <c r="KC20" s="6"/>
      <c r="KD20" s="6"/>
      <c r="KE20" s="6"/>
      <c r="KF20" s="6"/>
      <c r="KG20" s="6"/>
      <c r="KH20" s="6"/>
      <c r="KI20" s="6"/>
      <c r="KJ20" s="6"/>
      <c r="KK20" s="6"/>
      <c r="KL20" s="6"/>
      <c r="KM20" s="6"/>
      <c r="KN20" s="6"/>
      <c r="KO20" s="6"/>
      <c r="KP20" s="6"/>
      <c r="KQ20" s="6"/>
      <c r="KR20" s="6"/>
      <c r="KS20" s="6"/>
      <c r="KT20" s="6"/>
      <c r="KU20" s="6"/>
      <c r="KV20" s="6"/>
      <c r="KW20" s="6"/>
      <c r="KX20" s="6" t="s">
        <v>4</v>
      </c>
      <c r="KY20" s="6" t="s">
        <v>4</v>
      </c>
      <c r="KZ20" s="6" t="s">
        <v>4</v>
      </c>
      <c r="LA20" s="6" t="s">
        <v>4</v>
      </c>
      <c r="LB20" s="6"/>
      <c r="LC20" s="6"/>
      <c r="LD20" s="6"/>
      <c r="LE20" s="6"/>
      <c r="LF20" s="6"/>
      <c r="LG20" s="6"/>
      <c r="LH20" s="6"/>
      <c r="LI20" s="6"/>
      <c r="LJ20" s="6"/>
      <c r="LK20" s="6"/>
      <c r="LL20" s="6"/>
      <c r="LM20" s="6"/>
      <c r="LN20" s="6"/>
      <c r="LO20" s="6"/>
      <c r="LP20" s="6"/>
      <c r="LQ20" s="6"/>
      <c r="LR20" s="6"/>
      <c r="LS20" s="6"/>
      <c r="LT20" s="6"/>
      <c r="LU20" s="6"/>
      <c r="LV20" s="6"/>
      <c r="LW20" s="6"/>
      <c r="LX20" s="6"/>
      <c r="LY20" s="6"/>
      <c r="LZ20" s="6"/>
      <c r="MA20" s="6"/>
      <c r="MB20" s="6"/>
      <c r="MC20" s="6"/>
      <c r="MD20" s="6"/>
      <c r="ME20" s="6"/>
      <c r="MF20" s="6"/>
      <c r="MG20" s="6"/>
      <c r="MH20" s="6"/>
      <c r="MI20" s="6"/>
      <c r="MJ20" s="6"/>
      <c r="MK20" s="6"/>
      <c r="ML20" s="6"/>
      <c r="MM20" s="6"/>
      <c r="MN20" s="6"/>
      <c r="MO20" s="6"/>
      <c r="MP20" s="6"/>
      <c r="MQ20" s="6"/>
      <c r="MR20" s="6"/>
      <c r="MS20" s="6"/>
      <c r="MT20" s="6"/>
      <c r="MU20" s="6"/>
      <c r="MV20" s="6"/>
      <c r="MW20" s="6"/>
      <c r="MX20" s="6"/>
      <c r="MY20" s="6"/>
      <c r="MZ20" s="6"/>
      <c r="NA20" s="6"/>
      <c r="NB20" s="6"/>
      <c r="NC20" s="6"/>
      <c r="ND20" s="6"/>
      <c r="NE20" s="6"/>
      <c r="NF20" s="6"/>
      <c r="NG20" s="6"/>
      <c r="NH20" s="6"/>
      <c r="NI20" s="6"/>
      <c r="NJ20" s="6"/>
      <c r="NK20" s="6"/>
      <c r="NL20" s="6"/>
      <c r="NM20" s="6"/>
      <c r="NN20" s="6"/>
      <c r="NO20" s="6"/>
      <c r="NP20" s="6"/>
      <c r="NQ20" s="6"/>
      <c r="NR20" s="6" t="s">
        <v>4</v>
      </c>
      <c r="NS20" s="6" t="s">
        <v>4</v>
      </c>
      <c r="NT20" s="6" t="s">
        <v>4</v>
      </c>
      <c r="NU20" s="6" t="s">
        <v>4</v>
      </c>
      <c r="NV20" s="6"/>
      <c r="NW20" s="6"/>
      <c r="NX20" s="6"/>
      <c r="NY20" s="6"/>
      <c r="NZ20" s="6"/>
      <c r="OA20" s="6"/>
      <c r="OB20" s="6"/>
      <c r="OC20" s="6"/>
      <c r="OD20" s="6"/>
      <c r="OE20" s="6"/>
      <c r="OF20" s="6"/>
      <c r="OG20" s="6"/>
      <c r="OH20" s="6"/>
      <c r="OI20" s="6"/>
      <c r="OJ20" s="6"/>
      <c r="OK20" s="6"/>
      <c r="OL20" s="6"/>
      <c r="OM20" s="6"/>
      <c r="ON20" s="6"/>
      <c r="OO20" s="6"/>
      <c r="OP20" s="6"/>
      <c r="OQ20" s="6"/>
      <c r="OR20" s="6"/>
      <c r="OS20" s="6"/>
      <c r="OT20" s="6"/>
      <c r="OU20" s="6"/>
      <c r="OV20" s="6"/>
      <c r="OW20" s="6"/>
      <c r="OX20" s="6"/>
      <c r="OY20" s="6"/>
      <c r="OZ20" s="6"/>
      <c r="PA20" s="6"/>
      <c r="PB20" s="6"/>
      <c r="PC20" s="6"/>
      <c r="PD20" s="6"/>
      <c r="PE20" s="6"/>
      <c r="PF20" s="6"/>
      <c r="PG20" s="6"/>
      <c r="PH20" s="6"/>
      <c r="PI20" s="6"/>
      <c r="PJ20" s="6"/>
      <c r="PK20" s="6"/>
      <c r="PL20" s="6"/>
      <c r="PM20" s="6"/>
      <c r="PN20" s="6"/>
      <c r="PO20" s="6"/>
      <c r="PP20" s="6"/>
      <c r="PQ20" s="6"/>
      <c r="PR20" s="6"/>
      <c r="PS20" s="6"/>
      <c r="PT20" s="6"/>
      <c r="PU20" s="6"/>
      <c r="PV20" s="6"/>
      <c r="PW20" s="6"/>
      <c r="PX20" s="6"/>
      <c r="PY20" s="6"/>
      <c r="PZ20" s="6"/>
      <c r="QA20" s="6"/>
      <c r="QB20" s="6"/>
      <c r="QC20" s="6"/>
      <c r="QD20" s="6"/>
      <c r="QE20" s="6"/>
      <c r="QF20" s="6"/>
      <c r="QG20" s="6"/>
      <c r="QH20" s="6"/>
      <c r="QI20" s="6"/>
      <c r="QJ20" s="6"/>
      <c r="QK20" s="6"/>
      <c r="QL20" s="6" t="s">
        <v>4</v>
      </c>
      <c r="QM20" s="6" t="s">
        <v>4</v>
      </c>
      <c r="QN20" s="6" t="s">
        <v>4</v>
      </c>
      <c r="QO20" s="6" t="s">
        <v>4</v>
      </c>
      <c r="QP20" s="6"/>
      <c r="QQ20" s="6"/>
      <c r="QR20" s="6"/>
      <c r="QS20" s="6"/>
      <c r="QT20" s="6"/>
      <c r="QU20" s="6"/>
      <c r="QV20" s="6"/>
      <c r="QW20" s="6"/>
      <c r="QX20" s="6"/>
      <c r="QY20" s="6"/>
      <c r="QZ20" s="6"/>
      <c r="RA20" s="6"/>
      <c r="RB20" s="6"/>
      <c r="RC20" s="6"/>
      <c r="RD20" s="6"/>
      <c r="RE20" s="6"/>
      <c r="RF20" s="6"/>
      <c r="RG20" s="6"/>
      <c r="RH20" s="6"/>
      <c r="RI20" s="6"/>
      <c r="RJ20" s="6"/>
      <c r="RK20" s="6"/>
      <c r="RL20" s="6"/>
      <c r="RM20" s="6"/>
      <c r="RN20" s="6"/>
      <c r="RO20" s="6"/>
      <c r="RP20" s="6"/>
      <c r="RQ20" s="6"/>
      <c r="RR20" s="6"/>
      <c r="RS20" s="6"/>
      <c r="RT20" s="6"/>
      <c r="RU20" s="6"/>
      <c r="RV20" s="6"/>
      <c r="RW20" s="6"/>
      <c r="RX20" s="6"/>
      <c r="RY20" s="6"/>
      <c r="RZ20" s="6"/>
      <c r="SA20" s="6"/>
      <c r="SB20" s="6"/>
      <c r="SC20" s="6"/>
      <c r="SD20" s="6"/>
      <c r="SE20" s="6"/>
      <c r="SF20" s="6"/>
      <c r="SG20" s="6"/>
      <c r="SH20" s="6"/>
      <c r="SI20" s="6"/>
      <c r="SJ20" s="6"/>
      <c r="SK20" s="6"/>
      <c r="SL20" s="6"/>
      <c r="SM20" s="6"/>
      <c r="SN20" s="6"/>
      <c r="SO20" s="6"/>
      <c r="SP20" s="6"/>
      <c r="SQ20" s="6"/>
      <c r="SR20" s="6"/>
      <c r="SS20" s="6"/>
      <c r="ST20" s="6"/>
      <c r="SU20" s="6"/>
      <c r="SV20" s="6"/>
      <c r="SW20" s="6"/>
      <c r="SX20" s="6"/>
      <c r="SY20" s="6"/>
      <c r="SZ20" s="6"/>
      <c r="TA20" s="6"/>
      <c r="TB20" s="6"/>
      <c r="TC20" s="6"/>
      <c r="TD20" s="6"/>
      <c r="TE20" s="6"/>
      <c r="TF20" s="6" t="s">
        <v>4</v>
      </c>
      <c r="TG20" s="6" t="s">
        <v>4</v>
      </c>
      <c r="TH20" s="6" t="s">
        <v>4</v>
      </c>
      <c r="TI20" s="6" t="s">
        <v>4</v>
      </c>
      <c r="TJ20" s="6"/>
      <c r="TK20" s="6"/>
      <c r="TL20" s="6"/>
      <c r="TM20" s="6"/>
      <c r="TN20" s="6"/>
      <c r="TO20" s="6"/>
      <c r="TP20" s="6"/>
      <c r="TQ20" s="6"/>
      <c r="TR20" s="6"/>
      <c r="TS20" s="6"/>
      <c r="TT20" s="6"/>
      <c r="TU20" s="6"/>
      <c r="TV20" s="6"/>
      <c r="TW20" s="6"/>
      <c r="TX20" s="6"/>
      <c r="TY20" s="6"/>
      <c r="TZ20" s="6"/>
      <c r="UA20" s="6"/>
      <c r="UB20" s="6"/>
      <c r="UC20" s="6"/>
      <c r="UD20" s="6"/>
      <c r="UE20" s="6"/>
      <c r="UF20" s="6"/>
      <c r="UG20" s="6"/>
      <c r="UH20" s="6"/>
      <c r="UI20" s="6"/>
      <c r="UJ20" s="6"/>
      <c r="UK20" s="6"/>
      <c r="UL20" s="6"/>
      <c r="UM20" s="6"/>
      <c r="UN20" s="6"/>
      <c r="UO20" s="6"/>
      <c r="UP20" s="6"/>
      <c r="UQ20" s="6"/>
      <c r="UR20" s="6"/>
      <c r="US20" s="6"/>
      <c r="UT20" s="6"/>
      <c r="UU20" s="6"/>
      <c r="UV20" s="6"/>
      <c r="UW20" s="6"/>
      <c r="UX20" s="6"/>
      <c r="UY20" s="6"/>
      <c r="UZ20" s="6"/>
      <c r="VA20" s="6"/>
      <c r="VB20" s="6"/>
      <c r="VC20" s="6"/>
      <c r="VD20" s="6"/>
      <c r="VE20" s="6"/>
      <c r="VF20" s="6"/>
      <c r="VG20" s="6"/>
      <c r="VH20" s="6"/>
      <c r="VI20" s="6"/>
      <c r="VJ20" s="6"/>
      <c r="VK20" s="6"/>
      <c r="VL20" s="6"/>
      <c r="VM20" s="6"/>
      <c r="VN20" s="6"/>
      <c r="VO20" s="6"/>
      <c r="VP20" s="6"/>
      <c r="VQ20" s="6"/>
      <c r="VR20" s="6"/>
      <c r="VS20" s="6"/>
      <c r="VT20" s="6"/>
      <c r="VU20" s="6"/>
      <c r="VV20" s="6"/>
      <c r="VW20" s="6"/>
      <c r="VX20" s="6"/>
      <c r="VY20" s="6"/>
      <c r="VZ20" s="6" t="s">
        <v>4</v>
      </c>
      <c r="WA20" s="6" t="s">
        <v>4</v>
      </c>
      <c r="WB20" s="6" t="s">
        <v>4</v>
      </c>
      <c r="WC20" s="6" t="s">
        <v>4</v>
      </c>
      <c r="WD20" s="6"/>
      <c r="WE20" s="6"/>
      <c r="WF20" s="6"/>
      <c r="WG20" s="6"/>
      <c r="WH20" s="6"/>
      <c r="WI20" s="6"/>
      <c r="WJ20" s="6"/>
      <c r="WK20" s="6"/>
      <c r="WL20" s="6"/>
      <c r="WM20" s="6"/>
      <c r="WN20" s="6"/>
      <c r="WO20" s="6"/>
      <c r="WP20" s="6"/>
      <c r="WQ20" s="6"/>
      <c r="WR20" s="6"/>
      <c r="WS20" s="6"/>
      <c r="WT20" s="6"/>
      <c r="WU20" s="6"/>
      <c r="WV20" s="6"/>
      <c r="WW20" s="6"/>
      <c r="WX20" s="6"/>
      <c r="WY20" s="6"/>
      <c r="WZ20" s="6"/>
      <c r="XA20" s="6"/>
      <c r="XB20" s="6"/>
      <c r="XC20" s="6"/>
      <c r="XD20" s="6"/>
      <c r="XE20" s="6"/>
      <c r="XF20" s="6"/>
      <c r="XG20" s="6"/>
      <c r="XH20" s="6"/>
      <c r="XI20" s="6"/>
      <c r="XJ20" s="6"/>
      <c r="XK20" s="6"/>
      <c r="XL20" s="6"/>
      <c r="XM20" s="6"/>
      <c r="XN20" s="6"/>
      <c r="XO20" s="6"/>
      <c r="XP20" s="6"/>
      <c r="XQ20" s="6"/>
      <c r="XR20" s="6"/>
      <c r="XS20" s="6"/>
      <c r="XT20" s="6"/>
      <c r="XU20" s="6"/>
      <c r="XV20" s="6"/>
      <c r="XW20" s="6"/>
      <c r="XX20" s="6"/>
      <c r="XY20" s="6"/>
      <c r="XZ20" s="6"/>
      <c r="YA20" s="6"/>
      <c r="YB20" s="6"/>
      <c r="YC20" s="6"/>
      <c r="YD20" s="6"/>
      <c r="YE20" s="6"/>
      <c r="YF20" s="6"/>
      <c r="YG20" s="6"/>
      <c r="YH20" s="6"/>
      <c r="YI20" s="6"/>
      <c r="YJ20" s="6"/>
      <c r="YK20" s="6"/>
      <c r="YL20" s="6"/>
      <c r="YM20" s="6"/>
      <c r="YN20" s="6"/>
      <c r="YO20" s="6"/>
      <c r="YP20" s="6"/>
      <c r="YQ20" s="6"/>
      <c r="YR20" s="6"/>
      <c r="YS20" s="6"/>
      <c r="YT20" s="6" t="s">
        <v>4</v>
      </c>
      <c r="YU20" s="6" t="s">
        <v>4</v>
      </c>
      <c r="YV20" s="6" t="s">
        <v>4</v>
      </c>
      <c r="YW20" s="6" t="s">
        <v>4</v>
      </c>
      <c r="YX20" s="6"/>
      <c r="YY20" s="6"/>
      <c r="YZ20" s="6"/>
      <c r="ZA20" s="6"/>
      <c r="ZB20" s="6"/>
      <c r="ZC20" s="6"/>
      <c r="ZD20" s="6"/>
      <c r="ZE20" s="6"/>
      <c r="ZF20" s="6"/>
      <c r="ZG20" s="6"/>
      <c r="ZH20" s="6"/>
      <c r="ZI20" s="6"/>
      <c r="ZJ20" s="6"/>
      <c r="ZK20" s="6"/>
      <c r="ZL20" s="6"/>
      <c r="ZM20" s="6"/>
      <c r="ZN20" s="6"/>
      <c r="ZO20" s="6"/>
      <c r="ZP20" s="6"/>
      <c r="ZQ20" s="6"/>
      <c r="ZR20" s="6"/>
      <c r="ZS20" s="6"/>
      <c r="ZT20" s="6"/>
      <c r="ZU20" s="6"/>
      <c r="ZV20" s="6"/>
      <c r="ZW20" s="6"/>
      <c r="ZX20" s="6"/>
      <c r="ZY20" s="6"/>
      <c r="ZZ20" s="6"/>
      <c r="AAA20" s="6"/>
      <c r="AAB20" s="6"/>
      <c r="AAC20" s="6"/>
      <c r="AAD20" s="6"/>
      <c r="AAE20" s="6"/>
      <c r="AAF20" s="6"/>
      <c r="AAG20" s="6"/>
      <c r="AAH20" s="6"/>
      <c r="AAI20" s="6"/>
      <c r="AAJ20" s="6"/>
      <c r="AAK20" s="6"/>
      <c r="AAL20" s="6"/>
      <c r="AAM20" s="6"/>
      <c r="AAN20" s="6"/>
      <c r="AAO20" s="6"/>
      <c r="AAP20" s="6"/>
      <c r="AAQ20" s="6"/>
      <c r="AAR20" s="6"/>
      <c r="AAS20" s="6"/>
      <c r="AAT20" s="6"/>
      <c r="AAU20" s="6"/>
      <c r="AAV20" s="6"/>
      <c r="AAW20" s="6"/>
      <c r="AAX20" s="6"/>
      <c r="AAY20" s="6"/>
      <c r="AAZ20" s="6"/>
      <c r="ABA20" s="6"/>
      <c r="ABB20" s="6"/>
      <c r="ABC20" s="6"/>
      <c r="ABD20" s="6"/>
      <c r="ABE20" s="6"/>
      <c r="ABF20" s="6"/>
      <c r="ABG20" s="6"/>
      <c r="ABH20" s="6"/>
      <c r="ABI20" s="6"/>
      <c r="ABJ20" s="6"/>
      <c r="ABK20" s="6"/>
      <c r="ABL20" s="6"/>
      <c r="ABM20" s="6"/>
      <c r="ABN20" s="6" t="s">
        <v>4</v>
      </c>
      <c r="ABO20" s="6" t="s">
        <v>4</v>
      </c>
      <c r="ABP20" s="6" t="s">
        <v>4</v>
      </c>
      <c r="ABQ20" s="6" t="s">
        <v>4</v>
      </c>
      <c r="ABR20" s="6"/>
      <c r="ABS20" s="6"/>
      <c r="ABT20" s="6"/>
      <c r="ABU20" s="6"/>
      <c r="ABV20" s="6"/>
      <c r="ABW20" s="6"/>
      <c r="ABX20" s="6"/>
      <c r="ABY20" s="6"/>
      <c r="ABZ20" s="6"/>
      <c r="ACA20" s="6"/>
      <c r="ACB20" s="6"/>
      <c r="ACC20" s="6"/>
      <c r="ACD20" s="6"/>
      <c r="ACE20" s="6"/>
      <c r="ACF20" s="6"/>
      <c r="ACG20" s="6"/>
      <c r="ACH20" s="6"/>
      <c r="ACI20" s="6"/>
      <c r="ACJ20" s="6"/>
      <c r="ACK20" s="6"/>
      <c r="ACL20" s="6"/>
      <c r="ACM20" s="6"/>
      <c r="ACN20" s="6"/>
      <c r="ACO20" s="6"/>
      <c r="ACP20" s="6"/>
      <c r="ACQ20" s="6"/>
      <c r="ACR20" s="6"/>
      <c r="ACS20" s="6"/>
      <c r="ACT20" s="6"/>
      <c r="ACU20" s="6"/>
      <c r="ACV20" s="6"/>
      <c r="ACW20" s="6"/>
      <c r="ACX20" s="6"/>
      <c r="ACY20" s="6"/>
      <c r="ACZ20" s="6"/>
      <c r="ADA20" s="6"/>
      <c r="ADB20" s="6"/>
      <c r="ADC20" s="6"/>
      <c r="ADD20" s="6"/>
      <c r="ADE20" s="6"/>
      <c r="ADF20" s="6"/>
      <c r="ADG20" s="6"/>
      <c r="ADH20" s="6"/>
      <c r="ADI20" s="6"/>
      <c r="ADJ20" s="6"/>
      <c r="ADK20" s="6"/>
      <c r="ADL20" s="6"/>
      <c r="ADM20" s="6"/>
      <c r="ADN20" s="6"/>
      <c r="ADO20" s="6"/>
      <c r="ADP20" s="6"/>
      <c r="ADQ20" s="6"/>
      <c r="ADR20" s="6"/>
      <c r="ADS20" s="6"/>
      <c r="ADT20" s="6"/>
      <c r="ADU20" s="6"/>
      <c r="ADV20" s="6"/>
      <c r="ADW20" s="6"/>
      <c r="ADX20" s="6"/>
      <c r="ADY20" s="6"/>
      <c r="ADZ20" s="6"/>
      <c r="AEA20" s="6"/>
      <c r="AEB20" s="6"/>
      <c r="AEC20" s="6"/>
      <c r="AED20" s="6"/>
      <c r="AEE20" s="6"/>
      <c r="AEF20" s="6"/>
      <c r="AEG20" s="6"/>
      <c r="AEH20" s="6" t="s">
        <v>4</v>
      </c>
      <c r="AEI20" s="6" t="s">
        <v>4</v>
      </c>
      <c r="AEJ20" s="6" t="s">
        <v>4</v>
      </c>
      <c r="AEK20" s="6" t="s">
        <v>4</v>
      </c>
      <c r="AEL20" s="6"/>
      <c r="AEM20" s="6"/>
      <c r="AEN20" s="6"/>
      <c r="AEO20" s="6"/>
      <c r="AEP20" s="6"/>
      <c r="AEQ20" s="6"/>
      <c r="AER20" s="6"/>
      <c r="AES20" s="6"/>
      <c r="AET20" s="6"/>
      <c r="AEU20" s="6"/>
      <c r="AEV20" s="6"/>
      <c r="AEW20" s="6"/>
      <c r="AEX20" s="6"/>
      <c r="AEY20" s="6"/>
      <c r="AEZ20" s="6"/>
      <c r="AFA20" s="6"/>
      <c r="AFB20" s="6"/>
      <c r="AFC20" s="6"/>
      <c r="AFD20" s="6"/>
      <c r="AFE20" s="6"/>
      <c r="AFF20" s="6"/>
      <c r="AFG20" s="6"/>
      <c r="AFH20" s="6"/>
      <c r="AFI20" s="6"/>
      <c r="AFJ20" s="6"/>
      <c r="AFK20" s="6"/>
      <c r="AFL20" s="6"/>
      <c r="AFM20" s="6"/>
      <c r="AFN20" s="6"/>
      <c r="AFO20" s="6"/>
      <c r="AFP20" s="6"/>
      <c r="AFQ20" s="6"/>
      <c r="AFR20" s="6"/>
      <c r="AFS20" s="6"/>
      <c r="AFT20" s="6"/>
      <c r="AFU20" s="6"/>
      <c r="AFV20" s="6"/>
      <c r="AFW20" s="6"/>
      <c r="AFX20" s="6"/>
      <c r="AFY20" s="6"/>
      <c r="AFZ20" s="6"/>
      <c r="AGA20" s="6"/>
      <c r="AGB20" s="6"/>
      <c r="AGC20" s="6"/>
      <c r="AGD20" s="6"/>
      <c r="AGE20" s="6"/>
      <c r="AGF20" s="6"/>
      <c r="AGG20" s="6"/>
      <c r="AGH20" s="6"/>
      <c r="AGI20" s="6"/>
      <c r="AGJ20" s="6"/>
      <c r="AGK20" s="6"/>
      <c r="AGL20" s="6"/>
      <c r="AGM20" s="6"/>
      <c r="AGN20" s="6"/>
      <c r="AGO20" s="6"/>
      <c r="AGP20" s="6"/>
      <c r="AGQ20" s="6"/>
      <c r="AGR20" s="6"/>
      <c r="AGS20" s="6"/>
      <c r="AGT20" s="6"/>
      <c r="AGU20" s="6"/>
      <c r="AGV20" s="6"/>
      <c r="AGW20" s="6"/>
      <c r="AGX20" s="6"/>
      <c r="AGY20" s="6"/>
      <c r="AGZ20" s="6"/>
      <c r="AHA20" s="6"/>
      <c r="AHB20" s="6" t="s">
        <v>4</v>
      </c>
      <c r="AHC20" s="6" t="s">
        <v>4</v>
      </c>
      <c r="AHD20" s="6" t="s">
        <v>4</v>
      </c>
      <c r="AHE20" s="6" t="s">
        <v>4</v>
      </c>
      <c r="AHF20" s="6"/>
      <c r="AHG20" s="6"/>
      <c r="AHH20" s="6"/>
      <c r="AHI20" s="6"/>
      <c r="AHJ20" s="6"/>
      <c r="AHK20" s="6"/>
      <c r="AHL20" s="6"/>
      <c r="AHM20" s="6"/>
      <c r="AHN20" s="6"/>
      <c r="AHO20" s="6"/>
      <c r="AHP20" s="6"/>
      <c r="AHQ20" s="6"/>
      <c r="AHR20" s="6"/>
      <c r="AHS20" s="6"/>
      <c r="AHT20" s="6"/>
      <c r="AHU20" s="6"/>
      <c r="AHV20" s="6"/>
      <c r="AHW20" s="6"/>
      <c r="AHX20" s="6"/>
      <c r="AHY20" s="6"/>
      <c r="AHZ20" s="6"/>
      <c r="AIA20" s="6"/>
      <c r="AIB20" s="6"/>
      <c r="AIC20" s="6"/>
      <c r="AID20" s="6"/>
      <c r="AIE20" s="6"/>
      <c r="AIF20" s="6"/>
      <c r="AIG20" s="6"/>
      <c r="AIH20" s="6"/>
      <c r="AII20" s="6"/>
      <c r="AIJ20" s="6"/>
      <c r="AIK20" s="6"/>
      <c r="AIL20" s="6"/>
      <c r="AIM20" s="6"/>
      <c r="AIN20" s="6"/>
      <c r="AIO20" s="6"/>
      <c r="AIP20" s="6"/>
      <c r="AIQ20" s="6"/>
      <c r="AIR20" s="6"/>
      <c r="AIS20" s="6"/>
      <c r="AIT20" s="6"/>
      <c r="AIU20" s="6"/>
      <c r="AIV20" s="6"/>
      <c r="AIW20" s="6"/>
      <c r="AIX20" s="6"/>
      <c r="AIY20" s="6"/>
      <c r="AIZ20" s="6"/>
      <c r="AJA20" s="6"/>
      <c r="AJB20" s="6"/>
      <c r="AJC20" s="6"/>
      <c r="AJD20" s="6"/>
      <c r="AJE20" s="6"/>
      <c r="AJF20" s="6"/>
      <c r="AJG20" s="6"/>
      <c r="AJH20" s="6"/>
      <c r="AJI20" s="6"/>
      <c r="AJJ20" s="6"/>
      <c r="AJK20" s="6"/>
      <c r="AJL20" s="6"/>
      <c r="AJM20" s="6"/>
      <c r="AJN20" s="6"/>
      <c r="AJO20" s="6"/>
      <c r="AJP20" s="6"/>
      <c r="AJQ20" s="6"/>
      <c r="AJR20" s="6"/>
      <c r="AJS20" s="6"/>
      <c r="AJT20" s="6"/>
      <c r="AJU20" s="6"/>
      <c r="AJV20" s="6" t="s">
        <v>4</v>
      </c>
      <c r="AJW20" s="6" t="s">
        <v>4</v>
      </c>
      <c r="AJX20" s="6" t="s">
        <v>4</v>
      </c>
      <c r="AJY20" s="6" t="s">
        <v>4</v>
      </c>
      <c r="AJZ20" s="6"/>
      <c r="AKA20" s="6"/>
      <c r="AKB20" s="6"/>
      <c r="AKC20" s="6"/>
      <c r="AKD20" s="6"/>
      <c r="AKE20" s="6"/>
      <c r="AKF20" s="6"/>
      <c r="AKG20" s="6"/>
      <c r="AKH20" s="6"/>
      <c r="AKI20" s="6"/>
      <c r="AKJ20" s="6"/>
      <c r="AKK20" s="6"/>
      <c r="AKL20" s="6"/>
      <c r="AKM20" s="6"/>
      <c r="AKN20" s="6"/>
      <c r="AKO20" s="6"/>
      <c r="AKP20" s="6"/>
      <c r="AKQ20" s="6"/>
      <c r="AKR20" s="6"/>
      <c r="AKS20" s="6"/>
      <c r="AKT20" s="6"/>
      <c r="AKU20" s="6"/>
      <c r="AKV20" s="6"/>
      <c r="AKW20" s="6"/>
      <c r="AKX20" s="6"/>
      <c r="AKY20" s="6"/>
      <c r="AKZ20" s="6"/>
      <c r="ALA20" s="6"/>
      <c r="ALB20" s="6"/>
      <c r="ALC20" s="6"/>
      <c r="ALD20" s="6"/>
      <c r="ALE20" s="6"/>
      <c r="ALF20" s="6"/>
      <c r="ALG20" s="6"/>
      <c r="ALH20" s="6"/>
      <c r="ALI20" s="6"/>
      <c r="ALJ20" s="6"/>
      <c r="ALK20" s="6"/>
      <c r="ALL20" s="6"/>
      <c r="ALM20" s="6"/>
      <c r="ALN20" s="6"/>
      <c r="ALO20" s="6"/>
      <c r="ALP20" s="6"/>
      <c r="ALQ20" s="6"/>
      <c r="ALR20" s="6"/>
      <c r="ALS20" s="6"/>
      <c r="ALT20" s="6"/>
      <c r="ALU20" s="6"/>
      <c r="ALV20" s="6"/>
      <c r="ALW20" s="6"/>
    </row>
    <row r="21" spans="2:1011" hidden="1" x14ac:dyDescent="0.25"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  <c r="AAB21" s="19"/>
      <c r="AAC21" s="19"/>
      <c r="AAD21" s="19"/>
      <c r="AAE21" s="19"/>
      <c r="AAF21" s="19"/>
      <c r="AAG21" s="19"/>
      <c r="AAH21" s="19"/>
      <c r="AAI21" s="19"/>
      <c r="AAJ21" s="19"/>
      <c r="AAK21" s="19"/>
      <c r="AAL21" s="19"/>
      <c r="AAM21" s="19"/>
      <c r="AAN21" s="19"/>
      <c r="AAO21" s="19"/>
      <c r="AAP21" s="19"/>
      <c r="AAQ21" s="19"/>
      <c r="AAR21" s="19"/>
      <c r="AAS21" s="19"/>
      <c r="AAT21" s="19"/>
      <c r="AAU21" s="19"/>
      <c r="AAV21" s="19"/>
      <c r="AAW21" s="19"/>
      <c r="AAX21" s="19"/>
      <c r="AAY21" s="19"/>
      <c r="AAZ21" s="19"/>
      <c r="ABA21" s="19"/>
      <c r="ABB21" s="19"/>
      <c r="ABC21" s="19"/>
      <c r="ABD21" s="19"/>
      <c r="ABE21" s="19"/>
      <c r="ABF21" s="19"/>
      <c r="ABG21" s="19"/>
      <c r="ABH21" s="19"/>
      <c r="ABI21" s="19"/>
      <c r="ABJ21" s="19"/>
      <c r="ABK21" s="19"/>
      <c r="ABL21" s="19"/>
      <c r="ABM21" s="19"/>
      <c r="ABN21" s="19"/>
      <c r="ABO21" s="19"/>
      <c r="ABP21" s="19"/>
      <c r="ABQ21" s="19"/>
      <c r="ABR21" s="19"/>
      <c r="ABS21" s="19"/>
      <c r="ABT21" s="19"/>
      <c r="ABU21" s="19"/>
      <c r="ABV21" s="19"/>
      <c r="ABW21" s="19"/>
      <c r="ABX21" s="19"/>
      <c r="ABY21" s="19"/>
      <c r="ABZ21" s="19"/>
      <c r="ACA21" s="19"/>
      <c r="ACB21" s="19"/>
      <c r="ACC21" s="19"/>
      <c r="ACD21" s="19"/>
      <c r="ACE21" s="19"/>
      <c r="ACF21" s="19"/>
      <c r="ACG21" s="19"/>
      <c r="ACH21" s="19"/>
      <c r="ACI21" s="19"/>
      <c r="ACJ21" s="19"/>
      <c r="ACK21" s="19"/>
      <c r="ACL21" s="19"/>
      <c r="ACM21" s="19"/>
      <c r="ACN21" s="19"/>
      <c r="ACO21" s="19"/>
      <c r="ACP21" s="19"/>
      <c r="ACQ21" s="19"/>
      <c r="ACR21" s="19"/>
      <c r="ACS21" s="19"/>
      <c r="ACT21" s="19"/>
      <c r="ACU21" s="19"/>
      <c r="ACV21" s="19"/>
      <c r="ACW21" s="19"/>
      <c r="ACX21" s="19"/>
      <c r="ACY21" s="19"/>
      <c r="ACZ21" s="19"/>
      <c r="ADA21" s="19"/>
      <c r="ADB21" s="19"/>
      <c r="ADC21" s="19"/>
      <c r="ADD21" s="19"/>
      <c r="ADE21" s="19"/>
      <c r="ADF21" s="19"/>
      <c r="ADG21" s="19"/>
      <c r="ADH21" s="19"/>
      <c r="ADI21" s="19"/>
      <c r="ADJ21" s="19"/>
      <c r="ADK21" s="19"/>
      <c r="ADL21" s="19"/>
      <c r="ADM21" s="19"/>
      <c r="ADN21" s="19"/>
      <c r="ADO21" s="19"/>
      <c r="ADP21" s="19"/>
      <c r="ADQ21" s="19"/>
      <c r="ADR21" s="19"/>
      <c r="ADS21" s="19"/>
      <c r="ADT21" s="19"/>
      <c r="ADU21" s="19"/>
      <c r="ADV21" s="19"/>
      <c r="ADW21" s="19"/>
      <c r="ADX21" s="19"/>
      <c r="ADY21" s="19"/>
      <c r="ADZ21" s="19"/>
      <c r="AEA21" s="19"/>
      <c r="AEB21" s="19"/>
      <c r="AEC21" s="19"/>
      <c r="AED21" s="19"/>
      <c r="AEE21" s="19"/>
      <c r="AEF21" s="19"/>
      <c r="AEG21" s="19"/>
      <c r="AEH21" s="19"/>
      <c r="AEI21" s="19"/>
      <c r="AEJ21" s="19"/>
      <c r="AEK21" s="19"/>
      <c r="AEL21" s="19"/>
      <c r="AEM21" s="19"/>
      <c r="AEN21" s="19"/>
      <c r="AEO21" s="19"/>
      <c r="AEP21" s="19"/>
      <c r="AEQ21" s="19"/>
      <c r="AER21" s="19"/>
      <c r="AES21" s="19"/>
      <c r="AET21" s="19"/>
      <c r="AEU21" s="19"/>
      <c r="AEV21" s="19"/>
      <c r="AEW21" s="19"/>
      <c r="AEX21" s="19"/>
      <c r="AEY21" s="19"/>
      <c r="AEZ21" s="19"/>
      <c r="AFA21" s="19"/>
      <c r="AFB21" s="19"/>
      <c r="AFC21" s="19"/>
      <c r="AFD21" s="19"/>
      <c r="AFE21" s="19"/>
      <c r="AFF21" s="19"/>
      <c r="AFG21" s="19"/>
      <c r="AFH21" s="19"/>
      <c r="AFI21" s="19"/>
      <c r="AFJ21" s="19"/>
      <c r="AFK21" s="19"/>
      <c r="AFL21" s="19"/>
      <c r="AFM21" s="19"/>
      <c r="AFN21" s="19"/>
      <c r="AFO21" s="19"/>
      <c r="AFP21" s="19"/>
      <c r="AFQ21" s="19"/>
      <c r="AFR21" s="19"/>
      <c r="AFS21" s="19"/>
      <c r="AFT21" s="19"/>
      <c r="AFU21" s="19"/>
      <c r="AFV21" s="19"/>
      <c r="AFW21" s="19"/>
      <c r="AFX21" s="19"/>
      <c r="AFY21" s="19"/>
      <c r="AFZ21" s="19"/>
      <c r="AGA21" s="19"/>
      <c r="AGB21" s="19"/>
      <c r="AGC21" s="19"/>
      <c r="AGD21" s="19"/>
      <c r="AGE21" s="19"/>
      <c r="AGF21" s="19"/>
      <c r="AGG21" s="19"/>
      <c r="AGH21" s="19"/>
      <c r="AGI21" s="19"/>
      <c r="AGJ21" s="19"/>
      <c r="AGK21" s="19"/>
      <c r="AGL21" s="19"/>
      <c r="AGM21" s="19"/>
      <c r="AGN21" s="19"/>
      <c r="AGO21" s="19"/>
      <c r="AGP21" s="19"/>
      <c r="AGQ21" s="19"/>
      <c r="AGR21" s="19"/>
      <c r="AGS21" s="19"/>
      <c r="AGT21" s="19"/>
      <c r="AGU21" s="19"/>
      <c r="AGV21" s="19"/>
      <c r="AGW21" s="19"/>
      <c r="AGX21" s="19"/>
      <c r="AGY21" s="19"/>
      <c r="AGZ21" s="19"/>
      <c r="AHA21" s="19"/>
      <c r="AHB21" s="19"/>
      <c r="AHC21" s="19"/>
      <c r="AHD21" s="19"/>
      <c r="AHE21" s="19"/>
      <c r="AHF21" s="19"/>
      <c r="AHG21" s="19"/>
      <c r="AHH21" s="19"/>
      <c r="AHI21" s="19"/>
      <c r="AHJ21" s="19"/>
      <c r="AHK21" s="19"/>
      <c r="AHL21" s="19"/>
      <c r="AHM21" s="19"/>
      <c r="AHN21" s="19"/>
      <c r="AHO21" s="19"/>
      <c r="AHP21" s="19"/>
      <c r="AHQ21" s="19"/>
      <c r="AHR21" s="19"/>
      <c r="AHS21" s="19"/>
      <c r="AHT21" s="19"/>
      <c r="AHU21" s="19"/>
      <c r="AHV21" s="19"/>
      <c r="AHW21" s="19"/>
      <c r="AHX21" s="19"/>
      <c r="AHY21" s="19"/>
      <c r="AHZ21" s="19"/>
      <c r="AIA21" s="19"/>
      <c r="AIB21" s="19"/>
      <c r="AIC21" s="19"/>
      <c r="AID21" s="19"/>
      <c r="AIE21" s="19"/>
      <c r="AIF21" s="19"/>
      <c r="AIG21" s="19"/>
      <c r="AIH21" s="19"/>
      <c r="AII21" s="19"/>
      <c r="AIJ21" s="19"/>
      <c r="AIK21" s="19"/>
      <c r="AIL21" s="19"/>
      <c r="AIM21" s="19"/>
      <c r="AIN21" s="19"/>
      <c r="AIO21" s="19"/>
      <c r="AIP21" s="19"/>
      <c r="AIQ21" s="19"/>
      <c r="AIR21" s="19"/>
      <c r="AIS21" s="19"/>
      <c r="AIT21" s="19"/>
      <c r="AIU21" s="19"/>
      <c r="AIV21" s="19"/>
      <c r="AIW21" s="19"/>
      <c r="AIX21" s="19"/>
      <c r="AIY21" s="19"/>
      <c r="AIZ21" s="19"/>
      <c r="AJA21" s="19"/>
      <c r="AJB21" s="19"/>
      <c r="AJC21" s="19"/>
      <c r="AJD21" s="19"/>
      <c r="AJE21" s="19"/>
      <c r="AJF21" s="19"/>
      <c r="AJG21" s="19"/>
      <c r="AJH21" s="19"/>
      <c r="AJI21" s="19"/>
      <c r="AJJ21" s="19"/>
      <c r="AJK21" s="19"/>
      <c r="AJL21" s="19"/>
      <c r="AJM21" s="19"/>
      <c r="AJN21" s="19"/>
      <c r="AJO21" s="19"/>
      <c r="AJP21" s="19"/>
      <c r="AJQ21" s="19"/>
      <c r="AJR21" s="19"/>
      <c r="AJS21" s="19"/>
      <c r="AJT21" s="19"/>
      <c r="AJU21" s="19"/>
      <c r="AJV21" s="19"/>
      <c r="AJW21" s="19"/>
      <c r="AJX21" s="19"/>
      <c r="AJY21" s="19"/>
      <c r="AJZ21" s="19"/>
      <c r="AKA21" s="19"/>
      <c r="AKB21" s="19"/>
      <c r="AKC21" s="19"/>
      <c r="AKD21" s="19"/>
      <c r="AKE21" s="19"/>
      <c r="AKF21" s="19"/>
      <c r="AKG21" s="19"/>
      <c r="AKH21" s="19"/>
      <c r="AKI21" s="19"/>
      <c r="AKJ21" s="19"/>
      <c r="AKK21" s="19"/>
      <c r="AKL21" s="19"/>
      <c r="AKM21" s="19"/>
      <c r="AKN21" s="19"/>
      <c r="AKO21" s="19"/>
      <c r="AKP21" s="19"/>
      <c r="AKQ21" s="19"/>
      <c r="AKR21" s="19"/>
      <c r="AKS21" s="19"/>
      <c r="AKT21" s="19"/>
      <c r="AKU21" s="19"/>
      <c r="AKV21" s="19"/>
      <c r="AKW21" s="19"/>
      <c r="AKX21" s="19"/>
      <c r="AKY21" s="19"/>
      <c r="AKZ21" s="19"/>
      <c r="ALA21" s="19"/>
      <c r="ALB21" s="19"/>
      <c r="ALC21" s="19"/>
      <c r="ALD21" s="19"/>
      <c r="ALE21" s="19"/>
      <c r="ALF21" s="19"/>
      <c r="ALG21" s="19"/>
      <c r="ALH21" s="19"/>
      <c r="ALI21" s="19"/>
      <c r="ALJ21" s="19"/>
      <c r="ALK21" s="19"/>
      <c r="ALL21" s="19"/>
      <c r="ALM21" s="19"/>
      <c r="ALN21" s="19"/>
      <c r="ALO21" s="19"/>
      <c r="ALP21" s="19"/>
      <c r="ALQ21" s="19"/>
      <c r="ALR21" s="19"/>
      <c r="ALS21" s="19"/>
      <c r="ALT21" s="19"/>
      <c r="ALU21" s="19"/>
      <c r="ALV21" s="19"/>
      <c r="ALW21" s="19"/>
    </row>
    <row r="22" spans="2:1011" hidden="1" x14ac:dyDescent="0.25">
      <c r="B22" s="9" t="s">
        <v>10</v>
      </c>
      <c r="C22" s="5"/>
      <c r="D22" s="6" t="str">
        <f>IF(D$23="M0","M0", "M1")</f>
        <v>M0</v>
      </c>
      <c r="E22" s="6" t="str">
        <f t="shared" ref="E22:BP22" si="1066">IF(E$23="M0","M0", "M1")</f>
        <v>M0</v>
      </c>
      <c r="F22" s="6" t="str">
        <f t="shared" si="1066"/>
        <v>M0</v>
      </c>
      <c r="G22" s="6" t="str">
        <f t="shared" si="1066"/>
        <v>M0</v>
      </c>
      <c r="H22" s="6" t="str">
        <f t="shared" si="1066"/>
        <v>M0</v>
      </c>
      <c r="I22" s="6" t="str">
        <f t="shared" si="1066"/>
        <v>M0</v>
      </c>
      <c r="J22" s="6" t="str">
        <f t="shared" si="1066"/>
        <v>M1</v>
      </c>
      <c r="K22" s="6" t="str">
        <f t="shared" si="1066"/>
        <v>M1</v>
      </c>
      <c r="L22" s="6" t="str">
        <f t="shared" si="1066"/>
        <v>M1</v>
      </c>
      <c r="M22" s="6" t="str">
        <f t="shared" si="1066"/>
        <v>M1</v>
      </c>
      <c r="N22" s="6" t="str">
        <f t="shared" si="1066"/>
        <v>M0</v>
      </c>
      <c r="O22" s="6" t="str">
        <f t="shared" si="1066"/>
        <v>M0</v>
      </c>
      <c r="P22" s="6" t="str">
        <f t="shared" si="1066"/>
        <v>M0</v>
      </c>
      <c r="Q22" s="6" t="str">
        <f t="shared" si="1066"/>
        <v>M0</v>
      </c>
      <c r="R22" s="6" t="str">
        <f t="shared" si="1066"/>
        <v>M0</v>
      </c>
      <c r="S22" s="6" t="str">
        <f t="shared" si="1066"/>
        <v>M0</v>
      </c>
      <c r="T22" s="6" t="str">
        <f t="shared" si="1066"/>
        <v>M0</v>
      </c>
      <c r="U22" s="6" t="str">
        <f t="shared" si="1066"/>
        <v>M0</v>
      </c>
      <c r="V22" s="6" t="str">
        <f t="shared" si="1066"/>
        <v>M0</v>
      </c>
      <c r="W22" s="6" t="str">
        <f t="shared" si="1066"/>
        <v>M0</v>
      </c>
      <c r="X22" s="6" t="str">
        <f t="shared" si="1066"/>
        <v>M0</v>
      </c>
      <c r="Y22" s="6" t="str">
        <f t="shared" si="1066"/>
        <v>M0</v>
      </c>
      <c r="Z22" s="6" t="str">
        <f t="shared" si="1066"/>
        <v>M0</v>
      </c>
      <c r="AA22" s="6" t="str">
        <f t="shared" si="1066"/>
        <v>M0</v>
      </c>
      <c r="AB22" s="6" t="str">
        <f t="shared" si="1066"/>
        <v>M0</v>
      </c>
      <c r="AC22" s="6" t="str">
        <f t="shared" si="1066"/>
        <v>M0</v>
      </c>
      <c r="AD22" s="6" t="str">
        <f t="shared" si="1066"/>
        <v>M0</v>
      </c>
      <c r="AE22" s="6" t="str">
        <f t="shared" si="1066"/>
        <v>M0</v>
      </c>
      <c r="AF22" s="6" t="str">
        <f t="shared" si="1066"/>
        <v>M0</v>
      </c>
      <c r="AG22" s="6" t="str">
        <f t="shared" si="1066"/>
        <v>M0</v>
      </c>
      <c r="AH22" s="6" t="str">
        <f t="shared" si="1066"/>
        <v>M0</v>
      </c>
      <c r="AI22" s="6" t="str">
        <f t="shared" si="1066"/>
        <v>M0</v>
      </c>
      <c r="AJ22" s="6" t="str">
        <f t="shared" si="1066"/>
        <v>M0</v>
      </c>
      <c r="AK22" s="6" t="str">
        <f t="shared" si="1066"/>
        <v>M0</v>
      </c>
      <c r="AL22" s="6" t="str">
        <f t="shared" si="1066"/>
        <v>M0</v>
      </c>
      <c r="AM22" s="6" t="str">
        <f t="shared" si="1066"/>
        <v>M0</v>
      </c>
      <c r="AN22" s="6" t="str">
        <f t="shared" si="1066"/>
        <v>M0</v>
      </c>
      <c r="AO22" s="6" t="str">
        <f t="shared" si="1066"/>
        <v>M0</v>
      </c>
      <c r="AP22" s="6" t="str">
        <f t="shared" si="1066"/>
        <v>M0</v>
      </c>
      <c r="AQ22" s="6" t="str">
        <f t="shared" si="1066"/>
        <v>M0</v>
      </c>
      <c r="AR22" s="6" t="str">
        <f t="shared" si="1066"/>
        <v>M0</v>
      </c>
      <c r="AS22" s="6" t="str">
        <f t="shared" si="1066"/>
        <v>M0</v>
      </c>
      <c r="AT22" s="6" t="str">
        <f t="shared" si="1066"/>
        <v>M0</v>
      </c>
      <c r="AU22" s="6" t="str">
        <f t="shared" si="1066"/>
        <v>M0</v>
      </c>
      <c r="AV22" s="6" t="str">
        <f t="shared" si="1066"/>
        <v>M0</v>
      </c>
      <c r="AW22" s="6" t="str">
        <f t="shared" si="1066"/>
        <v>M0</v>
      </c>
      <c r="AX22" s="6" t="str">
        <f t="shared" si="1066"/>
        <v>M0</v>
      </c>
      <c r="AY22" s="6" t="str">
        <f t="shared" si="1066"/>
        <v>M0</v>
      </c>
      <c r="AZ22" s="6" t="str">
        <f t="shared" si="1066"/>
        <v>M0</v>
      </c>
      <c r="BA22" s="6" t="str">
        <f t="shared" si="1066"/>
        <v>M0</v>
      </c>
      <c r="BB22" s="6" t="str">
        <f t="shared" si="1066"/>
        <v>M0</v>
      </c>
      <c r="BC22" s="6" t="str">
        <f t="shared" si="1066"/>
        <v>M0</v>
      </c>
      <c r="BD22" s="6" t="str">
        <f t="shared" si="1066"/>
        <v>M0</v>
      </c>
      <c r="BE22" s="6" t="str">
        <f t="shared" si="1066"/>
        <v>M0</v>
      </c>
      <c r="BF22" s="6" t="str">
        <f t="shared" si="1066"/>
        <v>M0</v>
      </c>
      <c r="BG22" s="6" t="str">
        <f t="shared" si="1066"/>
        <v>M0</v>
      </c>
      <c r="BH22" s="6" t="str">
        <f t="shared" si="1066"/>
        <v>M0</v>
      </c>
      <c r="BI22" s="6" t="str">
        <f t="shared" si="1066"/>
        <v>M0</v>
      </c>
      <c r="BJ22" s="6" t="str">
        <f t="shared" si="1066"/>
        <v>M0</v>
      </c>
      <c r="BK22" s="6" t="str">
        <f t="shared" si="1066"/>
        <v>M0</v>
      </c>
      <c r="BL22" s="6" t="str">
        <f t="shared" si="1066"/>
        <v>M0</v>
      </c>
      <c r="BM22" s="6" t="str">
        <f t="shared" si="1066"/>
        <v>M0</v>
      </c>
      <c r="BN22" s="6" t="str">
        <f t="shared" si="1066"/>
        <v>M0</v>
      </c>
      <c r="BO22" s="6" t="str">
        <f t="shared" si="1066"/>
        <v>M0</v>
      </c>
      <c r="BP22" s="6" t="str">
        <f t="shared" si="1066"/>
        <v>M0</v>
      </c>
      <c r="BQ22" s="6" t="str">
        <f t="shared" ref="BQ22:EB22" si="1067">IF(BQ$23="M0","M0", "M1")</f>
        <v>M0</v>
      </c>
      <c r="BR22" s="6" t="str">
        <f t="shared" si="1067"/>
        <v>M0</v>
      </c>
      <c r="BS22" s="6" t="str">
        <f t="shared" si="1067"/>
        <v>M0</v>
      </c>
      <c r="BT22" s="6" t="str">
        <f t="shared" si="1067"/>
        <v>M0</v>
      </c>
      <c r="BU22" s="6" t="str">
        <f t="shared" si="1067"/>
        <v>M0</v>
      </c>
      <c r="BV22" s="6" t="str">
        <f t="shared" si="1067"/>
        <v>M0</v>
      </c>
      <c r="BW22" s="6" t="str">
        <f t="shared" si="1067"/>
        <v>M0</v>
      </c>
      <c r="BX22" s="6" t="str">
        <f t="shared" si="1067"/>
        <v>M0</v>
      </c>
      <c r="BY22" s="6" t="str">
        <f t="shared" si="1067"/>
        <v>M1</v>
      </c>
      <c r="BZ22" s="6" t="str">
        <f t="shared" si="1067"/>
        <v>M1</v>
      </c>
      <c r="CA22" s="6" t="str">
        <f t="shared" si="1067"/>
        <v>M1</v>
      </c>
      <c r="CB22" s="6" t="str">
        <f t="shared" si="1067"/>
        <v>M0</v>
      </c>
      <c r="CC22" s="6" t="str">
        <f t="shared" si="1067"/>
        <v>M0</v>
      </c>
      <c r="CD22" s="6" t="str">
        <f t="shared" si="1067"/>
        <v>M0</v>
      </c>
      <c r="CE22" s="6" t="str">
        <f t="shared" si="1067"/>
        <v>M0</v>
      </c>
      <c r="CF22" s="6" t="str">
        <f t="shared" si="1067"/>
        <v>M0</v>
      </c>
      <c r="CG22" s="6" t="str">
        <f t="shared" si="1067"/>
        <v>M0</v>
      </c>
      <c r="CH22" s="6" t="str">
        <f t="shared" si="1067"/>
        <v>M0</v>
      </c>
      <c r="CI22" s="6" t="str">
        <f t="shared" si="1067"/>
        <v>M0</v>
      </c>
      <c r="CJ22" s="6" t="str">
        <f t="shared" si="1067"/>
        <v>M0</v>
      </c>
      <c r="CK22" s="6" t="str">
        <f t="shared" si="1067"/>
        <v>M0</v>
      </c>
      <c r="CL22" s="6" t="str">
        <f t="shared" si="1067"/>
        <v>M0</v>
      </c>
      <c r="CM22" s="6" t="str">
        <f t="shared" si="1067"/>
        <v>M0</v>
      </c>
      <c r="CN22" s="6" t="str">
        <f t="shared" si="1067"/>
        <v>M0</v>
      </c>
      <c r="CO22" s="6" t="str">
        <f t="shared" si="1067"/>
        <v>M0</v>
      </c>
      <c r="CP22" s="6" t="str">
        <f t="shared" si="1067"/>
        <v>M0</v>
      </c>
      <c r="CQ22" s="6" t="str">
        <f t="shared" si="1067"/>
        <v>M0</v>
      </c>
      <c r="CR22" s="6" t="str">
        <f t="shared" si="1067"/>
        <v>M0</v>
      </c>
      <c r="CS22" s="6" t="str">
        <f t="shared" si="1067"/>
        <v>M0</v>
      </c>
      <c r="CT22" s="6" t="str">
        <f t="shared" si="1067"/>
        <v>M0</v>
      </c>
      <c r="CU22" s="6" t="str">
        <f t="shared" si="1067"/>
        <v>M0</v>
      </c>
      <c r="CV22" s="6" t="str">
        <f t="shared" si="1067"/>
        <v>M0</v>
      </c>
      <c r="CW22" s="6" t="str">
        <f t="shared" si="1067"/>
        <v>M0</v>
      </c>
      <c r="CX22" s="6" t="str">
        <f t="shared" si="1067"/>
        <v>M0</v>
      </c>
      <c r="CY22" s="6" t="str">
        <f t="shared" si="1067"/>
        <v>M0</v>
      </c>
      <c r="CZ22" s="6" t="str">
        <f t="shared" si="1067"/>
        <v>M0</v>
      </c>
      <c r="DA22" s="6" t="str">
        <f t="shared" si="1067"/>
        <v>M0</v>
      </c>
      <c r="DB22" s="6" t="str">
        <f t="shared" si="1067"/>
        <v>M0</v>
      </c>
      <c r="DC22" s="6" t="str">
        <f t="shared" si="1067"/>
        <v>M0</v>
      </c>
      <c r="DD22" s="6" t="str">
        <f t="shared" si="1067"/>
        <v>M0</v>
      </c>
      <c r="DE22" s="6" t="str">
        <f t="shared" si="1067"/>
        <v>M0</v>
      </c>
      <c r="DF22" s="6" t="str">
        <f t="shared" si="1067"/>
        <v>M0</v>
      </c>
      <c r="DG22" s="6" t="str">
        <f t="shared" si="1067"/>
        <v>M0</v>
      </c>
      <c r="DH22" s="6" t="str">
        <f t="shared" si="1067"/>
        <v>M0</v>
      </c>
      <c r="DI22" s="6" t="str">
        <f t="shared" si="1067"/>
        <v>M0</v>
      </c>
      <c r="DJ22" s="6" t="str">
        <f t="shared" si="1067"/>
        <v>M0</v>
      </c>
      <c r="DK22" s="6" t="str">
        <f t="shared" si="1067"/>
        <v>M0</v>
      </c>
      <c r="DL22" s="6" t="str">
        <f t="shared" si="1067"/>
        <v>M0</v>
      </c>
      <c r="DM22" s="6" t="str">
        <f t="shared" si="1067"/>
        <v>M0</v>
      </c>
      <c r="DN22" s="6" t="str">
        <f t="shared" si="1067"/>
        <v>M0</v>
      </c>
      <c r="DO22" s="6" t="str">
        <f t="shared" si="1067"/>
        <v>M0</v>
      </c>
      <c r="DP22" s="6" t="str">
        <f t="shared" si="1067"/>
        <v>M0</v>
      </c>
      <c r="DQ22" s="6" t="str">
        <f t="shared" si="1067"/>
        <v>M0</v>
      </c>
      <c r="DR22" s="6" t="str">
        <f t="shared" si="1067"/>
        <v>M0</v>
      </c>
      <c r="DS22" s="6" t="str">
        <f t="shared" si="1067"/>
        <v>M0</v>
      </c>
      <c r="DT22" s="6" t="str">
        <f t="shared" si="1067"/>
        <v>M0</v>
      </c>
      <c r="DU22" s="6" t="str">
        <f t="shared" si="1067"/>
        <v>M0</v>
      </c>
      <c r="DV22" s="6" t="str">
        <f t="shared" si="1067"/>
        <v>M0</v>
      </c>
      <c r="DW22" s="6" t="str">
        <f t="shared" si="1067"/>
        <v>M0</v>
      </c>
      <c r="DX22" s="6" t="str">
        <f t="shared" si="1067"/>
        <v>M0</v>
      </c>
      <c r="DY22" s="6" t="str">
        <f t="shared" si="1067"/>
        <v>M0</v>
      </c>
      <c r="DZ22" s="6" t="str">
        <f t="shared" si="1067"/>
        <v>M0</v>
      </c>
      <c r="EA22" s="6" t="str">
        <f t="shared" si="1067"/>
        <v>M0</v>
      </c>
      <c r="EB22" s="6" t="str">
        <f t="shared" si="1067"/>
        <v>M0</v>
      </c>
      <c r="EC22" s="6" t="str">
        <f t="shared" ref="EC22:GN22" si="1068">IF(EC$23="M0","M0", "M1")</f>
        <v>M0</v>
      </c>
      <c r="ED22" s="6" t="str">
        <f t="shared" si="1068"/>
        <v>M0</v>
      </c>
      <c r="EE22" s="6" t="str">
        <f t="shared" si="1068"/>
        <v>M0</v>
      </c>
      <c r="EF22" s="6" t="str">
        <f t="shared" si="1068"/>
        <v>M0</v>
      </c>
      <c r="EG22" s="6" t="str">
        <f t="shared" si="1068"/>
        <v>M0</v>
      </c>
      <c r="EH22" s="6" t="str">
        <f t="shared" si="1068"/>
        <v>M0</v>
      </c>
      <c r="EI22" s="6" t="str">
        <f t="shared" si="1068"/>
        <v>M0</v>
      </c>
      <c r="EJ22" s="6" t="str">
        <f t="shared" si="1068"/>
        <v>M0</v>
      </c>
      <c r="EK22" s="6" t="str">
        <f t="shared" si="1068"/>
        <v>M0</v>
      </c>
      <c r="EL22" s="6" t="str">
        <f t="shared" si="1068"/>
        <v>M0</v>
      </c>
      <c r="EM22" s="6" t="str">
        <f t="shared" si="1068"/>
        <v>M0</v>
      </c>
      <c r="EN22" s="6" t="str">
        <f t="shared" si="1068"/>
        <v>M0</v>
      </c>
      <c r="EO22" s="6" t="str">
        <f t="shared" si="1068"/>
        <v>M0</v>
      </c>
      <c r="EP22" s="6" t="str">
        <f t="shared" si="1068"/>
        <v>M0</v>
      </c>
      <c r="EQ22" s="6" t="str">
        <f t="shared" si="1068"/>
        <v>M0</v>
      </c>
      <c r="ER22" s="6" t="str">
        <f t="shared" si="1068"/>
        <v>M0</v>
      </c>
      <c r="ES22" s="6" t="str">
        <f t="shared" si="1068"/>
        <v>M0</v>
      </c>
      <c r="ET22" s="6" t="str">
        <f t="shared" si="1068"/>
        <v>M0</v>
      </c>
      <c r="EU22" s="6" t="str">
        <f t="shared" si="1068"/>
        <v>M0</v>
      </c>
      <c r="EV22" s="6" t="str">
        <f t="shared" si="1068"/>
        <v>M0</v>
      </c>
      <c r="EW22" s="6" t="str">
        <f t="shared" si="1068"/>
        <v>M0</v>
      </c>
      <c r="EX22" s="6" t="str">
        <f t="shared" si="1068"/>
        <v>M0</v>
      </c>
      <c r="EY22" s="6" t="str">
        <f t="shared" si="1068"/>
        <v>M0</v>
      </c>
      <c r="EZ22" s="6" t="str">
        <f t="shared" si="1068"/>
        <v>M0</v>
      </c>
      <c r="FA22" s="6" t="str">
        <f t="shared" si="1068"/>
        <v>M0</v>
      </c>
      <c r="FB22" s="6" t="str">
        <f t="shared" si="1068"/>
        <v>M0</v>
      </c>
      <c r="FC22" s="6" t="str">
        <f t="shared" si="1068"/>
        <v>M0</v>
      </c>
      <c r="FD22" s="6" t="str">
        <f t="shared" si="1068"/>
        <v>M0</v>
      </c>
      <c r="FE22" s="6" t="str">
        <f t="shared" si="1068"/>
        <v>M0</v>
      </c>
      <c r="FF22" s="6" t="str">
        <f t="shared" si="1068"/>
        <v>M0</v>
      </c>
      <c r="FG22" s="6" t="str">
        <f t="shared" si="1068"/>
        <v>M0</v>
      </c>
      <c r="FH22" s="6" t="str">
        <f t="shared" si="1068"/>
        <v>M0</v>
      </c>
      <c r="FI22" s="6" t="str">
        <f t="shared" si="1068"/>
        <v>M0</v>
      </c>
      <c r="FJ22" s="6" t="str">
        <f t="shared" si="1068"/>
        <v>M0</v>
      </c>
      <c r="FK22" s="6" t="str">
        <f t="shared" si="1068"/>
        <v>M0</v>
      </c>
      <c r="FL22" s="6" t="str">
        <f t="shared" si="1068"/>
        <v>M0</v>
      </c>
      <c r="FM22" s="6" t="str">
        <f t="shared" si="1068"/>
        <v>M0</v>
      </c>
      <c r="FN22" s="6" t="str">
        <f t="shared" si="1068"/>
        <v>M0</v>
      </c>
      <c r="FO22" s="6" t="str">
        <f t="shared" si="1068"/>
        <v>M0</v>
      </c>
      <c r="FP22" s="6" t="str">
        <f t="shared" si="1068"/>
        <v>M0</v>
      </c>
      <c r="FQ22" s="6" t="str">
        <f t="shared" si="1068"/>
        <v>M0</v>
      </c>
      <c r="FR22" s="6" t="str">
        <f t="shared" si="1068"/>
        <v>M0</v>
      </c>
      <c r="FS22" s="6" t="str">
        <f t="shared" si="1068"/>
        <v>M0</v>
      </c>
      <c r="FT22" s="6" t="str">
        <f t="shared" si="1068"/>
        <v>M0</v>
      </c>
      <c r="FU22" s="6" t="str">
        <f t="shared" si="1068"/>
        <v>M0</v>
      </c>
      <c r="FV22" s="6" t="str">
        <f t="shared" si="1068"/>
        <v>M0</v>
      </c>
      <c r="FW22" s="6" t="str">
        <f t="shared" si="1068"/>
        <v>M0</v>
      </c>
      <c r="FX22" s="6" t="str">
        <f t="shared" si="1068"/>
        <v>M0</v>
      </c>
      <c r="FY22" s="6" t="str">
        <f t="shared" si="1068"/>
        <v>M0</v>
      </c>
      <c r="FZ22" s="6" t="str">
        <f t="shared" si="1068"/>
        <v>M0</v>
      </c>
      <c r="GA22" s="6" t="str">
        <f t="shared" si="1068"/>
        <v>M0</v>
      </c>
      <c r="GB22" s="6" t="str">
        <f t="shared" si="1068"/>
        <v>M0</v>
      </c>
      <c r="GC22" s="6" t="str">
        <f t="shared" si="1068"/>
        <v>M0</v>
      </c>
      <c r="GD22" s="6" t="str">
        <f t="shared" si="1068"/>
        <v>M0</v>
      </c>
      <c r="GE22" s="6" t="str">
        <f t="shared" si="1068"/>
        <v>M0</v>
      </c>
      <c r="GF22" s="6" t="str">
        <f t="shared" si="1068"/>
        <v>M0</v>
      </c>
      <c r="GG22" s="6" t="str">
        <f t="shared" si="1068"/>
        <v>M0</v>
      </c>
      <c r="GH22" s="6" t="str">
        <f t="shared" si="1068"/>
        <v>M0</v>
      </c>
      <c r="GI22" s="6" t="str">
        <f t="shared" si="1068"/>
        <v>M0</v>
      </c>
      <c r="GJ22" s="6" t="str">
        <f t="shared" si="1068"/>
        <v>M0</v>
      </c>
      <c r="GK22" s="6" t="str">
        <f t="shared" si="1068"/>
        <v>M0</v>
      </c>
      <c r="GL22" s="6" t="str">
        <f t="shared" si="1068"/>
        <v>M0</v>
      </c>
      <c r="GM22" s="6" t="str">
        <f t="shared" si="1068"/>
        <v>M0</v>
      </c>
      <c r="GN22" s="6" t="str">
        <f t="shared" si="1068"/>
        <v>M1</v>
      </c>
      <c r="GO22" s="6" t="str">
        <f t="shared" ref="GO22:IZ22" si="1069">IF(GO$23="M0","M0", "M1")</f>
        <v>M1</v>
      </c>
      <c r="GP22" s="6" t="str">
        <f t="shared" si="1069"/>
        <v>M1</v>
      </c>
      <c r="GQ22" s="6" t="str">
        <f t="shared" si="1069"/>
        <v>M0</v>
      </c>
      <c r="GR22" s="6" t="str">
        <f t="shared" si="1069"/>
        <v>M0</v>
      </c>
      <c r="GS22" s="6" t="str">
        <f t="shared" si="1069"/>
        <v>M0</v>
      </c>
      <c r="GT22" s="6" t="str">
        <f t="shared" si="1069"/>
        <v>M0</v>
      </c>
      <c r="GU22" s="6" t="str">
        <f t="shared" si="1069"/>
        <v>M0</v>
      </c>
      <c r="GV22" s="6" t="str">
        <f t="shared" si="1069"/>
        <v>M0</v>
      </c>
      <c r="GW22" s="6" t="str">
        <f t="shared" si="1069"/>
        <v>M0</v>
      </c>
      <c r="GX22" s="6" t="str">
        <f t="shared" si="1069"/>
        <v>M0</v>
      </c>
      <c r="GY22" s="6" t="str">
        <f t="shared" si="1069"/>
        <v>M0</v>
      </c>
      <c r="GZ22" s="6" t="str">
        <f t="shared" si="1069"/>
        <v>M0</v>
      </c>
      <c r="HA22" s="6" t="str">
        <f t="shared" si="1069"/>
        <v>M0</v>
      </c>
      <c r="HB22" s="6" t="str">
        <f t="shared" si="1069"/>
        <v>M0</v>
      </c>
      <c r="HC22" s="6" t="str">
        <f t="shared" si="1069"/>
        <v>M0</v>
      </c>
      <c r="HD22" s="6" t="str">
        <f t="shared" si="1069"/>
        <v>M0</v>
      </c>
      <c r="HE22" s="6" t="str">
        <f t="shared" si="1069"/>
        <v>M0</v>
      </c>
      <c r="HF22" s="6" t="str">
        <f t="shared" si="1069"/>
        <v>M0</v>
      </c>
      <c r="HG22" s="6" t="str">
        <f t="shared" si="1069"/>
        <v>M0</v>
      </c>
      <c r="HH22" s="6" t="str">
        <f t="shared" si="1069"/>
        <v>M0</v>
      </c>
      <c r="HI22" s="6" t="str">
        <f t="shared" si="1069"/>
        <v>M0</v>
      </c>
      <c r="HJ22" s="6" t="str">
        <f t="shared" si="1069"/>
        <v>M0</v>
      </c>
      <c r="HK22" s="6" t="str">
        <f t="shared" si="1069"/>
        <v>M0</v>
      </c>
      <c r="HL22" s="6" t="str">
        <f t="shared" si="1069"/>
        <v>M0</v>
      </c>
      <c r="HM22" s="6" t="str">
        <f t="shared" si="1069"/>
        <v>M0</v>
      </c>
      <c r="HN22" s="6" t="str">
        <f t="shared" si="1069"/>
        <v>M0</v>
      </c>
      <c r="HO22" s="6" t="str">
        <f t="shared" si="1069"/>
        <v>M0</v>
      </c>
      <c r="HP22" s="6" t="str">
        <f t="shared" si="1069"/>
        <v>M0</v>
      </c>
      <c r="HQ22" s="6" t="str">
        <f t="shared" si="1069"/>
        <v>M0</v>
      </c>
      <c r="HR22" s="6" t="str">
        <f t="shared" si="1069"/>
        <v>M0</v>
      </c>
      <c r="HS22" s="6" t="str">
        <f t="shared" si="1069"/>
        <v>M0</v>
      </c>
      <c r="HT22" s="6" t="str">
        <f t="shared" si="1069"/>
        <v>M0</v>
      </c>
      <c r="HU22" s="6" t="str">
        <f t="shared" si="1069"/>
        <v>M0</v>
      </c>
      <c r="HV22" s="6" t="str">
        <f t="shared" si="1069"/>
        <v>M0</v>
      </c>
      <c r="HW22" s="6" t="str">
        <f t="shared" si="1069"/>
        <v>M0</v>
      </c>
      <c r="HX22" s="6" t="str">
        <f t="shared" si="1069"/>
        <v>M0</v>
      </c>
      <c r="HY22" s="6" t="str">
        <f t="shared" si="1069"/>
        <v>M0</v>
      </c>
      <c r="HZ22" s="6" t="str">
        <f t="shared" si="1069"/>
        <v>M0</v>
      </c>
      <c r="IA22" s="6" t="str">
        <f t="shared" si="1069"/>
        <v>M0</v>
      </c>
      <c r="IB22" s="6" t="str">
        <f t="shared" si="1069"/>
        <v>M0</v>
      </c>
      <c r="IC22" s="6" t="str">
        <f t="shared" si="1069"/>
        <v>M0</v>
      </c>
      <c r="ID22" s="6" t="str">
        <f t="shared" si="1069"/>
        <v>M0</v>
      </c>
      <c r="IE22" s="6" t="str">
        <f t="shared" si="1069"/>
        <v>M0</v>
      </c>
      <c r="IF22" s="6" t="str">
        <f t="shared" si="1069"/>
        <v>M0</v>
      </c>
      <c r="IG22" s="6" t="str">
        <f t="shared" si="1069"/>
        <v>M0</v>
      </c>
      <c r="IH22" s="6" t="str">
        <f t="shared" si="1069"/>
        <v>M0</v>
      </c>
      <c r="II22" s="6" t="str">
        <f t="shared" si="1069"/>
        <v>M0</v>
      </c>
      <c r="IJ22" s="6" t="str">
        <f t="shared" si="1069"/>
        <v>M0</v>
      </c>
      <c r="IK22" s="6" t="str">
        <f t="shared" si="1069"/>
        <v>M0</v>
      </c>
      <c r="IL22" s="6" t="str">
        <f t="shared" si="1069"/>
        <v>M0</v>
      </c>
      <c r="IM22" s="6" t="str">
        <f t="shared" si="1069"/>
        <v>M0</v>
      </c>
      <c r="IN22" s="6" t="str">
        <f t="shared" si="1069"/>
        <v>M0</v>
      </c>
      <c r="IO22" s="6" t="str">
        <f t="shared" si="1069"/>
        <v>M0</v>
      </c>
      <c r="IP22" s="6" t="str">
        <f t="shared" si="1069"/>
        <v>M0</v>
      </c>
      <c r="IQ22" s="6" t="str">
        <f t="shared" si="1069"/>
        <v>M0</v>
      </c>
      <c r="IR22" s="6" t="str">
        <f t="shared" si="1069"/>
        <v>M0</v>
      </c>
      <c r="IS22" s="6" t="str">
        <f t="shared" si="1069"/>
        <v>M0</v>
      </c>
      <c r="IT22" s="6" t="str">
        <f t="shared" si="1069"/>
        <v>M0</v>
      </c>
      <c r="IU22" s="6" t="str">
        <f t="shared" si="1069"/>
        <v>M0</v>
      </c>
      <c r="IV22" s="6" t="str">
        <f t="shared" si="1069"/>
        <v>M0</v>
      </c>
      <c r="IW22" s="6" t="str">
        <f t="shared" si="1069"/>
        <v>M0</v>
      </c>
      <c r="IX22" s="6" t="str">
        <f t="shared" si="1069"/>
        <v>M0</v>
      </c>
      <c r="IY22" s="6" t="str">
        <f t="shared" si="1069"/>
        <v>M0</v>
      </c>
      <c r="IZ22" s="6" t="str">
        <f t="shared" si="1069"/>
        <v>M0</v>
      </c>
      <c r="JA22" s="6" t="str">
        <f t="shared" ref="JA22:LL22" si="1070">IF(JA$23="M0","M0", "M1")</f>
        <v>M0</v>
      </c>
      <c r="JB22" s="6" t="str">
        <f t="shared" si="1070"/>
        <v>M0</v>
      </c>
      <c r="JC22" s="6" t="str">
        <f t="shared" si="1070"/>
        <v>M0</v>
      </c>
      <c r="JD22" s="6" t="str">
        <f t="shared" si="1070"/>
        <v>M0</v>
      </c>
      <c r="JE22" s="6" t="str">
        <f t="shared" si="1070"/>
        <v>M0</v>
      </c>
      <c r="JF22" s="6" t="str">
        <f t="shared" si="1070"/>
        <v>M0</v>
      </c>
      <c r="JG22" s="6" t="str">
        <f t="shared" si="1070"/>
        <v>M0</v>
      </c>
      <c r="JH22" s="6" t="str">
        <f t="shared" si="1070"/>
        <v>M0</v>
      </c>
      <c r="JI22" s="6" t="str">
        <f t="shared" si="1070"/>
        <v>M0</v>
      </c>
      <c r="JJ22" s="6" t="str">
        <f t="shared" si="1070"/>
        <v>M0</v>
      </c>
      <c r="JK22" s="6" t="str">
        <f t="shared" si="1070"/>
        <v>M0</v>
      </c>
      <c r="JL22" s="6" t="str">
        <f t="shared" si="1070"/>
        <v>M0</v>
      </c>
      <c r="JM22" s="6" t="str">
        <f t="shared" si="1070"/>
        <v>M0</v>
      </c>
      <c r="JN22" s="6" t="str">
        <f t="shared" si="1070"/>
        <v>M0</v>
      </c>
      <c r="JO22" s="6" t="str">
        <f t="shared" si="1070"/>
        <v>M0</v>
      </c>
      <c r="JP22" s="6" t="str">
        <f t="shared" si="1070"/>
        <v>M0</v>
      </c>
      <c r="JQ22" s="6" t="str">
        <f t="shared" si="1070"/>
        <v>M0</v>
      </c>
      <c r="JR22" s="6" t="str">
        <f t="shared" si="1070"/>
        <v>M1</v>
      </c>
      <c r="JS22" s="6" t="str">
        <f t="shared" si="1070"/>
        <v>M1</v>
      </c>
      <c r="JT22" s="6" t="str">
        <f t="shared" si="1070"/>
        <v>M1</v>
      </c>
      <c r="JU22" s="6" t="str">
        <f t="shared" si="1070"/>
        <v>M0</v>
      </c>
      <c r="JV22" s="6" t="str">
        <f t="shared" si="1070"/>
        <v>M0</v>
      </c>
      <c r="JW22" s="6" t="str">
        <f t="shared" si="1070"/>
        <v>M0</v>
      </c>
      <c r="JX22" s="6" t="str">
        <f t="shared" si="1070"/>
        <v>M0</v>
      </c>
      <c r="JY22" s="6" t="str">
        <f t="shared" si="1070"/>
        <v>M0</v>
      </c>
      <c r="JZ22" s="6" t="str">
        <f t="shared" si="1070"/>
        <v>M0</v>
      </c>
      <c r="KA22" s="6" t="str">
        <f t="shared" si="1070"/>
        <v>M0</v>
      </c>
      <c r="KB22" s="6" t="str">
        <f t="shared" si="1070"/>
        <v>M0</v>
      </c>
      <c r="KC22" s="6" t="str">
        <f t="shared" si="1070"/>
        <v>M0</v>
      </c>
      <c r="KD22" s="6" t="str">
        <f t="shared" si="1070"/>
        <v>M0</v>
      </c>
      <c r="KE22" s="6" t="str">
        <f t="shared" si="1070"/>
        <v>M0</v>
      </c>
      <c r="KF22" s="6" t="str">
        <f t="shared" si="1070"/>
        <v>M0</v>
      </c>
      <c r="KG22" s="6" t="str">
        <f t="shared" si="1070"/>
        <v>M0</v>
      </c>
      <c r="KH22" s="6" t="str">
        <f t="shared" si="1070"/>
        <v>M0</v>
      </c>
      <c r="KI22" s="6" t="str">
        <f t="shared" si="1070"/>
        <v>M0</v>
      </c>
      <c r="KJ22" s="6" t="str">
        <f t="shared" si="1070"/>
        <v>M0</v>
      </c>
      <c r="KK22" s="6" t="str">
        <f t="shared" si="1070"/>
        <v>M0</v>
      </c>
      <c r="KL22" s="6" t="str">
        <f t="shared" si="1070"/>
        <v>M0</v>
      </c>
      <c r="KM22" s="6" t="str">
        <f t="shared" si="1070"/>
        <v>M0</v>
      </c>
      <c r="KN22" s="6" t="str">
        <f t="shared" si="1070"/>
        <v>M0</v>
      </c>
      <c r="KO22" s="6" t="str">
        <f t="shared" si="1070"/>
        <v>M0</v>
      </c>
      <c r="KP22" s="6" t="str">
        <f t="shared" si="1070"/>
        <v>M0</v>
      </c>
      <c r="KQ22" s="6" t="str">
        <f t="shared" si="1070"/>
        <v>M0</v>
      </c>
      <c r="KR22" s="6" t="str">
        <f t="shared" si="1070"/>
        <v>M0</v>
      </c>
      <c r="KS22" s="6" t="str">
        <f t="shared" si="1070"/>
        <v>M0</v>
      </c>
      <c r="KT22" s="6" t="str">
        <f t="shared" si="1070"/>
        <v>M0</v>
      </c>
      <c r="KU22" s="6" t="str">
        <f t="shared" si="1070"/>
        <v>M0</v>
      </c>
      <c r="KV22" s="6" t="str">
        <f t="shared" si="1070"/>
        <v>M0</v>
      </c>
      <c r="KW22" s="6" t="str">
        <f t="shared" si="1070"/>
        <v>M0</v>
      </c>
      <c r="KX22" s="6" t="str">
        <f t="shared" si="1070"/>
        <v>M0</v>
      </c>
      <c r="KY22" s="6" t="str">
        <f t="shared" si="1070"/>
        <v>M0</v>
      </c>
      <c r="KZ22" s="6" t="str">
        <f t="shared" si="1070"/>
        <v>M0</v>
      </c>
      <c r="LA22" s="6" t="str">
        <f t="shared" si="1070"/>
        <v>M0</v>
      </c>
      <c r="LB22" s="6" t="str">
        <f t="shared" si="1070"/>
        <v>M0</v>
      </c>
      <c r="LC22" s="6" t="str">
        <f t="shared" si="1070"/>
        <v>M0</v>
      </c>
      <c r="LD22" s="6" t="str">
        <f t="shared" si="1070"/>
        <v>M0</v>
      </c>
      <c r="LE22" s="6" t="str">
        <f t="shared" si="1070"/>
        <v>M0</v>
      </c>
      <c r="LF22" s="6" t="str">
        <f t="shared" si="1070"/>
        <v>M0</v>
      </c>
      <c r="LG22" s="6" t="str">
        <f t="shared" si="1070"/>
        <v>M0</v>
      </c>
      <c r="LH22" s="6" t="str">
        <f t="shared" si="1070"/>
        <v>M0</v>
      </c>
      <c r="LI22" s="6" t="str">
        <f t="shared" si="1070"/>
        <v>M0</v>
      </c>
      <c r="LJ22" s="6" t="str">
        <f t="shared" si="1070"/>
        <v>M0</v>
      </c>
      <c r="LK22" s="6" t="str">
        <f t="shared" si="1070"/>
        <v>M0</v>
      </c>
      <c r="LL22" s="6" t="str">
        <f t="shared" si="1070"/>
        <v>M0</v>
      </c>
      <c r="LM22" s="6" t="str">
        <f t="shared" ref="LM22:NX22" si="1071">IF(LM$23="M0","M0", "M1")</f>
        <v>M0</v>
      </c>
      <c r="LN22" s="6" t="str">
        <f t="shared" si="1071"/>
        <v>M0</v>
      </c>
      <c r="LO22" s="6" t="str">
        <f t="shared" si="1071"/>
        <v>M0</v>
      </c>
      <c r="LP22" s="6" t="str">
        <f t="shared" si="1071"/>
        <v>M0</v>
      </c>
      <c r="LQ22" s="6" t="str">
        <f t="shared" si="1071"/>
        <v>M0</v>
      </c>
      <c r="LR22" s="6" t="str">
        <f t="shared" si="1071"/>
        <v>M0</v>
      </c>
      <c r="LS22" s="6" t="str">
        <f t="shared" si="1071"/>
        <v>M0</v>
      </c>
      <c r="LT22" s="6" t="str">
        <f t="shared" si="1071"/>
        <v>M0</v>
      </c>
      <c r="LU22" s="6" t="str">
        <f t="shared" si="1071"/>
        <v>M0</v>
      </c>
      <c r="LV22" s="6" t="str">
        <f t="shared" si="1071"/>
        <v>M0</v>
      </c>
      <c r="LW22" s="6" t="str">
        <f t="shared" si="1071"/>
        <v>M0</v>
      </c>
      <c r="LX22" s="6" t="str">
        <f t="shared" si="1071"/>
        <v>M0</v>
      </c>
      <c r="LY22" s="6" t="str">
        <f t="shared" si="1071"/>
        <v>M0</v>
      </c>
      <c r="LZ22" s="6" t="str">
        <f t="shared" si="1071"/>
        <v>M0</v>
      </c>
      <c r="MA22" s="6" t="str">
        <f t="shared" si="1071"/>
        <v>M0</v>
      </c>
      <c r="MB22" s="6" t="str">
        <f t="shared" si="1071"/>
        <v>M1</v>
      </c>
      <c r="MC22" s="6" t="str">
        <f t="shared" si="1071"/>
        <v>M1</v>
      </c>
      <c r="MD22" s="6" t="str">
        <f t="shared" si="1071"/>
        <v>M1</v>
      </c>
      <c r="ME22" s="6" t="str">
        <f t="shared" si="1071"/>
        <v>M0</v>
      </c>
      <c r="MF22" s="6" t="str">
        <f t="shared" si="1071"/>
        <v>M0</v>
      </c>
      <c r="MG22" s="6" t="str">
        <f t="shared" si="1071"/>
        <v>M0</v>
      </c>
      <c r="MH22" s="6" t="str">
        <f t="shared" si="1071"/>
        <v>M0</v>
      </c>
      <c r="MI22" s="6" t="str">
        <f t="shared" si="1071"/>
        <v>M0</v>
      </c>
      <c r="MJ22" s="6" t="str">
        <f t="shared" si="1071"/>
        <v>M0</v>
      </c>
      <c r="MK22" s="6" t="str">
        <f t="shared" si="1071"/>
        <v>M0</v>
      </c>
      <c r="ML22" s="6" t="str">
        <f t="shared" si="1071"/>
        <v>M0</v>
      </c>
      <c r="MM22" s="6" t="str">
        <f t="shared" si="1071"/>
        <v>M0</v>
      </c>
      <c r="MN22" s="6" t="str">
        <f t="shared" si="1071"/>
        <v>M0</v>
      </c>
      <c r="MO22" s="6" t="str">
        <f t="shared" si="1071"/>
        <v>M0</v>
      </c>
      <c r="MP22" s="6" t="str">
        <f t="shared" si="1071"/>
        <v>M0</v>
      </c>
      <c r="MQ22" s="6" t="str">
        <f t="shared" si="1071"/>
        <v>M0</v>
      </c>
      <c r="MR22" s="6" t="str">
        <f t="shared" si="1071"/>
        <v>M0</v>
      </c>
      <c r="MS22" s="6" t="str">
        <f t="shared" si="1071"/>
        <v>M0</v>
      </c>
      <c r="MT22" s="6" t="str">
        <f t="shared" si="1071"/>
        <v>M0</v>
      </c>
      <c r="MU22" s="6" t="str">
        <f t="shared" si="1071"/>
        <v>M0</v>
      </c>
      <c r="MV22" s="6" t="str">
        <f t="shared" si="1071"/>
        <v>M0</v>
      </c>
      <c r="MW22" s="6" t="str">
        <f t="shared" si="1071"/>
        <v>M0</v>
      </c>
      <c r="MX22" s="6" t="str">
        <f t="shared" si="1071"/>
        <v>M0</v>
      </c>
      <c r="MY22" s="6" t="str">
        <f t="shared" si="1071"/>
        <v>M0</v>
      </c>
      <c r="MZ22" s="6" t="str">
        <f t="shared" si="1071"/>
        <v>M0</v>
      </c>
      <c r="NA22" s="6" t="str">
        <f t="shared" si="1071"/>
        <v>M0</v>
      </c>
      <c r="NB22" s="6" t="str">
        <f t="shared" si="1071"/>
        <v>M0</v>
      </c>
      <c r="NC22" s="6" t="str">
        <f t="shared" si="1071"/>
        <v>M0</v>
      </c>
      <c r="ND22" s="6" t="str">
        <f t="shared" si="1071"/>
        <v>M0</v>
      </c>
      <c r="NE22" s="6" t="str">
        <f t="shared" si="1071"/>
        <v>M0</v>
      </c>
      <c r="NF22" s="6" t="str">
        <f t="shared" si="1071"/>
        <v>M0</v>
      </c>
      <c r="NG22" s="6" t="str">
        <f t="shared" si="1071"/>
        <v>M0</v>
      </c>
      <c r="NH22" s="6" t="str">
        <f t="shared" si="1071"/>
        <v>M0</v>
      </c>
      <c r="NI22" s="6" t="str">
        <f t="shared" si="1071"/>
        <v>M0</v>
      </c>
      <c r="NJ22" s="6" t="str">
        <f t="shared" si="1071"/>
        <v>M0</v>
      </c>
      <c r="NK22" s="6" t="str">
        <f t="shared" si="1071"/>
        <v>M0</v>
      </c>
      <c r="NL22" s="6" t="str">
        <f t="shared" si="1071"/>
        <v>M0</v>
      </c>
      <c r="NM22" s="6" t="str">
        <f t="shared" si="1071"/>
        <v>M0</v>
      </c>
      <c r="NN22" s="6" t="str">
        <f t="shared" si="1071"/>
        <v>M0</v>
      </c>
      <c r="NO22" s="6" t="str">
        <f t="shared" si="1071"/>
        <v>M0</v>
      </c>
      <c r="NP22" s="6" t="str">
        <f t="shared" si="1071"/>
        <v>M0</v>
      </c>
      <c r="NQ22" s="6" t="str">
        <f t="shared" si="1071"/>
        <v>M0</v>
      </c>
      <c r="NR22" s="6" t="str">
        <f t="shared" si="1071"/>
        <v>M0</v>
      </c>
      <c r="NS22" s="6" t="str">
        <f t="shared" si="1071"/>
        <v>M0</v>
      </c>
      <c r="NT22" s="6" t="str">
        <f t="shared" si="1071"/>
        <v>M0</v>
      </c>
      <c r="NU22" s="6" t="str">
        <f t="shared" si="1071"/>
        <v>M0</v>
      </c>
      <c r="NV22" s="6" t="str">
        <f t="shared" si="1071"/>
        <v>M0</v>
      </c>
      <c r="NW22" s="6" t="str">
        <f t="shared" si="1071"/>
        <v>M0</v>
      </c>
      <c r="NX22" s="6" t="str">
        <f t="shared" si="1071"/>
        <v>M0</v>
      </c>
      <c r="NY22" s="6" t="str">
        <f t="shared" ref="NY22:QJ22" si="1072">IF(NY$23="M0","M0", "M1")</f>
        <v>M0</v>
      </c>
      <c r="NZ22" s="6" t="str">
        <f t="shared" si="1072"/>
        <v>M0</v>
      </c>
      <c r="OA22" s="6" t="str">
        <f t="shared" si="1072"/>
        <v>M0</v>
      </c>
      <c r="OB22" s="6" t="str">
        <f t="shared" si="1072"/>
        <v>M0</v>
      </c>
      <c r="OC22" s="6" t="str">
        <f t="shared" si="1072"/>
        <v>M0</v>
      </c>
      <c r="OD22" s="6" t="str">
        <f t="shared" si="1072"/>
        <v>M0</v>
      </c>
      <c r="OE22" s="6" t="str">
        <f t="shared" si="1072"/>
        <v>M0</v>
      </c>
      <c r="OF22" s="6" t="str">
        <f t="shared" si="1072"/>
        <v>M0</v>
      </c>
      <c r="OG22" s="6" t="str">
        <f t="shared" si="1072"/>
        <v>M0</v>
      </c>
      <c r="OH22" s="6" t="str">
        <f t="shared" si="1072"/>
        <v>M0</v>
      </c>
      <c r="OI22" s="6" t="str">
        <f t="shared" si="1072"/>
        <v>M0</v>
      </c>
      <c r="OJ22" s="6" t="str">
        <f t="shared" si="1072"/>
        <v>M0</v>
      </c>
      <c r="OK22" s="6" t="str">
        <f t="shared" si="1072"/>
        <v>M0</v>
      </c>
      <c r="OL22" s="6" t="str">
        <f t="shared" si="1072"/>
        <v>M0</v>
      </c>
      <c r="OM22" s="6" t="str">
        <f t="shared" si="1072"/>
        <v>M0</v>
      </c>
      <c r="ON22" s="6" t="str">
        <f t="shared" si="1072"/>
        <v>M0</v>
      </c>
      <c r="OO22" s="6" t="str">
        <f t="shared" si="1072"/>
        <v>M0</v>
      </c>
      <c r="OP22" s="6" t="str">
        <f t="shared" si="1072"/>
        <v>M0</v>
      </c>
      <c r="OQ22" s="6" t="str">
        <f t="shared" si="1072"/>
        <v>M0</v>
      </c>
      <c r="OR22" s="6" t="str">
        <f t="shared" si="1072"/>
        <v>M0</v>
      </c>
      <c r="OS22" s="6" t="str">
        <f t="shared" si="1072"/>
        <v>M0</v>
      </c>
      <c r="OT22" s="6" t="str">
        <f t="shared" si="1072"/>
        <v>M0</v>
      </c>
      <c r="OU22" s="6" t="str">
        <f t="shared" si="1072"/>
        <v>M0</v>
      </c>
      <c r="OV22" s="6" t="str">
        <f t="shared" si="1072"/>
        <v>M0</v>
      </c>
      <c r="OW22" s="6" t="str">
        <f t="shared" si="1072"/>
        <v>M0</v>
      </c>
      <c r="OX22" s="6" t="str">
        <f t="shared" si="1072"/>
        <v>M0</v>
      </c>
      <c r="OY22" s="6" t="str">
        <f t="shared" si="1072"/>
        <v>M0</v>
      </c>
      <c r="OZ22" s="6" t="str">
        <f t="shared" si="1072"/>
        <v>M0</v>
      </c>
      <c r="PA22" s="6" t="str">
        <f t="shared" si="1072"/>
        <v>M0</v>
      </c>
      <c r="PB22" s="6" t="str">
        <f t="shared" si="1072"/>
        <v>M0</v>
      </c>
      <c r="PC22" s="6" t="str">
        <f t="shared" si="1072"/>
        <v>M0</v>
      </c>
      <c r="PD22" s="6" t="str">
        <f t="shared" si="1072"/>
        <v>M0</v>
      </c>
      <c r="PE22" s="6" t="str">
        <f t="shared" si="1072"/>
        <v>M0</v>
      </c>
      <c r="PF22" s="6" t="str">
        <f t="shared" si="1072"/>
        <v>M1</v>
      </c>
      <c r="PG22" s="6" t="str">
        <f t="shared" si="1072"/>
        <v>M1</v>
      </c>
      <c r="PH22" s="6" t="str">
        <f t="shared" si="1072"/>
        <v>M1</v>
      </c>
      <c r="PI22" s="6" t="str">
        <f t="shared" si="1072"/>
        <v>M0</v>
      </c>
      <c r="PJ22" s="6" t="str">
        <f t="shared" si="1072"/>
        <v>M0</v>
      </c>
      <c r="PK22" s="6" t="str">
        <f t="shared" si="1072"/>
        <v>M0</v>
      </c>
      <c r="PL22" s="6" t="str">
        <f t="shared" si="1072"/>
        <v>M0</v>
      </c>
      <c r="PM22" s="6" t="str">
        <f t="shared" si="1072"/>
        <v>M0</v>
      </c>
      <c r="PN22" s="6" t="str">
        <f t="shared" si="1072"/>
        <v>M0</v>
      </c>
      <c r="PO22" s="6" t="str">
        <f t="shared" si="1072"/>
        <v>M0</v>
      </c>
      <c r="PP22" s="6" t="str">
        <f t="shared" si="1072"/>
        <v>M0</v>
      </c>
      <c r="PQ22" s="6" t="str">
        <f t="shared" si="1072"/>
        <v>M0</v>
      </c>
      <c r="PR22" s="6" t="str">
        <f t="shared" si="1072"/>
        <v>M0</v>
      </c>
      <c r="PS22" s="6" t="str">
        <f t="shared" si="1072"/>
        <v>M0</v>
      </c>
      <c r="PT22" s="6" t="str">
        <f t="shared" si="1072"/>
        <v>M0</v>
      </c>
      <c r="PU22" s="6" t="str">
        <f t="shared" si="1072"/>
        <v>M0</v>
      </c>
      <c r="PV22" s="6" t="str">
        <f t="shared" si="1072"/>
        <v>M0</v>
      </c>
      <c r="PW22" s="6" t="str">
        <f t="shared" si="1072"/>
        <v>M0</v>
      </c>
      <c r="PX22" s="6" t="str">
        <f t="shared" si="1072"/>
        <v>M0</v>
      </c>
      <c r="PY22" s="6" t="str">
        <f t="shared" si="1072"/>
        <v>M0</v>
      </c>
      <c r="PZ22" s="6" t="str">
        <f t="shared" si="1072"/>
        <v>M0</v>
      </c>
      <c r="QA22" s="6" t="str">
        <f t="shared" si="1072"/>
        <v>M0</v>
      </c>
      <c r="QB22" s="6" t="str">
        <f t="shared" si="1072"/>
        <v>M0</v>
      </c>
      <c r="QC22" s="6" t="str">
        <f t="shared" si="1072"/>
        <v>M0</v>
      </c>
      <c r="QD22" s="6" t="str">
        <f t="shared" si="1072"/>
        <v>M0</v>
      </c>
      <c r="QE22" s="6" t="str">
        <f t="shared" si="1072"/>
        <v>M0</v>
      </c>
      <c r="QF22" s="6" t="str">
        <f t="shared" si="1072"/>
        <v>M0</v>
      </c>
      <c r="QG22" s="6" t="str">
        <f t="shared" si="1072"/>
        <v>M0</v>
      </c>
      <c r="QH22" s="6" t="str">
        <f t="shared" si="1072"/>
        <v>M0</v>
      </c>
      <c r="QI22" s="6" t="str">
        <f t="shared" si="1072"/>
        <v>M0</v>
      </c>
      <c r="QJ22" s="6" t="str">
        <f t="shared" si="1072"/>
        <v>M0</v>
      </c>
      <c r="QK22" s="6" t="str">
        <f t="shared" ref="QK22:SV22" si="1073">IF(QK$23="M0","M0", "M1")</f>
        <v>M0</v>
      </c>
      <c r="QL22" s="6" t="str">
        <f t="shared" si="1073"/>
        <v>M0</v>
      </c>
      <c r="QM22" s="6" t="str">
        <f t="shared" si="1073"/>
        <v>M0</v>
      </c>
      <c r="QN22" s="6" t="str">
        <f t="shared" si="1073"/>
        <v>M0</v>
      </c>
      <c r="QO22" s="6" t="str">
        <f t="shared" si="1073"/>
        <v>M0</v>
      </c>
      <c r="QP22" s="6" t="str">
        <f t="shared" si="1073"/>
        <v>M0</v>
      </c>
      <c r="QQ22" s="6" t="str">
        <f t="shared" si="1073"/>
        <v>M0</v>
      </c>
      <c r="QR22" s="6" t="str">
        <f t="shared" si="1073"/>
        <v>M0</v>
      </c>
      <c r="QS22" s="6" t="str">
        <f t="shared" si="1073"/>
        <v>M0</v>
      </c>
      <c r="QT22" s="6" t="str">
        <f t="shared" si="1073"/>
        <v>M0</v>
      </c>
      <c r="QU22" s="6" t="str">
        <f t="shared" si="1073"/>
        <v>M0</v>
      </c>
      <c r="QV22" s="6" t="str">
        <f t="shared" si="1073"/>
        <v>M0</v>
      </c>
      <c r="QW22" s="6" t="str">
        <f t="shared" si="1073"/>
        <v>M0</v>
      </c>
      <c r="QX22" s="6" t="str">
        <f t="shared" si="1073"/>
        <v>M0</v>
      </c>
      <c r="QY22" s="6" t="str">
        <f t="shared" si="1073"/>
        <v>M0</v>
      </c>
      <c r="QZ22" s="6" t="str">
        <f t="shared" si="1073"/>
        <v>M0</v>
      </c>
      <c r="RA22" s="6" t="str">
        <f t="shared" si="1073"/>
        <v>M0</v>
      </c>
      <c r="RB22" s="6" t="str">
        <f t="shared" si="1073"/>
        <v>M0</v>
      </c>
      <c r="RC22" s="6" t="str">
        <f t="shared" si="1073"/>
        <v>M0</v>
      </c>
      <c r="RD22" s="6" t="str">
        <f t="shared" si="1073"/>
        <v>M0</v>
      </c>
      <c r="RE22" s="6" t="str">
        <f t="shared" si="1073"/>
        <v>M0</v>
      </c>
      <c r="RF22" s="6" t="str">
        <f t="shared" si="1073"/>
        <v>M0</v>
      </c>
      <c r="RG22" s="6" t="str">
        <f t="shared" si="1073"/>
        <v>M0</v>
      </c>
      <c r="RH22" s="6" t="str">
        <f t="shared" si="1073"/>
        <v>M0</v>
      </c>
      <c r="RI22" s="6" t="str">
        <f t="shared" si="1073"/>
        <v>M0</v>
      </c>
      <c r="RJ22" s="6" t="str">
        <f t="shared" si="1073"/>
        <v>M0</v>
      </c>
      <c r="RK22" s="6" t="str">
        <f t="shared" si="1073"/>
        <v>M0</v>
      </c>
      <c r="RL22" s="6" t="str">
        <f t="shared" si="1073"/>
        <v>M0</v>
      </c>
      <c r="RM22" s="6" t="str">
        <f t="shared" si="1073"/>
        <v>M0</v>
      </c>
      <c r="RN22" s="6" t="str">
        <f t="shared" si="1073"/>
        <v>M0</v>
      </c>
      <c r="RO22" s="6" t="str">
        <f t="shared" si="1073"/>
        <v>M0</v>
      </c>
      <c r="RP22" s="6" t="str">
        <f t="shared" si="1073"/>
        <v>M1</v>
      </c>
      <c r="RQ22" s="6" t="str">
        <f t="shared" si="1073"/>
        <v>M1</v>
      </c>
      <c r="RR22" s="6" t="str">
        <f t="shared" si="1073"/>
        <v>M1</v>
      </c>
      <c r="RS22" s="6" t="str">
        <f t="shared" si="1073"/>
        <v>M0</v>
      </c>
      <c r="RT22" s="6" t="str">
        <f t="shared" si="1073"/>
        <v>M0</v>
      </c>
      <c r="RU22" s="6" t="str">
        <f t="shared" si="1073"/>
        <v>M0</v>
      </c>
      <c r="RV22" s="6" t="str">
        <f t="shared" si="1073"/>
        <v>M0</v>
      </c>
      <c r="RW22" s="6" t="str">
        <f t="shared" si="1073"/>
        <v>M0</v>
      </c>
      <c r="RX22" s="6" t="str">
        <f t="shared" si="1073"/>
        <v>M0</v>
      </c>
      <c r="RY22" s="6" t="str">
        <f t="shared" si="1073"/>
        <v>M0</v>
      </c>
      <c r="RZ22" s="6" t="str">
        <f t="shared" si="1073"/>
        <v>M0</v>
      </c>
      <c r="SA22" s="6" t="str">
        <f t="shared" si="1073"/>
        <v>M0</v>
      </c>
      <c r="SB22" s="6" t="str">
        <f t="shared" si="1073"/>
        <v>M0</v>
      </c>
      <c r="SC22" s="6" t="str">
        <f t="shared" si="1073"/>
        <v>M0</v>
      </c>
      <c r="SD22" s="6" t="str">
        <f t="shared" si="1073"/>
        <v>M0</v>
      </c>
      <c r="SE22" s="6" t="str">
        <f t="shared" si="1073"/>
        <v>M0</v>
      </c>
      <c r="SF22" s="6" t="str">
        <f t="shared" si="1073"/>
        <v>M0</v>
      </c>
      <c r="SG22" s="6" t="str">
        <f t="shared" si="1073"/>
        <v>M0</v>
      </c>
      <c r="SH22" s="6" t="str">
        <f t="shared" si="1073"/>
        <v>M0</v>
      </c>
      <c r="SI22" s="6" t="str">
        <f t="shared" si="1073"/>
        <v>M0</v>
      </c>
      <c r="SJ22" s="6" t="str">
        <f t="shared" si="1073"/>
        <v>M0</v>
      </c>
      <c r="SK22" s="6" t="str">
        <f t="shared" si="1073"/>
        <v>M0</v>
      </c>
      <c r="SL22" s="6" t="str">
        <f t="shared" si="1073"/>
        <v>M0</v>
      </c>
      <c r="SM22" s="6" t="str">
        <f t="shared" si="1073"/>
        <v>M0</v>
      </c>
      <c r="SN22" s="6" t="str">
        <f t="shared" si="1073"/>
        <v>M0</v>
      </c>
      <c r="SO22" s="6" t="str">
        <f t="shared" si="1073"/>
        <v>M0</v>
      </c>
      <c r="SP22" s="6" t="str">
        <f t="shared" si="1073"/>
        <v>M0</v>
      </c>
      <c r="SQ22" s="6" t="str">
        <f t="shared" si="1073"/>
        <v>M0</v>
      </c>
      <c r="SR22" s="6" t="str">
        <f t="shared" si="1073"/>
        <v>M0</v>
      </c>
      <c r="SS22" s="6" t="str">
        <f t="shared" si="1073"/>
        <v>M0</v>
      </c>
      <c r="ST22" s="6" t="str">
        <f t="shared" si="1073"/>
        <v>M0</v>
      </c>
      <c r="SU22" s="6" t="str">
        <f t="shared" si="1073"/>
        <v>M0</v>
      </c>
      <c r="SV22" s="6" t="str">
        <f t="shared" si="1073"/>
        <v>M0</v>
      </c>
      <c r="SW22" s="6" t="str">
        <f t="shared" ref="SW22:VH22" si="1074">IF(SW$23="M0","M0", "M1")</f>
        <v>M0</v>
      </c>
      <c r="SX22" s="6" t="str">
        <f t="shared" si="1074"/>
        <v>M0</v>
      </c>
      <c r="SY22" s="6" t="str">
        <f t="shared" si="1074"/>
        <v>M0</v>
      </c>
      <c r="SZ22" s="6" t="str">
        <f t="shared" si="1074"/>
        <v>M0</v>
      </c>
      <c r="TA22" s="6" t="str">
        <f t="shared" si="1074"/>
        <v>M0</v>
      </c>
      <c r="TB22" s="6" t="str">
        <f t="shared" si="1074"/>
        <v>M0</v>
      </c>
      <c r="TC22" s="6" t="str">
        <f t="shared" si="1074"/>
        <v>M0</v>
      </c>
      <c r="TD22" s="6" t="str">
        <f t="shared" si="1074"/>
        <v>M0</v>
      </c>
      <c r="TE22" s="6" t="str">
        <f t="shared" si="1074"/>
        <v>M0</v>
      </c>
      <c r="TF22" s="6" t="str">
        <f t="shared" si="1074"/>
        <v>M0</v>
      </c>
      <c r="TG22" s="6" t="str">
        <f t="shared" si="1074"/>
        <v>M0</v>
      </c>
      <c r="TH22" s="6" t="str">
        <f t="shared" si="1074"/>
        <v>M0</v>
      </c>
      <c r="TI22" s="6" t="str">
        <f t="shared" si="1074"/>
        <v>M0</v>
      </c>
      <c r="TJ22" s="6" t="str">
        <f t="shared" si="1074"/>
        <v>M0</v>
      </c>
      <c r="TK22" s="6" t="str">
        <f t="shared" si="1074"/>
        <v>M0</v>
      </c>
      <c r="TL22" s="6" t="str">
        <f t="shared" si="1074"/>
        <v>M0</v>
      </c>
      <c r="TM22" s="6" t="str">
        <f t="shared" si="1074"/>
        <v>M0</v>
      </c>
      <c r="TN22" s="6" t="str">
        <f t="shared" si="1074"/>
        <v>M0</v>
      </c>
      <c r="TO22" s="6" t="str">
        <f t="shared" si="1074"/>
        <v>M0</v>
      </c>
      <c r="TP22" s="6" t="str">
        <f t="shared" si="1074"/>
        <v>M0</v>
      </c>
      <c r="TQ22" s="6" t="str">
        <f t="shared" si="1074"/>
        <v>M0</v>
      </c>
      <c r="TR22" s="6" t="str">
        <f t="shared" si="1074"/>
        <v>M0</v>
      </c>
      <c r="TS22" s="6" t="str">
        <f t="shared" si="1074"/>
        <v>M0</v>
      </c>
      <c r="TT22" s="6" t="str">
        <f t="shared" si="1074"/>
        <v>M0</v>
      </c>
      <c r="TU22" s="6" t="str">
        <f t="shared" si="1074"/>
        <v>M0</v>
      </c>
      <c r="TV22" s="6" t="str">
        <f t="shared" si="1074"/>
        <v>M0</v>
      </c>
      <c r="TW22" s="6" t="str">
        <f t="shared" si="1074"/>
        <v>M0</v>
      </c>
      <c r="TX22" s="6" t="str">
        <f t="shared" si="1074"/>
        <v>M0</v>
      </c>
      <c r="TY22" s="6" t="str">
        <f t="shared" si="1074"/>
        <v>M0</v>
      </c>
      <c r="TZ22" s="6" t="str">
        <f t="shared" si="1074"/>
        <v>M0</v>
      </c>
      <c r="UA22" s="6" t="str">
        <f t="shared" si="1074"/>
        <v>M0</v>
      </c>
      <c r="UB22" s="6" t="str">
        <f t="shared" si="1074"/>
        <v>M0</v>
      </c>
      <c r="UC22" s="6" t="str">
        <f t="shared" si="1074"/>
        <v>M0</v>
      </c>
      <c r="UD22" s="6" t="str">
        <f t="shared" si="1074"/>
        <v>M0</v>
      </c>
      <c r="UE22" s="6" t="str">
        <f t="shared" si="1074"/>
        <v>M0</v>
      </c>
      <c r="UF22" s="6" t="str">
        <f t="shared" si="1074"/>
        <v>M0</v>
      </c>
      <c r="UG22" s="6" t="str">
        <f t="shared" si="1074"/>
        <v>M0</v>
      </c>
      <c r="UH22" s="6" t="str">
        <f t="shared" si="1074"/>
        <v>M0</v>
      </c>
      <c r="UI22" s="6" t="str">
        <f t="shared" si="1074"/>
        <v>M0</v>
      </c>
      <c r="UJ22" s="6" t="str">
        <f t="shared" si="1074"/>
        <v>M0</v>
      </c>
      <c r="UK22" s="6" t="str">
        <f t="shared" si="1074"/>
        <v>M0</v>
      </c>
      <c r="UL22" s="6" t="str">
        <f t="shared" si="1074"/>
        <v>M0</v>
      </c>
      <c r="UM22" s="6" t="str">
        <f t="shared" si="1074"/>
        <v>M0</v>
      </c>
      <c r="UN22" s="6" t="str">
        <f t="shared" si="1074"/>
        <v>M0</v>
      </c>
      <c r="UO22" s="6" t="str">
        <f t="shared" si="1074"/>
        <v>M0</v>
      </c>
      <c r="UP22" s="6" t="str">
        <f t="shared" si="1074"/>
        <v>M0</v>
      </c>
      <c r="UQ22" s="6" t="str">
        <f t="shared" si="1074"/>
        <v>M0</v>
      </c>
      <c r="UR22" s="6" t="str">
        <f t="shared" si="1074"/>
        <v>M0</v>
      </c>
      <c r="US22" s="6" t="str">
        <f t="shared" si="1074"/>
        <v>M0</v>
      </c>
      <c r="UT22" s="6" t="str">
        <f t="shared" si="1074"/>
        <v>M1</v>
      </c>
      <c r="UU22" s="6" t="str">
        <f t="shared" si="1074"/>
        <v>M1</v>
      </c>
      <c r="UV22" s="6" t="str">
        <f t="shared" si="1074"/>
        <v>M1</v>
      </c>
      <c r="UW22" s="6" t="str">
        <f t="shared" si="1074"/>
        <v>M0</v>
      </c>
      <c r="UX22" s="6" t="str">
        <f t="shared" si="1074"/>
        <v>M0</v>
      </c>
      <c r="UY22" s="6" t="str">
        <f t="shared" si="1074"/>
        <v>M0</v>
      </c>
      <c r="UZ22" s="6" t="str">
        <f t="shared" si="1074"/>
        <v>M0</v>
      </c>
      <c r="VA22" s="6" t="str">
        <f t="shared" si="1074"/>
        <v>M0</v>
      </c>
      <c r="VB22" s="6" t="str">
        <f t="shared" si="1074"/>
        <v>M0</v>
      </c>
      <c r="VC22" s="6" t="str">
        <f t="shared" si="1074"/>
        <v>M0</v>
      </c>
      <c r="VD22" s="6" t="str">
        <f t="shared" si="1074"/>
        <v>M0</v>
      </c>
      <c r="VE22" s="6" t="str">
        <f t="shared" si="1074"/>
        <v>M0</v>
      </c>
      <c r="VF22" s="6" t="str">
        <f t="shared" si="1074"/>
        <v>M0</v>
      </c>
      <c r="VG22" s="6" t="str">
        <f t="shared" si="1074"/>
        <v>M0</v>
      </c>
      <c r="VH22" s="6" t="str">
        <f t="shared" si="1074"/>
        <v>M0</v>
      </c>
      <c r="VI22" s="6" t="str">
        <f t="shared" ref="VI22:XT22" si="1075">IF(VI$23="M0","M0", "M1")</f>
        <v>M0</v>
      </c>
      <c r="VJ22" s="6" t="str">
        <f t="shared" si="1075"/>
        <v>M0</v>
      </c>
      <c r="VK22" s="6" t="str">
        <f t="shared" si="1075"/>
        <v>M0</v>
      </c>
      <c r="VL22" s="6" t="str">
        <f t="shared" si="1075"/>
        <v>M0</v>
      </c>
      <c r="VM22" s="6" t="str">
        <f t="shared" si="1075"/>
        <v>M0</v>
      </c>
      <c r="VN22" s="6" t="str">
        <f t="shared" si="1075"/>
        <v>M0</v>
      </c>
      <c r="VO22" s="6" t="str">
        <f t="shared" si="1075"/>
        <v>M0</v>
      </c>
      <c r="VP22" s="6" t="str">
        <f t="shared" si="1075"/>
        <v>M0</v>
      </c>
      <c r="VQ22" s="6" t="str">
        <f t="shared" si="1075"/>
        <v>M0</v>
      </c>
      <c r="VR22" s="6" t="str">
        <f t="shared" si="1075"/>
        <v>M0</v>
      </c>
      <c r="VS22" s="6" t="str">
        <f t="shared" si="1075"/>
        <v>M0</v>
      </c>
      <c r="VT22" s="6" t="str">
        <f t="shared" si="1075"/>
        <v>M0</v>
      </c>
      <c r="VU22" s="6" t="str">
        <f t="shared" si="1075"/>
        <v>M0</v>
      </c>
      <c r="VV22" s="6" t="str">
        <f t="shared" si="1075"/>
        <v>M0</v>
      </c>
      <c r="VW22" s="6" t="str">
        <f t="shared" si="1075"/>
        <v>M0</v>
      </c>
      <c r="VX22" s="6" t="str">
        <f t="shared" si="1075"/>
        <v>M0</v>
      </c>
      <c r="VY22" s="6" t="str">
        <f t="shared" si="1075"/>
        <v>M0</v>
      </c>
      <c r="VZ22" s="6" t="str">
        <f t="shared" si="1075"/>
        <v>M0</v>
      </c>
      <c r="WA22" s="6" t="str">
        <f t="shared" si="1075"/>
        <v>M0</v>
      </c>
      <c r="WB22" s="6" t="str">
        <f t="shared" si="1075"/>
        <v>M0</v>
      </c>
      <c r="WC22" s="6" t="str">
        <f t="shared" si="1075"/>
        <v>M0</v>
      </c>
      <c r="WD22" s="6" t="str">
        <f t="shared" si="1075"/>
        <v>M0</v>
      </c>
      <c r="WE22" s="6" t="str">
        <f t="shared" si="1075"/>
        <v>M0</v>
      </c>
      <c r="WF22" s="6" t="str">
        <f t="shared" si="1075"/>
        <v>M0</v>
      </c>
      <c r="WG22" s="6" t="str">
        <f t="shared" si="1075"/>
        <v>M0</v>
      </c>
      <c r="WH22" s="6" t="str">
        <f t="shared" si="1075"/>
        <v>M0</v>
      </c>
      <c r="WI22" s="6" t="str">
        <f t="shared" si="1075"/>
        <v>M0</v>
      </c>
      <c r="WJ22" s="6" t="str">
        <f t="shared" si="1075"/>
        <v>M0</v>
      </c>
      <c r="WK22" s="6" t="str">
        <f t="shared" si="1075"/>
        <v>M0</v>
      </c>
      <c r="WL22" s="6" t="str">
        <f t="shared" si="1075"/>
        <v>M0</v>
      </c>
      <c r="WM22" s="6" t="str">
        <f t="shared" si="1075"/>
        <v>M0</v>
      </c>
      <c r="WN22" s="6" t="str">
        <f t="shared" si="1075"/>
        <v>M0</v>
      </c>
      <c r="WO22" s="6" t="str">
        <f t="shared" si="1075"/>
        <v>M0</v>
      </c>
      <c r="WP22" s="6" t="str">
        <f t="shared" si="1075"/>
        <v>M0</v>
      </c>
      <c r="WQ22" s="6" t="str">
        <f t="shared" si="1075"/>
        <v>M0</v>
      </c>
      <c r="WR22" s="6" t="str">
        <f t="shared" si="1075"/>
        <v>M0</v>
      </c>
      <c r="WS22" s="6" t="str">
        <f t="shared" si="1075"/>
        <v>M0</v>
      </c>
      <c r="WT22" s="6" t="str">
        <f t="shared" si="1075"/>
        <v>M0</v>
      </c>
      <c r="WU22" s="6" t="str">
        <f t="shared" si="1075"/>
        <v>M0</v>
      </c>
      <c r="WV22" s="6" t="str">
        <f t="shared" si="1075"/>
        <v>M0</v>
      </c>
      <c r="WW22" s="6" t="str">
        <f t="shared" si="1075"/>
        <v>M0</v>
      </c>
      <c r="WX22" s="6" t="str">
        <f t="shared" si="1075"/>
        <v>M0</v>
      </c>
      <c r="WY22" s="6" t="str">
        <f t="shared" si="1075"/>
        <v>M0</v>
      </c>
      <c r="WZ22" s="6" t="str">
        <f t="shared" si="1075"/>
        <v>M0</v>
      </c>
      <c r="XA22" s="6" t="str">
        <f t="shared" si="1075"/>
        <v>M0</v>
      </c>
      <c r="XB22" s="6" t="str">
        <f t="shared" si="1075"/>
        <v>M0</v>
      </c>
      <c r="XC22" s="6" t="str">
        <f t="shared" si="1075"/>
        <v>M0</v>
      </c>
      <c r="XD22" s="6" t="str">
        <f t="shared" si="1075"/>
        <v>M1</v>
      </c>
      <c r="XE22" s="6" t="str">
        <f t="shared" si="1075"/>
        <v>M1</v>
      </c>
      <c r="XF22" s="6" t="str">
        <f t="shared" si="1075"/>
        <v>M1</v>
      </c>
      <c r="XG22" s="6" t="str">
        <f t="shared" si="1075"/>
        <v>M0</v>
      </c>
      <c r="XH22" s="6" t="str">
        <f t="shared" si="1075"/>
        <v>M0</v>
      </c>
      <c r="XI22" s="6" t="str">
        <f t="shared" si="1075"/>
        <v>M0</v>
      </c>
      <c r="XJ22" s="6" t="str">
        <f t="shared" si="1075"/>
        <v>M0</v>
      </c>
      <c r="XK22" s="6" t="str">
        <f t="shared" si="1075"/>
        <v>M0</v>
      </c>
      <c r="XL22" s="6" t="str">
        <f t="shared" si="1075"/>
        <v>M0</v>
      </c>
      <c r="XM22" s="6" t="str">
        <f t="shared" si="1075"/>
        <v>M0</v>
      </c>
      <c r="XN22" s="6" t="str">
        <f t="shared" si="1075"/>
        <v>M0</v>
      </c>
      <c r="XO22" s="6" t="str">
        <f t="shared" si="1075"/>
        <v>M0</v>
      </c>
      <c r="XP22" s="6" t="str">
        <f t="shared" si="1075"/>
        <v>M0</v>
      </c>
      <c r="XQ22" s="6" t="str">
        <f t="shared" si="1075"/>
        <v>M0</v>
      </c>
      <c r="XR22" s="6" t="str">
        <f t="shared" si="1075"/>
        <v>M0</v>
      </c>
      <c r="XS22" s="6" t="str">
        <f t="shared" si="1075"/>
        <v>M0</v>
      </c>
      <c r="XT22" s="6" t="str">
        <f t="shared" si="1075"/>
        <v>M0</v>
      </c>
      <c r="XU22" s="6" t="str">
        <f t="shared" ref="XU22:AAF22" si="1076">IF(XU$23="M0","M0", "M1")</f>
        <v>M0</v>
      </c>
      <c r="XV22" s="6" t="str">
        <f t="shared" si="1076"/>
        <v>M0</v>
      </c>
      <c r="XW22" s="6" t="str">
        <f t="shared" si="1076"/>
        <v>M0</v>
      </c>
      <c r="XX22" s="6" t="str">
        <f t="shared" si="1076"/>
        <v>M0</v>
      </c>
      <c r="XY22" s="6" t="str">
        <f t="shared" si="1076"/>
        <v>M0</v>
      </c>
      <c r="XZ22" s="6" t="str">
        <f t="shared" si="1076"/>
        <v>M0</v>
      </c>
      <c r="YA22" s="6" t="str">
        <f t="shared" si="1076"/>
        <v>M0</v>
      </c>
      <c r="YB22" s="6" t="str">
        <f t="shared" si="1076"/>
        <v>M0</v>
      </c>
      <c r="YC22" s="6" t="str">
        <f t="shared" si="1076"/>
        <v>M0</v>
      </c>
      <c r="YD22" s="6" t="str">
        <f t="shared" si="1076"/>
        <v>M0</v>
      </c>
      <c r="YE22" s="6" t="str">
        <f t="shared" si="1076"/>
        <v>M0</v>
      </c>
      <c r="YF22" s="6" t="str">
        <f t="shared" si="1076"/>
        <v>M0</v>
      </c>
      <c r="YG22" s="6" t="str">
        <f t="shared" si="1076"/>
        <v>M0</v>
      </c>
      <c r="YH22" s="6" t="str">
        <f t="shared" si="1076"/>
        <v>M0</v>
      </c>
      <c r="YI22" s="6" t="str">
        <f t="shared" si="1076"/>
        <v>M0</v>
      </c>
      <c r="YJ22" s="6" t="str">
        <f t="shared" si="1076"/>
        <v>M0</v>
      </c>
      <c r="YK22" s="6" t="str">
        <f t="shared" si="1076"/>
        <v>M0</v>
      </c>
      <c r="YL22" s="6" t="str">
        <f t="shared" si="1076"/>
        <v>M0</v>
      </c>
      <c r="YM22" s="6" t="str">
        <f t="shared" si="1076"/>
        <v>M0</v>
      </c>
      <c r="YN22" s="6" t="str">
        <f t="shared" si="1076"/>
        <v>M0</v>
      </c>
      <c r="YO22" s="6" t="str">
        <f t="shared" si="1076"/>
        <v>M0</v>
      </c>
      <c r="YP22" s="6" t="str">
        <f t="shared" si="1076"/>
        <v>M0</v>
      </c>
      <c r="YQ22" s="6" t="str">
        <f t="shared" si="1076"/>
        <v>M0</v>
      </c>
      <c r="YR22" s="6" t="str">
        <f t="shared" si="1076"/>
        <v>M0</v>
      </c>
      <c r="YS22" s="6" t="str">
        <f t="shared" si="1076"/>
        <v>M0</v>
      </c>
      <c r="YT22" s="6" t="str">
        <f t="shared" si="1076"/>
        <v>M0</v>
      </c>
      <c r="YU22" s="6" t="str">
        <f t="shared" si="1076"/>
        <v>M0</v>
      </c>
      <c r="YV22" s="6" t="str">
        <f t="shared" si="1076"/>
        <v>M0</v>
      </c>
      <c r="YW22" s="6" t="str">
        <f t="shared" si="1076"/>
        <v>M0</v>
      </c>
      <c r="YX22" s="6" t="str">
        <f t="shared" si="1076"/>
        <v>M0</v>
      </c>
      <c r="YY22" s="6" t="str">
        <f t="shared" si="1076"/>
        <v>M0</v>
      </c>
      <c r="YZ22" s="6" t="str">
        <f t="shared" si="1076"/>
        <v>M0</v>
      </c>
      <c r="ZA22" s="6" t="str">
        <f t="shared" si="1076"/>
        <v>M0</v>
      </c>
      <c r="ZB22" s="6" t="str">
        <f t="shared" si="1076"/>
        <v>M0</v>
      </c>
      <c r="ZC22" s="6" t="str">
        <f t="shared" si="1076"/>
        <v>M0</v>
      </c>
      <c r="ZD22" s="6" t="str">
        <f t="shared" si="1076"/>
        <v>M0</v>
      </c>
      <c r="ZE22" s="6" t="str">
        <f t="shared" si="1076"/>
        <v>M0</v>
      </c>
      <c r="ZF22" s="6" t="str">
        <f t="shared" si="1076"/>
        <v>M0</v>
      </c>
      <c r="ZG22" s="6" t="str">
        <f t="shared" si="1076"/>
        <v>M0</v>
      </c>
      <c r="ZH22" s="6" t="str">
        <f t="shared" si="1076"/>
        <v>M0</v>
      </c>
      <c r="ZI22" s="6" t="str">
        <f t="shared" si="1076"/>
        <v>M0</v>
      </c>
      <c r="ZJ22" s="6" t="str">
        <f t="shared" si="1076"/>
        <v>M0</v>
      </c>
      <c r="ZK22" s="6" t="str">
        <f t="shared" si="1076"/>
        <v>M0</v>
      </c>
      <c r="ZL22" s="6" t="str">
        <f t="shared" si="1076"/>
        <v>M0</v>
      </c>
      <c r="ZM22" s="6" t="str">
        <f t="shared" si="1076"/>
        <v>M0</v>
      </c>
      <c r="ZN22" s="6" t="str">
        <f t="shared" si="1076"/>
        <v>M0</v>
      </c>
      <c r="ZO22" s="6" t="str">
        <f t="shared" si="1076"/>
        <v>M0</v>
      </c>
      <c r="ZP22" s="6" t="str">
        <f t="shared" si="1076"/>
        <v>M0</v>
      </c>
      <c r="ZQ22" s="6" t="str">
        <f t="shared" si="1076"/>
        <v>M0</v>
      </c>
      <c r="ZR22" s="6" t="str">
        <f t="shared" si="1076"/>
        <v>M0</v>
      </c>
      <c r="ZS22" s="6" t="str">
        <f t="shared" si="1076"/>
        <v>M0</v>
      </c>
      <c r="ZT22" s="6" t="str">
        <f t="shared" si="1076"/>
        <v>M0</v>
      </c>
      <c r="ZU22" s="6" t="str">
        <f t="shared" si="1076"/>
        <v>M0</v>
      </c>
      <c r="ZV22" s="6" t="str">
        <f t="shared" si="1076"/>
        <v>M0</v>
      </c>
      <c r="ZW22" s="6" t="str">
        <f t="shared" si="1076"/>
        <v>M0</v>
      </c>
      <c r="ZX22" s="6" t="str">
        <f t="shared" si="1076"/>
        <v>M0</v>
      </c>
      <c r="ZY22" s="6" t="str">
        <f t="shared" si="1076"/>
        <v>M0</v>
      </c>
      <c r="ZZ22" s="6" t="str">
        <f t="shared" si="1076"/>
        <v>M0</v>
      </c>
      <c r="AAA22" s="6" t="str">
        <f t="shared" si="1076"/>
        <v>M0</v>
      </c>
      <c r="AAB22" s="6" t="str">
        <f t="shared" si="1076"/>
        <v>M0</v>
      </c>
      <c r="AAC22" s="6" t="str">
        <f t="shared" si="1076"/>
        <v>M0</v>
      </c>
      <c r="AAD22" s="6" t="str">
        <f t="shared" si="1076"/>
        <v>M0</v>
      </c>
      <c r="AAE22" s="6" t="str">
        <f t="shared" si="1076"/>
        <v>M0</v>
      </c>
      <c r="AAF22" s="6" t="str">
        <f t="shared" si="1076"/>
        <v>M0</v>
      </c>
      <c r="AAG22" s="6" t="str">
        <f t="shared" ref="AAG22:ACR22" si="1077">IF(AAG$23="M0","M0", "M1")</f>
        <v>M0</v>
      </c>
      <c r="AAH22" s="6" t="str">
        <f t="shared" si="1077"/>
        <v>M1</v>
      </c>
      <c r="AAI22" s="6" t="str">
        <f t="shared" si="1077"/>
        <v>M1</v>
      </c>
      <c r="AAJ22" s="6" t="str">
        <f t="shared" si="1077"/>
        <v>M1</v>
      </c>
      <c r="AAK22" s="6" t="str">
        <f t="shared" si="1077"/>
        <v>M0</v>
      </c>
      <c r="AAL22" s="6" t="str">
        <f t="shared" si="1077"/>
        <v>M0</v>
      </c>
      <c r="AAM22" s="6" t="str">
        <f t="shared" si="1077"/>
        <v>M0</v>
      </c>
      <c r="AAN22" s="6" t="str">
        <f t="shared" si="1077"/>
        <v>M0</v>
      </c>
      <c r="AAO22" s="6" t="str">
        <f t="shared" si="1077"/>
        <v>M0</v>
      </c>
      <c r="AAP22" s="6" t="str">
        <f t="shared" si="1077"/>
        <v>M0</v>
      </c>
      <c r="AAQ22" s="6" t="str">
        <f t="shared" si="1077"/>
        <v>M0</v>
      </c>
      <c r="AAR22" s="6" t="str">
        <f t="shared" si="1077"/>
        <v>M0</v>
      </c>
      <c r="AAS22" s="6" t="str">
        <f t="shared" si="1077"/>
        <v>M0</v>
      </c>
      <c r="AAT22" s="6" t="str">
        <f t="shared" si="1077"/>
        <v>M0</v>
      </c>
      <c r="AAU22" s="6" t="str">
        <f t="shared" si="1077"/>
        <v>M0</v>
      </c>
      <c r="AAV22" s="6" t="str">
        <f t="shared" si="1077"/>
        <v>M0</v>
      </c>
      <c r="AAW22" s="6" t="str">
        <f t="shared" si="1077"/>
        <v>M0</v>
      </c>
      <c r="AAX22" s="6" t="str">
        <f t="shared" si="1077"/>
        <v>M0</v>
      </c>
      <c r="AAY22" s="6" t="str">
        <f t="shared" si="1077"/>
        <v>M0</v>
      </c>
      <c r="AAZ22" s="6" t="str">
        <f t="shared" si="1077"/>
        <v>M0</v>
      </c>
      <c r="ABA22" s="6" t="str">
        <f t="shared" si="1077"/>
        <v>M0</v>
      </c>
      <c r="ABB22" s="6" t="str">
        <f t="shared" si="1077"/>
        <v>M0</v>
      </c>
      <c r="ABC22" s="6" t="str">
        <f t="shared" si="1077"/>
        <v>M0</v>
      </c>
      <c r="ABD22" s="6" t="str">
        <f t="shared" si="1077"/>
        <v>M0</v>
      </c>
      <c r="ABE22" s="6" t="str">
        <f t="shared" si="1077"/>
        <v>M0</v>
      </c>
      <c r="ABF22" s="6" t="str">
        <f t="shared" si="1077"/>
        <v>M0</v>
      </c>
      <c r="ABG22" s="6" t="str">
        <f t="shared" si="1077"/>
        <v>M0</v>
      </c>
      <c r="ABH22" s="6" t="str">
        <f t="shared" si="1077"/>
        <v>M0</v>
      </c>
      <c r="ABI22" s="6" t="str">
        <f t="shared" si="1077"/>
        <v>M0</v>
      </c>
      <c r="ABJ22" s="6" t="str">
        <f t="shared" si="1077"/>
        <v>M0</v>
      </c>
      <c r="ABK22" s="6" t="str">
        <f t="shared" si="1077"/>
        <v>M0</v>
      </c>
      <c r="ABL22" s="6" t="str">
        <f t="shared" si="1077"/>
        <v>M0</v>
      </c>
      <c r="ABM22" s="6" t="str">
        <f t="shared" si="1077"/>
        <v>M0</v>
      </c>
      <c r="ABN22" s="6" t="str">
        <f t="shared" si="1077"/>
        <v>M0</v>
      </c>
      <c r="ABO22" s="6" t="str">
        <f t="shared" si="1077"/>
        <v>M0</v>
      </c>
      <c r="ABP22" s="6" t="str">
        <f t="shared" si="1077"/>
        <v>M0</v>
      </c>
      <c r="ABQ22" s="6" t="str">
        <f t="shared" si="1077"/>
        <v>M0</v>
      </c>
      <c r="ABR22" s="6" t="str">
        <f t="shared" si="1077"/>
        <v>M0</v>
      </c>
      <c r="ABS22" s="6" t="str">
        <f t="shared" si="1077"/>
        <v>M0</v>
      </c>
      <c r="ABT22" s="6" t="str">
        <f t="shared" si="1077"/>
        <v>M0</v>
      </c>
      <c r="ABU22" s="6" t="str">
        <f t="shared" si="1077"/>
        <v>M0</v>
      </c>
      <c r="ABV22" s="6" t="str">
        <f t="shared" si="1077"/>
        <v>M0</v>
      </c>
      <c r="ABW22" s="6" t="str">
        <f t="shared" si="1077"/>
        <v>M0</v>
      </c>
      <c r="ABX22" s="6" t="str">
        <f t="shared" si="1077"/>
        <v>M0</v>
      </c>
      <c r="ABY22" s="6" t="str">
        <f t="shared" si="1077"/>
        <v>M0</v>
      </c>
      <c r="ABZ22" s="6" t="str">
        <f t="shared" si="1077"/>
        <v>M0</v>
      </c>
      <c r="ACA22" s="6" t="str">
        <f t="shared" si="1077"/>
        <v>M0</v>
      </c>
      <c r="ACB22" s="6" t="str">
        <f t="shared" si="1077"/>
        <v>M0</v>
      </c>
      <c r="ACC22" s="6" t="str">
        <f t="shared" si="1077"/>
        <v>M0</v>
      </c>
      <c r="ACD22" s="6" t="str">
        <f t="shared" si="1077"/>
        <v>M0</v>
      </c>
      <c r="ACE22" s="6" t="str">
        <f t="shared" si="1077"/>
        <v>M0</v>
      </c>
      <c r="ACF22" s="6" t="str">
        <f t="shared" si="1077"/>
        <v>M0</v>
      </c>
      <c r="ACG22" s="6" t="str">
        <f t="shared" si="1077"/>
        <v>M0</v>
      </c>
      <c r="ACH22" s="6" t="str">
        <f t="shared" si="1077"/>
        <v>M0</v>
      </c>
      <c r="ACI22" s="6" t="str">
        <f t="shared" si="1077"/>
        <v>M0</v>
      </c>
      <c r="ACJ22" s="6" t="str">
        <f t="shared" si="1077"/>
        <v>M0</v>
      </c>
      <c r="ACK22" s="6" t="str">
        <f t="shared" si="1077"/>
        <v>M0</v>
      </c>
      <c r="ACL22" s="6" t="str">
        <f t="shared" si="1077"/>
        <v>M0</v>
      </c>
      <c r="ACM22" s="6" t="str">
        <f t="shared" si="1077"/>
        <v>M0</v>
      </c>
      <c r="ACN22" s="6" t="str">
        <f t="shared" si="1077"/>
        <v>M0</v>
      </c>
      <c r="ACO22" s="6" t="str">
        <f t="shared" si="1077"/>
        <v>M0</v>
      </c>
      <c r="ACP22" s="6" t="str">
        <f t="shared" si="1077"/>
        <v>M0</v>
      </c>
      <c r="ACQ22" s="6" t="str">
        <f t="shared" si="1077"/>
        <v>M0</v>
      </c>
      <c r="ACR22" s="6" t="str">
        <f t="shared" si="1077"/>
        <v>M1</v>
      </c>
      <c r="ACS22" s="6" t="str">
        <f t="shared" ref="ACS22:AFD22" si="1078">IF(ACS$23="M0","M0", "M1")</f>
        <v>M1</v>
      </c>
      <c r="ACT22" s="6" t="str">
        <f t="shared" si="1078"/>
        <v>M1</v>
      </c>
      <c r="ACU22" s="6" t="str">
        <f t="shared" si="1078"/>
        <v>M0</v>
      </c>
      <c r="ACV22" s="6" t="str">
        <f t="shared" si="1078"/>
        <v>M0</v>
      </c>
      <c r="ACW22" s="6" t="str">
        <f t="shared" si="1078"/>
        <v>M0</v>
      </c>
      <c r="ACX22" s="6" t="str">
        <f t="shared" si="1078"/>
        <v>M0</v>
      </c>
      <c r="ACY22" s="6" t="str">
        <f t="shared" si="1078"/>
        <v>M0</v>
      </c>
      <c r="ACZ22" s="6" t="str">
        <f t="shared" si="1078"/>
        <v>M0</v>
      </c>
      <c r="ADA22" s="6" t="str">
        <f t="shared" si="1078"/>
        <v>M0</v>
      </c>
      <c r="ADB22" s="6" t="str">
        <f t="shared" si="1078"/>
        <v>M0</v>
      </c>
      <c r="ADC22" s="6" t="str">
        <f t="shared" si="1078"/>
        <v>M0</v>
      </c>
      <c r="ADD22" s="6" t="str">
        <f t="shared" si="1078"/>
        <v>M0</v>
      </c>
      <c r="ADE22" s="6" t="str">
        <f t="shared" si="1078"/>
        <v>M0</v>
      </c>
      <c r="ADF22" s="6" t="str">
        <f t="shared" si="1078"/>
        <v>M0</v>
      </c>
      <c r="ADG22" s="6" t="str">
        <f t="shared" si="1078"/>
        <v>M0</v>
      </c>
      <c r="ADH22" s="6" t="str">
        <f t="shared" si="1078"/>
        <v>M0</v>
      </c>
      <c r="ADI22" s="6" t="str">
        <f t="shared" si="1078"/>
        <v>M0</v>
      </c>
      <c r="ADJ22" s="6" t="str">
        <f t="shared" si="1078"/>
        <v>M0</v>
      </c>
      <c r="ADK22" s="6" t="str">
        <f t="shared" si="1078"/>
        <v>M0</v>
      </c>
      <c r="ADL22" s="6" t="str">
        <f t="shared" si="1078"/>
        <v>M0</v>
      </c>
      <c r="ADM22" s="6" t="str">
        <f t="shared" si="1078"/>
        <v>M0</v>
      </c>
      <c r="ADN22" s="6" t="str">
        <f t="shared" si="1078"/>
        <v>M0</v>
      </c>
      <c r="ADO22" s="6" t="str">
        <f t="shared" si="1078"/>
        <v>M0</v>
      </c>
      <c r="ADP22" s="6" t="str">
        <f t="shared" si="1078"/>
        <v>M0</v>
      </c>
      <c r="ADQ22" s="6" t="str">
        <f t="shared" si="1078"/>
        <v>M0</v>
      </c>
      <c r="ADR22" s="6" t="str">
        <f t="shared" si="1078"/>
        <v>M0</v>
      </c>
      <c r="ADS22" s="6" t="str">
        <f t="shared" si="1078"/>
        <v>M0</v>
      </c>
      <c r="ADT22" s="6" t="str">
        <f t="shared" si="1078"/>
        <v>M0</v>
      </c>
      <c r="ADU22" s="6" t="str">
        <f t="shared" si="1078"/>
        <v>M0</v>
      </c>
      <c r="ADV22" s="6" t="str">
        <f t="shared" si="1078"/>
        <v>M0</v>
      </c>
      <c r="ADW22" s="6" t="str">
        <f t="shared" si="1078"/>
        <v>M0</v>
      </c>
      <c r="ADX22" s="6" t="str">
        <f t="shared" si="1078"/>
        <v>M0</v>
      </c>
      <c r="ADY22" s="6" t="str">
        <f t="shared" si="1078"/>
        <v>M0</v>
      </c>
      <c r="ADZ22" s="6" t="str">
        <f t="shared" si="1078"/>
        <v>M0</v>
      </c>
      <c r="AEA22" s="6" t="str">
        <f t="shared" si="1078"/>
        <v>M0</v>
      </c>
      <c r="AEB22" s="6" t="str">
        <f t="shared" si="1078"/>
        <v>M0</v>
      </c>
      <c r="AEC22" s="6" t="str">
        <f t="shared" si="1078"/>
        <v>M0</v>
      </c>
      <c r="AED22" s="6" t="str">
        <f t="shared" si="1078"/>
        <v>M0</v>
      </c>
      <c r="AEE22" s="6" t="str">
        <f t="shared" si="1078"/>
        <v>M0</v>
      </c>
      <c r="AEF22" s="6" t="str">
        <f t="shared" si="1078"/>
        <v>M0</v>
      </c>
      <c r="AEG22" s="6" t="str">
        <f t="shared" si="1078"/>
        <v>M0</v>
      </c>
      <c r="AEH22" s="6" t="str">
        <f t="shared" si="1078"/>
        <v>M0</v>
      </c>
      <c r="AEI22" s="6" t="str">
        <f t="shared" si="1078"/>
        <v>M0</v>
      </c>
      <c r="AEJ22" s="6" t="str">
        <f t="shared" si="1078"/>
        <v>M0</v>
      </c>
      <c r="AEK22" s="6" t="str">
        <f t="shared" si="1078"/>
        <v>M0</v>
      </c>
      <c r="AEL22" s="6" t="str">
        <f t="shared" si="1078"/>
        <v>M0</v>
      </c>
      <c r="AEM22" s="6" t="str">
        <f t="shared" si="1078"/>
        <v>M0</v>
      </c>
      <c r="AEN22" s="6" t="str">
        <f t="shared" si="1078"/>
        <v>M0</v>
      </c>
      <c r="AEO22" s="6" t="str">
        <f t="shared" si="1078"/>
        <v>M0</v>
      </c>
      <c r="AEP22" s="6" t="str">
        <f t="shared" si="1078"/>
        <v>M0</v>
      </c>
      <c r="AEQ22" s="6" t="str">
        <f t="shared" si="1078"/>
        <v>M0</v>
      </c>
      <c r="AER22" s="6" t="str">
        <f t="shared" si="1078"/>
        <v>M0</v>
      </c>
      <c r="AES22" s="6" t="str">
        <f t="shared" si="1078"/>
        <v>M0</v>
      </c>
      <c r="AET22" s="6" t="str">
        <f t="shared" si="1078"/>
        <v>M0</v>
      </c>
      <c r="AEU22" s="6" t="str">
        <f t="shared" si="1078"/>
        <v>M0</v>
      </c>
      <c r="AEV22" s="6" t="str">
        <f t="shared" si="1078"/>
        <v>M0</v>
      </c>
      <c r="AEW22" s="6" t="str">
        <f t="shared" si="1078"/>
        <v>M0</v>
      </c>
      <c r="AEX22" s="6" t="str">
        <f t="shared" si="1078"/>
        <v>M0</v>
      </c>
      <c r="AEY22" s="6" t="str">
        <f t="shared" si="1078"/>
        <v>M0</v>
      </c>
      <c r="AEZ22" s="6" t="str">
        <f t="shared" si="1078"/>
        <v>M0</v>
      </c>
      <c r="AFA22" s="6" t="str">
        <f t="shared" si="1078"/>
        <v>M0</v>
      </c>
      <c r="AFB22" s="6" t="str">
        <f t="shared" si="1078"/>
        <v>M0</v>
      </c>
      <c r="AFC22" s="6" t="str">
        <f t="shared" si="1078"/>
        <v>M0</v>
      </c>
      <c r="AFD22" s="6" t="str">
        <f t="shared" si="1078"/>
        <v>M0</v>
      </c>
      <c r="AFE22" s="6" t="str">
        <f t="shared" ref="AFE22:AHP22" si="1079">IF(AFE$23="M0","M0", "M1")</f>
        <v>M0</v>
      </c>
      <c r="AFF22" s="6" t="str">
        <f t="shared" si="1079"/>
        <v>M0</v>
      </c>
      <c r="AFG22" s="6" t="str">
        <f t="shared" si="1079"/>
        <v>M0</v>
      </c>
      <c r="AFH22" s="6" t="str">
        <f t="shared" si="1079"/>
        <v>M0</v>
      </c>
      <c r="AFI22" s="6" t="str">
        <f t="shared" si="1079"/>
        <v>M0</v>
      </c>
      <c r="AFJ22" s="6" t="str">
        <f t="shared" si="1079"/>
        <v>M0</v>
      </c>
      <c r="AFK22" s="6" t="str">
        <f t="shared" si="1079"/>
        <v>M0</v>
      </c>
      <c r="AFL22" s="6" t="str">
        <f t="shared" si="1079"/>
        <v>M0</v>
      </c>
      <c r="AFM22" s="6" t="str">
        <f t="shared" si="1079"/>
        <v>M0</v>
      </c>
      <c r="AFN22" s="6" t="str">
        <f t="shared" si="1079"/>
        <v>M0</v>
      </c>
      <c r="AFO22" s="6" t="str">
        <f t="shared" si="1079"/>
        <v>M0</v>
      </c>
      <c r="AFP22" s="6" t="str">
        <f t="shared" si="1079"/>
        <v>M0</v>
      </c>
      <c r="AFQ22" s="6" t="str">
        <f t="shared" si="1079"/>
        <v>M0</v>
      </c>
      <c r="AFR22" s="6" t="str">
        <f t="shared" si="1079"/>
        <v>M0</v>
      </c>
      <c r="AFS22" s="6" t="str">
        <f t="shared" si="1079"/>
        <v>M0</v>
      </c>
      <c r="AFT22" s="6" t="str">
        <f t="shared" si="1079"/>
        <v>M0</v>
      </c>
      <c r="AFU22" s="6" t="str">
        <f t="shared" si="1079"/>
        <v>M0</v>
      </c>
      <c r="AFV22" s="6" t="str">
        <f t="shared" si="1079"/>
        <v>M1</v>
      </c>
      <c r="AFW22" s="6" t="str">
        <f t="shared" si="1079"/>
        <v>M1</v>
      </c>
      <c r="AFX22" s="6" t="str">
        <f t="shared" si="1079"/>
        <v>M1</v>
      </c>
      <c r="AFY22" s="6" t="str">
        <f t="shared" si="1079"/>
        <v>M0</v>
      </c>
      <c r="AFZ22" s="6" t="str">
        <f t="shared" si="1079"/>
        <v>M0</v>
      </c>
      <c r="AGA22" s="6" t="str">
        <f t="shared" si="1079"/>
        <v>M0</v>
      </c>
      <c r="AGB22" s="6" t="str">
        <f t="shared" si="1079"/>
        <v>M0</v>
      </c>
      <c r="AGC22" s="6" t="str">
        <f t="shared" si="1079"/>
        <v>M0</v>
      </c>
      <c r="AGD22" s="6" t="str">
        <f t="shared" si="1079"/>
        <v>M0</v>
      </c>
      <c r="AGE22" s="6" t="str">
        <f t="shared" si="1079"/>
        <v>M0</v>
      </c>
      <c r="AGF22" s="6" t="str">
        <f t="shared" si="1079"/>
        <v>M0</v>
      </c>
      <c r="AGG22" s="6" t="str">
        <f t="shared" si="1079"/>
        <v>M0</v>
      </c>
      <c r="AGH22" s="6" t="str">
        <f t="shared" si="1079"/>
        <v>M0</v>
      </c>
      <c r="AGI22" s="6" t="str">
        <f t="shared" si="1079"/>
        <v>M0</v>
      </c>
      <c r="AGJ22" s="6" t="str">
        <f t="shared" si="1079"/>
        <v>M0</v>
      </c>
      <c r="AGK22" s="6" t="str">
        <f t="shared" si="1079"/>
        <v>M0</v>
      </c>
      <c r="AGL22" s="6" t="str">
        <f t="shared" si="1079"/>
        <v>M0</v>
      </c>
      <c r="AGM22" s="6" t="str">
        <f t="shared" si="1079"/>
        <v>M0</v>
      </c>
      <c r="AGN22" s="6" t="str">
        <f t="shared" si="1079"/>
        <v>M0</v>
      </c>
      <c r="AGO22" s="6" t="str">
        <f t="shared" si="1079"/>
        <v>M0</v>
      </c>
      <c r="AGP22" s="6" t="str">
        <f t="shared" si="1079"/>
        <v>M0</v>
      </c>
      <c r="AGQ22" s="6" t="str">
        <f t="shared" si="1079"/>
        <v>M0</v>
      </c>
      <c r="AGR22" s="6" t="str">
        <f t="shared" si="1079"/>
        <v>M0</v>
      </c>
      <c r="AGS22" s="6" t="str">
        <f t="shared" si="1079"/>
        <v>M0</v>
      </c>
      <c r="AGT22" s="6" t="str">
        <f t="shared" si="1079"/>
        <v>M0</v>
      </c>
      <c r="AGU22" s="6" t="str">
        <f t="shared" si="1079"/>
        <v>M0</v>
      </c>
      <c r="AGV22" s="6" t="str">
        <f t="shared" si="1079"/>
        <v>M0</v>
      </c>
      <c r="AGW22" s="6" t="str">
        <f t="shared" si="1079"/>
        <v>M0</v>
      </c>
      <c r="AGX22" s="6" t="str">
        <f t="shared" si="1079"/>
        <v>M0</v>
      </c>
      <c r="AGY22" s="6" t="str">
        <f t="shared" si="1079"/>
        <v>M0</v>
      </c>
      <c r="AGZ22" s="6" t="str">
        <f t="shared" si="1079"/>
        <v>M0</v>
      </c>
      <c r="AHA22" s="6" t="str">
        <f t="shared" si="1079"/>
        <v>M0</v>
      </c>
      <c r="AHB22" s="6" t="str">
        <f t="shared" si="1079"/>
        <v>M0</v>
      </c>
      <c r="AHC22" s="6" t="str">
        <f t="shared" si="1079"/>
        <v>M0</v>
      </c>
      <c r="AHD22" s="6" t="str">
        <f t="shared" si="1079"/>
        <v>M0</v>
      </c>
      <c r="AHE22" s="6" t="str">
        <f t="shared" si="1079"/>
        <v>M0</v>
      </c>
      <c r="AHF22" s="6" t="str">
        <f t="shared" si="1079"/>
        <v>M0</v>
      </c>
      <c r="AHG22" s="6" t="str">
        <f t="shared" si="1079"/>
        <v>M0</v>
      </c>
      <c r="AHH22" s="6" t="str">
        <f t="shared" si="1079"/>
        <v>M0</v>
      </c>
      <c r="AHI22" s="6" t="str">
        <f t="shared" si="1079"/>
        <v>M0</v>
      </c>
      <c r="AHJ22" s="6" t="str">
        <f t="shared" si="1079"/>
        <v>M0</v>
      </c>
      <c r="AHK22" s="6" t="str">
        <f t="shared" si="1079"/>
        <v>M0</v>
      </c>
      <c r="AHL22" s="6" t="str">
        <f t="shared" si="1079"/>
        <v>M0</v>
      </c>
      <c r="AHM22" s="6" t="str">
        <f t="shared" si="1079"/>
        <v>M0</v>
      </c>
      <c r="AHN22" s="6" t="str">
        <f t="shared" si="1079"/>
        <v>M0</v>
      </c>
      <c r="AHO22" s="6" t="str">
        <f t="shared" si="1079"/>
        <v>M0</v>
      </c>
      <c r="AHP22" s="6" t="str">
        <f t="shared" si="1079"/>
        <v>M0</v>
      </c>
      <c r="AHQ22" s="6" t="str">
        <f t="shared" ref="AHQ22:AKB22" si="1080">IF(AHQ$23="M0","M0", "M1")</f>
        <v>M0</v>
      </c>
      <c r="AHR22" s="6" t="str">
        <f t="shared" si="1080"/>
        <v>M0</v>
      </c>
      <c r="AHS22" s="6" t="str">
        <f t="shared" si="1080"/>
        <v>M0</v>
      </c>
      <c r="AHT22" s="6" t="str">
        <f t="shared" si="1080"/>
        <v>M0</v>
      </c>
      <c r="AHU22" s="6" t="str">
        <f t="shared" si="1080"/>
        <v>M0</v>
      </c>
      <c r="AHV22" s="6" t="str">
        <f t="shared" si="1080"/>
        <v>M0</v>
      </c>
      <c r="AHW22" s="6" t="str">
        <f t="shared" si="1080"/>
        <v>M0</v>
      </c>
      <c r="AHX22" s="6" t="str">
        <f t="shared" si="1080"/>
        <v>M0</v>
      </c>
      <c r="AHY22" s="6" t="str">
        <f t="shared" si="1080"/>
        <v>M0</v>
      </c>
      <c r="AHZ22" s="6" t="str">
        <f t="shared" si="1080"/>
        <v>M0</v>
      </c>
      <c r="AIA22" s="6" t="str">
        <f t="shared" si="1080"/>
        <v>M0</v>
      </c>
      <c r="AIB22" s="6" t="str">
        <f t="shared" si="1080"/>
        <v>M0</v>
      </c>
      <c r="AIC22" s="6" t="str">
        <f t="shared" si="1080"/>
        <v>M0</v>
      </c>
      <c r="AID22" s="6" t="str">
        <f t="shared" si="1080"/>
        <v>M0</v>
      </c>
      <c r="AIE22" s="6" t="str">
        <f t="shared" si="1080"/>
        <v>M0</v>
      </c>
      <c r="AIF22" s="6" t="str">
        <f t="shared" si="1080"/>
        <v>M1</v>
      </c>
      <c r="AIG22" s="6" t="str">
        <f t="shared" si="1080"/>
        <v>M1</v>
      </c>
      <c r="AIH22" s="6" t="str">
        <f t="shared" si="1080"/>
        <v>M1</v>
      </c>
      <c r="AII22" s="6" t="str">
        <f t="shared" si="1080"/>
        <v>M0</v>
      </c>
      <c r="AIJ22" s="6" t="str">
        <f t="shared" si="1080"/>
        <v>M0</v>
      </c>
      <c r="AIK22" s="6" t="str">
        <f t="shared" si="1080"/>
        <v>M0</v>
      </c>
      <c r="AIL22" s="6" t="str">
        <f t="shared" si="1080"/>
        <v>M0</v>
      </c>
      <c r="AIM22" s="6" t="str">
        <f t="shared" si="1080"/>
        <v>M0</v>
      </c>
      <c r="AIN22" s="6" t="str">
        <f t="shared" si="1080"/>
        <v>M0</v>
      </c>
      <c r="AIO22" s="6" t="str">
        <f t="shared" si="1080"/>
        <v>M0</v>
      </c>
      <c r="AIP22" s="6" t="str">
        <f t="shared" si="1080"/>
        <v>M0</v>
      </c>
      <c r="AIQ22" s="6" t="str">
        <f t="shared" si="1080"/>
        <v>M0</v>
      </c>
      <c r="AIR22" s="6" t="str">
        <f t="shared" si="1080"/>
        <v>M0</v>
      </c>
      <c r="AIS22" s="6" t="str">
        <f t="shared" si="1080"/>
        <v>M0</v>
      </c>
      <c r="AIT22" s="6" t="str">
        <f t="shared" si="1080"/>
        <v>M0</v>
      </c>
      <c r="AIU22" s="6" t="str">
        <f t="shared" si="1080"/>
        <v>M0</v>
      </c>
      <c r="AIV22" s="6" t="str">
        <f t="shared" si="1080"/>
        <v>M0</v>
      </c>
      <c r="AIW22" s="6" t="str">
        <f t="shared" si="1080"/>
        <v>M0</v>
      </c>
      <c r="AIX22" s="6" t="str">
        <f t="shared" si="1080"/>
        <v>M0</v>
      </c>
      <c r="AIY22" s="6" t="str">
        <f t="shared" si="1080"/>
        <v>M0</v>
      </c>
      <c r="AIZ22" s="6" t="str">
        <f t="shared" si="1080"/>
        <v>M0</v>
      </c>
      <c r="AJA22" s="6" t="str">
        <f t="shared" si="1080"/>
        <v>M0</v>
      </c>
      <c r="AJB22" s="6" t="str">
        <f t="shared" si="1080"/>
        <v>M0</v>
      </c>
      <c r="AJC22" s="6" t="str">
        <f t="shared" si="1080"/>
        <v>M0</v>
      </c>
      <c r="AJD22" s="6" t="str">
        <f t="shared" si="1080"/>
        <v>M0</v>
      </c>
      <c r="AJE22" s="6" t="str">
        <f t="shared" si="1080"/>
        <v>M0</v>
      </c>
      <c r="AJF22" s="6" t="str">
        <f t="shared" si="1080"/>
        <v>M0</v>
      </c>
      <c r="AJG22" s="6" t="str">
        <f t="shared" si="1080"/>
        <v>M0</v>
      </c>
      <c r="AJH22" s="6" t="str">
        <f t="shared" si="1080"/>
        <v>M0</v>
      </c>
      <c r="AJI22" s="6" t="str">
        <f t="shared" si="1080"/>
        <v>M0</v>
      </c>
      <c r="AJJ22" s="6" t="str">
        <f t="shared" si="1080"/>
        <v>M0</v>
      </c>
      <c r="AJK22" s="6" t="str">
        <f t="shared" si="1080"/>
        <v>M0</v>
      </c>
      <c r="AJL22" s="6" t="str">
        <f t="shared" si="1080"/>
        <v>M0</v>
      </c>
      <c r="AJM22" s="6" t="str">
        <f t="shared" si="1080"/>
        <v>M0</v>
      </c>
      <c r="AJN22" s="6" t="str">
        <f t="shared" si="1080"/>
        <v>M0</v>
      </c>
      <c r="AJO22" s="6" t="str">
        <f t="shared" si="1080"/>
        <v>M0</v>
      </c>
      <c r="AJP22" s="6" t="str">
        <f t="shared" si="1080"/>
        <v>M0</v>
      </c>
      <c r="AJQ22" s="6" t="str">
        <f t="shared" si="1080"/>
        <v>M0</v>
      </c>
      <c r="AJR22" s="6" t="str">
        <f t="shared" si="1080"/>
        <v>M0</v>
      </c>
      <c r="AJS22" s="6" t="str">
        <f t="shared" si="1080"/>
        <v>M0</v>
      </c>
      <c r="AJT22" s="6" t="str">
        <f t="shared" si="1080"/>
        <v>M0</v>
      </c>
      <c r="AJU22" s="6" t="str">
        <f t="shared" si="1080"/>
        <v>M0</v>
      </c>
      <c r="AJV22" s="6" t="str">
        <f t="shared" si="1080"/>
        <v>M0</v>
      </c>
      <c r="AJW22" s="6" t="str">
        <f t="shared" si="1080"/>
        <v>M0</v>
      </c>
      <c r="AJX22" s="6" t="str">
        <f t="shared" si="1080"/>
        <v>M0</v>
      </c>
      <c r="AJY22" s="6" t="str">
        <f t="shared" si="1080"/>
        <v>M0</v>
      </c>
      <c r="AJZ22" s="6" t="str">
        <f t="shared" si="1080"/>
        <v>M0</v>
      </c>
      <c r="AKA22" s="6" t="str">
        <f t="shared" si="1080"/>
        <v>M0</v>
      </c>
      <c r="AKB22" s="6" t="str">
        <f t="shared" si="1080"/>
        <v>M0</v>
      </c>
      <c r="AKC22" s="6" t="str">
        <f t="shared" ref="AKC22:ALW22" si="1081">IF(AKC$23="M0","M0", "M1")</f>
        <v>M0</v>
      </c>
      <c r="AKD22" s="6" t="str">
        <f t="shared" si="1081"/>
        <v>M0</v>
      </c>
      <c r="AKE22" s="6" t="str">
        <f t="shared" si="1081"/>
        <v>M0</v>
      </c>
      <c r="AKF22" s="6" t="str">
        <f t="shared" si="1081"/>
        <v>M0</v>
      </c>
      <c r="AKG22" s="6" t="str">
        <f t="shared" si="1081"/>
        <v>M0</v>
      </c>
      <c r="AKH22" s="6" t="str">
        <f t="shared" si="1081"/>
        <v>M0</v>
      </c>
      <c r="AKI22" s="6" t="str">
        <f t="shared" si="1081"/>
        <v>M0</v>
      </c>
      <c r="AKJ22" s="6" t="str">
        <f t="shared" si="1081"/>
        <v>M0</v>
      </c>
      <c r="AKK22" s="6" t="str">
        <f t="shared" si="1081"/>
        <v>M0</v>
      </c>
      <c r="AKL22" s="6" t="str">
        <f t="shared" si="1081"/>
        <v>M0</v>
      </c>
      <c r="AKM22" s="6" t="str">
        <f t="shared" si="1081"/>
        <v>M0</v>
      </c>
      <c r="AKN22" s="6" t="str">
        <f t="shared" si="1081"/>
        <v>M0</v>
      </c>
      <c r="AKO22" s="6" t="str">
        <f t="shared" si="1081"/>
        <v>M0</v>
      </c>
      <c r="AKP22" s="6" t="str">
        <f t="shared" si="1081"/>
        <v>M0</v>
      </c>
      <c r="AKQ22" s="6" t="str">
        <f t="shared" si="1081"/>
        <v>M0</v>
      </c>
      <c r="AKR22" s="6" t="str">
        <f t="shared" si="1081"/>
        <v>M0</v>
      </c>
      <c r="AKS22" s="6" t="str">
        <f t="shared" si="1081"/>
        <v>M0</v>
      </c>
      <c r="AKT22" s="6" t="str">
        <f t="shared" si="1081"/>
        <v>M0</v>
      </c>
      <c r="AKU22" s="6" t="str">
        <f t="shared" si="1081"/>
        <v>M0</v>
      </c>
      <c r="AKV22" s="6" t="str">
        <f t="shared" si="1081"/>
        <v>M0</v>
      </c>
      <c r="AKW22" s="6" t="str">
        <f t="shared" si="1081"/>
        <v>M0</v>
      </c>
      <c r="AKX22" s="6" t="str">
        <f t="shared" si="1081"/>
        <v>M0</v>
      </c>
      <c r="AKY22" s="6" t="str">
        <f t="shared" si="1081"/>
        <v>M0</v>
      </c>
      <c r="AKZ22" s="6" t="str">
        <f t="shared" si="1081"/>
        <v>M0</v>
      </c>
      <c r="ALA22" s="6" t="str">
        <f t="shared" si="1081"/>
        <v>M0</v>
      </c>
      <c r="ALB22" s="6" t="str">
        <f t="shared" si="1081"/>
        <v>M0</v>
      </c>
      <c r="ALC22" s="6" t="str">
        <f t="shared" si="1081"/>
        <v>M0</v>
      </c>
      <c r="ALD22" s="6" t="str">
        <f t="shared" si="1081"/>
        <v>M0</v>
      </c>
      <c r="ALE22" s="6" t="str">
        <f t="shared" si="1081"/>
        <v>M0</v>
      </c>
      <c r="ALF22" s="6" t="str">
        <f t="shared" si="1081"/>
        <v>M0</v>
      </c>
      <c r="ALG22" s="6" t="str">
        <f t="shared" si="1081"/>
        <v>M0</v>
      </c>
      <c r="ALH22" s="6" t="str">
        <f t="shared" si="1081"/>
        <v>M0</v>
      </c>
      <c r="ALI22" s="6" t="str">
        <f t="shared" si="1081"/>
        <v>M0</v>
      </c>
      <c r="ALJ22" s="6" t="str">
        <f t="shared" si="1081"/>
        <v>M1</v>
      </c>
      <c r="ALK22" s="6" t="str">
        <f t="shared" si="1081"/>
        <v>M1</v>
      </c>
      <c r="ALL22" s="6" t="str">
        <f t="shared" si="1081"/>
        <v>M1</v>
      </c>
      <c r="ALM22" s="6" t="str">
        <f t="shared" si="1081"/>
        <v>M0</v>
      </c>
      <c r="ALN22" s="6" t="str">
        <f t="shared" si="1081"/>
        <v>M0</v>
      </c>
      <c r="ALO22" s="6" t="str">
        <f t="shared" si="1081"/>
        <v>M0</v>
      </c>
      <c r="ALP22" s="6" t="str">
        <f t="shared" si="1081"/>
        <v>M0</v>
      </c>
      <c r="ALQ22" s="6" t="str">
        <f t="shared" si="1081"/>
        <v>M0</v>
      </c>
      <c r="ALR22" s="6" t="str">
        <f t="shared" si="1081"/>
        <v>M0</v>
      </c>
      <c r="ALS22" s="6" t="str">
        <f t="shared" si="1081"/>
        <v>M0</v>
      </c>
      <c r="ALT22" s="6" t="str">
        <f t="shared" si="1081"/>
        <v>M0</v>
      </c>
      <c r="ALU22" s="6" t="str">
        <f t="shared" si="1081"/>
        <v>M0</v>
      </c>
      <c r="ALV22" s="6" t="str">
        <f t="shared" si="1081"/>
        <v>M0</v>
      </c>
      <c r="ALW22" s="6" t="str">
        <f t="shared" si="1081"/>
        <v>M0</v>
      </c>
    </row>
    <row r="23" spans="2:1011" hidden="1" outlineLevel="1" x14ac:dyDescent="0.25">
      <c r="C23" s="5" t="s">
        <v>6</v>
      </c>
      <c r="D23" s="18" t="str">
        <f>IF(D$24="M1","", "M0")</f>
        <v>M0</v>
      </c>
      <c r="E23" s="18" t="str">
        <f t="shared" ref="E23:BP23" si="1082">IF(E$24="M1","", "M0")</f>
        <v>M0</v>
      </c>
      <c r="F23" s="18" t="str">
        <f t="shared" si="1082"/>
        <v>M0</v>
      </c>
      <c r="G23" s="18" t="str">
        <f t="shared" si="1082"/>
        <v>M0</v>
      </c>
      <c r="H23" s="18" t="str">
        <f t="shared" si="1082"/>
        <v>M0</v>
      </c>
      <c r="I23" s="18" t="str">
        <f t="shared" si="1082"/>
        <v>M0</v>
      </c>
      <c r="J23" s="18" t="str">
        <f t="shared" si="1082"/>
        <v/>
      </c>
      <c r="K23" s="18" t="str">
        <f t="shared" si="1082"/>
        <v/>
      </c>
      <c r="L23" s="18" t="str">
        <f t="shared" si="1082"/>
        <v/>
      </c>
      <c r="M23" s="18" t="str">
        <f t="shared" si="1082"/>
        <v/>
      </c>
      <c r="N23" s="18" t="str">
        <f t="shared" si="1082"/>
        <v>M0</v>
      </c>
      <c r="O23" s="18" t="str">
        <f t="shared" si="1082"/>
        <v>M0</v>
      </c>
      <c r="P23" s="18" t="str">
        <f t="shared" si="1082"/>
        <v>M0</v>
      </c>
      <c r="Q23" s="18" t="str">
        <f t="shared" si="1082"/>
        <v>M0</v>
      </c>
      <c r="R23" s="18" t="str">
        <f t="shared" si="1082"/>
        <v>M0</v>
      </c>
      <c r="S23" s="18" t="str">
        <f t="shared" si="1082"/>
        <v>M0</v>
      </c>
      <c r="T23" s="18" t="str">
        <f t="shared" si="1082"/>
        <v>M0</v>
      </c>
      <c r="U23" s="18" t="str">
        <f t="shared" si="1082"/>
        <v>M0</v>
      </c>
      <c r="V23" s="18" t="str">
        <f t="shared" si="1082"/>
        <v>M0</v>
      </c>
      <c r="W23" s="18" t="str">
        <f t="shared" si="1082"/>
        <v>M0</v>
      </c>
      <c r="X23" s="18" t="str">
        <f t="shared" si="1082"/>
        <v>M0</v>
      </c>
      <c r="Y23" s="18" t="str">
        <f t="shared" si="1082"/>
        <v>M0</v>
      </c>
      <c r="Z23" s="18" t="str">
        <f t="shared" si="1082"/>
        <v>M0</v>
      </c>
      <c r="AA23" s="18" t="str">
        <f t="shared" si="1082"/>
        <v>M0</v>
      </c>
      <c r="AB23" s="18" t="str">
        <f t="shared" si="1082"/>
        <v>M0</v>
      </c>
      <c r="AC23" s="18" t="str">
        <f t="shared" si="1082"/>
        <v>M0</v>
      </c>
      <c r="AD23" s="18" t="str">
        <f t="shared" si="1082"/>
        <v>M0</v>
      </c>
      <c r="AE23" s="18" t="str">
        <f t="shared" si="1082"/>
        <v>M0</v>
      </c>
      <c r="AF23" s="18" t="str">
        <f t="shared" si="1082"/>
        <v>M0</v>
      </c>
      <c r="AG23" s="18" t="str">
        <f t="shared" si="1082"/>
        <v>M0</v>
      </c>
      <c r="AH23" s="18" t="str">
        <f t="shared" si="1082"/>
        <v>M0</v>
      </c>
      <c r="AI23" s="18" t="str">
        <f t="shared" si="1082"/>
        <v>M0</v>
      </c>
      <c r="AJ23" s="18" t="str">
        <f t="shared" si="1082"/>
        <v>M0</v>
      </c>
      <c r="AK23" s="18" t="str">
        <f t="shared" si="1082"/>
        <v>M0</v>
      </c>
      <c r="AL23" s="18" t="str">
        <f t="shared" si="1082"/>
        <v>M0</v>
      </c>
      <c r="AM23" s="18" t="str">
        <f t="shared" si="1082"/>
        <v>M0</v>
      </c>
      <c r="AN23" s="18" t="str">
        <f t="shared" si="1082"/>
        <v>M0</v>
      </c>
      <c r="AO23" s="18" t="str">
        <f t="shared" si="1082"/>
        <v>M0</v>
      </c>
      <c r="AP23" s="18" t="str">
        <f t="shared" si="1082"/>
        <v>M0</v>
      </c>
      <c r="AQ23" s="18" t="str">
        <f t="shared" si="1082"/>
        <v>M0</v>
      </c>
      <c r="AR23" s="18" t="str">
        <f t="shared" si="1082"/>
        <v>M0</v>
      </c>
      <c r="AS23" s="18" t="str">
        <f t="shared" si="1082"/>
        <v>M0</v>
      </c>
      <c r="AT23" s="18" t="str">
        <f t="shared" si="1082"/>
        <v>M0</v>
      </c>
      <c r="AU23" s="18" t="str">
        <f t="shared" si="1082"/>
        <v>M0</v>
      </c>
      <c r="AV23" s="18" t="str">
        <f t="shared" si="1082"/>
        <v>M0</v>
      </c>
      <c r="AW23" s="18" t="str">
        <f t="shared" si="1082"/>
        <v>M0</v>
      </c>
      <c r="AX23" s="18" t="str">
        <f t="shared" si="1082"/>
        <v>M0</v>
      </c>
      <c r="AY23" s="18" t="str">
        <f t="shared" si="1082"/>
        <v>M0</v>
      </c>
      <c r="AZ23" s="18" t="str">
        <f t="shared" si="1082"/>
        <v>M0</v>
      </c>
      <c r="BA23" s="18" t="str">
        <f t="shared" si="1082"/>
        <v>M0</v>
      </c>
      <c r="BB23" s="18" t="str">
        <f t="shared" si="1082"/>
        <v>M0</v>
      </c>
      <c r="BC23" s="18" t="str">
        <f t="shared" si="1082"/>
        <v>M0</v>
      </c>
      <c r="BD23" s="18" t="str">
        <f t="shared" si="1082"/>
        <v>M0</v>
      </c>
      <c r="BE23" s="18" t="str">
        <f t="shared" si="1082"/>
        <v>M0</v>
      </c>
      <c r="BF23" s="18" t="str">
        <f t="shared" si="1082"/>
        <v>M0</v>
      </c>
      <c r="BG23" s="18" t="str">
        <f t="shared" si="1082"/>
        <v>M0</v>
      </c>
      <c r="BH23" s="18" t="str">
        <f t="shared" si="1082"/>
        <v>M0</v>
      </c>
      <c r="BI23" s="18" t="str">
        <f t="shared" si="1082"/>
        <v>M0</v>
      </c>
      <c r="BJ23" s="18" t="str">
        <f t="shared" si="1082"/>
        <v>M0</v>
      </c>
      <c r="BK23" s="18" t="str">
        <f t="shared" si="1082"/>
        <v>M0</v>
      </c>
      <c r="BL23" s="18" t="str">
        <f t="shared" si="1082"/>
        <v>M0</v>
      </c>
      <c r="BM23" s="18" t="str">
        <f t="shared" si="1082"/>
        <v>M0</v>
      </c>
      <c r="BN23" s="18" t="str">
        <f t="shared" si="1082"/>
        <v>M0</v>
      </c>
      <c r="BO23" s="18" t="str">
        <f t="shared" si="1082"/>
        <v>M0</v>
      </c>
      <c r="BP23" s="18" t="str">
        <f t="shared" si="1082"/>
        <v>M0</v>
      </c>
      <c r="BQ23" s="18" t="str">
        <f t="shared" ref="BQ23:EB23" si="1083">IF(BQ$24="M1","", "M0")</f>
        <v>M0</v>
      </c>
      <c r="BR23" s="18" t="str">
        <f t="shared" si="1083"/>
        <v>M0</v>
      </c>
      <c r="BS23" s="18" t="str">
        <f t="shared" si="1083"/>
        <v>M0</v>
      </c>
      <c r="BT23" s="18" t="str">
        <f t="shared" si="1083"/>
        <v>M0</v>
      </c>
      <c r="BU23" s="18" t="str">
        <f t="shared" si="1083"/>
        <v>M0</v>
      </c>
      <c r="BV23" s="18" t="str">
        <f t="shared" si="1083"/>
        <v>M0</v>
      </c>
      <c r="BW23" s="18" t="str">
        <f t="shared" si="1083"/>
        <v>M0</v>
      </c>
      <c r="BX23" s="18" t="str">
        <f t="shared" si="1083"/>
        <v>M0</v>
      </c>
      <c r="BY23" s="18" t="str">
        <f t="shared" si="1083"/>
        <v/>
      </c>
      <c r="BZ23" s="18" t="str">
        <f t="shared" si="1083"/>
        <v/>
      </c>
      <c r="CA23" s="18" t="str">
        <f t="shared" si="1083"/>
        <v/>
      </c>
      <c r="CB23" s="18" t="str">
        <f t="shared" si="1083"/>
        <v>M0</v>
      </c>
      <c r="CC23" s="18" t="str">
        <f t="shared" si="1083"/>
        <v>M0</v>
      </c>
      <c r="CD23" s="18" t="str">
        <f t="shared" si="1083"/>
        <v>M0</v>
      </c>
      <c r="CE23" s="18" t="str">
        <f t="shared" si="1083"/>
        <v>M0</v>
      </c>
      <c r="CF23" s="18" t="str">
        <f t="shared" si="1083"/>
        <v>M0</v>
      </c>
      <c r="CG23" s="18" t="str">
        <f t="shared" si="1083"/>
        <v>M0</v>
      </c>
      <c r="CH23" s="18" t="str">
        <f t="shared" si="1083"/>
        <v>M0</v>
      </c>
      <c r="CI23" s="18" t="str">
        <f t="shared" si="1083"/>
        <v>M0</v>
      </c>
      <c r="CJ23" s="18" t="str">
        <f t="shared" si="1083"/>
        <v>M0</v>
      </c>
      <c r="CK23" s="18" t="str">
        <f t="shared" si="1083"/>
        <v>M0</v>
      </c>
      <c r="CL23" s="18" t="str">
        <f t="shared" si="1083"/>
        <v>M0</v>
      </c>
      <c r="CM23" s="18" t="str">
        <f t="shared" si="1083"/>
        <v>M0</v>
      </c>
      <c r="CN23" s="18" t="str">
        <f t="shared" si="1083"/>
        <v>M0</v>
      </c>
      <c r="CO23" s="18" t="str">
        <f t="shared" si="1083"/>
        <v>M0</v>
      </c>
      <c r="CP23" s="18" t="str">
        <f t="shared" si="1083"/>
        <v>M0</v>
      </c>
      <c r="CQ23" s="18" t="str">
        <f t="shared" si="1083"/>
        <v>M0</v>
      </c>
      <c r="CR23" s="18" t="str">
        <f t="shared" si="1083"/>
        <v>M0</v>
      </c>
      <c r="CS23" s="18" t="str">
        <f t="shared" si="1083"/>
        <v>M0</v>
      </c>
      <c r="CT23" s="18" t="str">
        <f t="shared" si="1083"/>
        <v>M0</v>
      </c>
      <c r="CU23" s="18" t="str">
        <f t="shared" si="1083"/>
        <v>M0</v>
      </c>
      <c r="CV23" s="18" t="str">
        <f t="shared" si="1083"/>
        <v>M0</v>
      </c>
      <c r="CW23" s="18" t="str">
        <f t="shared" si="1083"/>
        <v>M0</v>
      </c>
      <c r="CX23" s="18" t="str">
        <f t="shared" si="1083"/>
        <v>M0</v>
      </c>
      <c r="CY23" s="18" t="str">
        <f t="shared" si="1083"/>
        <v>M0</v>
      </c>
      <c r="CZ23" s="18" t="str">
        <f t="shared" si="1083"/>
        <v>M0</v>
      </c>
      <c r="DA23" s="18" t="str">
        <f t="shared" si="1083"/>
        <v>M0</v>
      </c>
      <c r="DB23" s="18" t="str">
        <f t="shared" si="1083"/>
        <v>M0</v>
      </c>
      <c r="DC23" s="18" t="str">
        <f t="shared" si="1083"/>
        <v>M0</v>
      </c>
      <c r="DD23" s="18" t="str">
        <f t="shared" si="1083"/>
        <v>M0</v>
      </c>
      <c r="DE23" s="18" t="str">
        <f t="shared" si="1083"/>
        <v>M0</v>
      </c>
      <c r="DF23" s="18" t="str">
        <f t="shared" si="1083"/>
        <v>M0</v>
      </c>
      <c r="DG23" s="18" t="str">
        <f t="shared" si="1083"/>
        <v>M0</v>
      </c>
      <c r="DH23" s="18" t="str">
        <f t="shared" si="1083"/>
        <v>M0</v>
      </c>
      <c r="DI23" s="18" t="str">
        <f t="shared" si="1083"/>
        <v>M0</v>
      </c>
      <c r="DJ23" s="18" t="str">
        <f t="shared" si="1083"/>
        <v>M0</v>
      </c>
      <c r="DK23" s="18" t="str">
        <f t="shared" si="1083"/>
        <v>M0</v>
      </c>
      <c r="DL23" s="18" t="str">
        <f t="shared" si="1083"/>
        <v>M0</v>
      </c>
      <c r="DM23" s="18" t="str">
        <f t="shared" si="1083"/>
        <v>M0</v>
      </c>
      <c r="DN23" s="18" t="str">
        <f t="shared" si="1083"/>
        <v>M0</v>
      </c>
      <c r="DO23" s="18" t="str">
        <f t="shared" si="1083"/>
        <v>M0</v>
      </c>
      <c r="DP23" s="18" t="str">
        <f t="shared" si="1083"/>
        <v>M0</v>
      </c>
      <c r="DQ23" s="18" t="str">
        <f t="shared" si="1083"/>
        <v>M0</v>
      </c>
      <c r="DR23" s="18" t="str">
        <f t="shared" si="1083"/>
        <v>M0</v>
      </c>
      <c r="DS23" s="18" t="str">
        <f t="shared" si="1083"/>
        <v>M0</v>
      </c>
      <c r="DT23" s="18" t="str">
        <f t="shared" si="1083"/>
        <v>M0</v>
      </c>
      <c r="DU23" s="18" t="str">
        <f t="shared" si="1083"/>
        <v>M0</v>
      </c>
      <c r="DV23" s="18" t="str">
        <f t="shared" si="1083"/>
        <v>M0</v>
      </c>
      <c r="DW23" s="18" t="str">
        <f t="shared" si="1083"/>
        <v>M0</v>
      </c>
      <c r="DX23" s="18" t="str">
        <f t="shared" si="1083"/>
        <v>M0</v>
      </c>
      <c r="DY23" s="18" t="str">
        <f t="shared" si="1083"/>
        <v>M0</v>
      </c>
      <c r="DZ23" s="18" t="str">
        <f t="shared" si="1083"/>
        <v>M0</v>
      </c>
      <c r="EA23" s="18" t="str">
        <f t="shared" si="1083"/>
        <v>M0</v>
      </c>
      <c r="EB23" s="18" t="str">
        <f t="shared" si="1083"/>
        <v>M0</v>
      </c>
      <c r="EC23" s="18" t="str">
        <f t="shared" ref="EC23:GN23" si="1084">IF(EC$24="M1","", "M0")</f>
        <v>M0</v>
      </c>
      <c r="ED23" s="18" t="str">
        <f t="shared" si="1084"/>
        <v>M0</v>
      </c>
      <c r="EE23" s="18" t="str">
        <f t="shared" si="1084"/>
        <v>M0</v>
      </c>
      <c r="EF23" s="18" t="str">
        <f t="shared" si="1084"/>
        <v>M0</v>
      </c>
      <c r="EG23" s="18" t="str">
        <f t="shared" si="1084"/>
        <v>M0</v>
      </c>
      <c r="EH23" s="18" t="str">
        <f t="shared" si="1084"/>
        <v>M0</v>
      </c>
      <c r="EI23" s="18" t="str">
        <f t="shared" si="1084"/>
        <v>M0</v>
      </c>
      <c r="EJ23" s="18" t="str">
        <f t="shared" si="1084"/>
        <v>M0</v>
      </c>
      <c r="EK23" s="18" t="str">
        <f t="shared" si="1084"/>
        <v>M0</v>
      </c>
      <c r="EL23" s="18" t="str">
        <f t="shared" si="1084"/>
        <v>M0</v>
      </c>
      <c r="EM23" s="18" t="str">
        <f t="shared" si="1084"/>
        <v>M0</v>
      </c>
      <c r="EN23" s="18" t="str">
        <f t="shared" si="1084"/>
        <v>M0</v>
      </c>
      <c r="EO23" s="18" t="str">
        <f t="shared" si="1084"/>
        <v>M0</v>
      </c>
      <c r="EP23" s="18" t="str">
        <f t="shared" si="1084"/>
        <v>M0</v>
      </c>
      <c r="EQ23" s="18" t="str">
        <f t="shared" si="1084"/>
        <v>M0</v>
      </c>
      <c r="ER23" s="18" t="str">
        <f t="shared" si="1084"/>
        <v>M0</v>
      </c>
      <c r="ES23" s="18" t="str">
        <f t="shared" si="1084"/>
        <v>M0</v>
      </c>
      <c r="ET23" s="18" t="str">
        <f t="shared" si="1084"/>
        <v>M0</v>
      </c>
      <c r="EU23" s="18" t="str">
        <f t="shared" si="1084"/>
        <v>M0</v>
      </c>
      <c r="EV23" s="18" t="str">
        <f t="shared" si="1084"/>
        <v>M0</v>
      </c>
      <c r="EW23" s="18" t="str">
        <f t="shared" si="1084"/>
        <v>M0</v>
      </c>
      <c r="EX23" s="18" t="str">
        <f t="shared" si="1084"/>
        <v>M0</v>
      </c>
      <c r="EY23" s="18" t="str">
        <f t="shared" si="1084"/>
        <v>M0</v>
      </c>
      <c r="EZ23" s="18" t="str">
        <f t="shared" si="1084"/>
        <v>M0</v>
      </c>
      <c r="FA23" s="18" t="str">
        <f t="shared" si="1084"/>
        <v>M0</v>
      </c>
      <c r="FB23" s="18" t="str">
        <f t="shared" si="1084"/>
        <v>M0</v>
      </c>
      <c r="FC23" s="18" t="str">
        <f t="shared" si="1084"/>
        <v>M0</v>
      </c>
      <c r="FD23" s="18" t="str">
        <f t="shared" si="1084"/>
        <v>M0</v>
      </c>
      <c r="FE23" s="18" t="str">
        <f t="shared" si="1084"/>
        <v>M0</v>
      </c>
      <c r="FF23" s="18" t="str">
        <f t="shared" si="1084"/>
        <v>M0</v>
      </c>
      <c r="FG23" s="18" t="str">
        <f t="shared" si="1084"/>
        <v>M0</v>
      </c>
      <c r="FH23" s="18" t="str">
        <f t="shared" si="1084"/>
        <v>M0</v>
      </c>
      <c r="FI23" s="18" t="str">
        <f t="shared" si="1084"/>
        <v>M0</v>
      </c>
      <c r="FJ23" s="18" t="str">
        <f t="shared" si="1084"/>
        <v>M0</v>
      </c>
      <c r="FK23" s="18" t="str">
        <f t="shared" si="1084"/>
        <v>M0</v>
      </c>
      <c r="FL23" s="18" t="str">
        <f t="shared" si="1084"/>
        <v>M0</v>
      </c>
      <c r="FM23" s="18" t="str">
        <f t="shared" si="1084"/>
        <v>M0</v>
      </c>
      <c r="FN23" s="18" t="str">
        <f t="shared" si="1084"/>
        <v>M0</v>
      </c>
      <c r="FO23" s="18" t="str">
        <f t="shared" si="1084"/>
        <v>M0</v>
      </c>
      <c r="FP23" s="18" t="str">
        <f t="shared" si="1084"/>
        <v>M0</v>
      </c>
      <c r="FQ23" s="18" t="str">
        <f t="shared" si="1084"/>
        <v>M0</v>
      </c>
      <c r="FR23" s="18" t="str">
        <f t="shared" si="1084"/>
        <v>M0</v>
      </c>
      <c r="FS23" s="18" t="str">
        <f t="shared" si="1084"/>
        <v>M0</v>
      </c>
      <c r="FT23" s="18" t="str">
        <f t="shared" si="1084"/>
        <v>M0</v>
      </c>
      <c r="FU23" s="18" t="str">
        <f t="shared" si="1084"/>
        <v>M0</v>
      </c>
      <c r="FV23" s="18" t="str">
        <f t="shared" si="1084"/>
        <v>M0</v>
      </c>
      <c r="FW23" s="18" t="str">
        <f t="shared" si="1084"/>
        <v>M0</v>
      </c>
      <c r="FX23" s="18" t="str">
        <f t="shared" si="1084"/>
        <v>M0</v>
      </c>
      <c r="FY23" s="18" t="str">
        <f t="shared" si="1084"/>
        <v>M0</v>
      </c>
      <c r="FZ23" s="18" t="str">
        <f t="shared" si="1084"/>
        <v>M0</v>
      </c>
      <c r="GA23" s="18" t="str">
        <f t="shared" si="1084"/>
        <v>M0</v>
      </c>
      <c r="GB23" s="18" t="str">
        <f t="shared" si="1084"/>
        <v>M0</v>
      </c>
      <c r="GC23" s="18" t="str">
        <f t="shared" si="1084"/>
        <v>M0</v>
      </c>
      <c r="GD23" s="18" t="str">
        <f t="shared" si="1084"/>
        <v>M0</v>
      </c>
      <c r="GE23" s="18" t="str">
        <f t="shared" si="1084"/>
        <v>M0</v>
      </c>
      <c r="GF23" s="18" t="str">
        <f t="shared" si="1084"/>
        <v>M0</v>
      </c>
      <c r="GG23" s="18" t="str">
        <f t="shared" si="1084"/>
        <v>M0</v>
      </c>
      <c r="GH23" s="18" t="str">
        <f t="shared" si="1084"/>
        <v>M0</v>
      </c>
      <c r="GI23" s="18" t="str">
        <f t="shared" si="1084"/>
        <v>M0</v>
      </c>
      <c r="GJ23" s="18" t="str">
        <f t="shared" si="1084"/>
        <v>M0</v>
      </c>
      <c r="GK23" s="18" t="str">
        <f t="shared" si="1084"/>
        <v>M0</v>
      </c>
      <c r="GL23" s="18" t="str">
        <f t="shared" si="1084"/>
        <v>M0</v>
      </c>
      <c r="GM23" s="18" t="str">
        <f t="shared" si="1084"/>
        <v>M0</v>
      </c>
      <c r="GN23" s="18" t="str">
        <f t="shared" si="1084"/>
        <v/>
      </c>
      <c r="GO23" s="18" t="str">
        <f t="shared" ref="GO23:IZ23" si="1085">IF(GO$24="M1","", "M0")</f>
        <v/>
      </c>
      <c r="GP23" s="18" t="str">
        <f t="shared" si="1085"/>
        <v/>
      </c>
      <c r="GQ23" s="18" t="str">
        <f t="shared" si="1085"/>
        <v>M0</v>
      </c>
      <c r="GR23" s="18" t="str">
        <f t="shared" si="1085"/>
        <v>M0</v>
      </c>
      <c r="GS23" s="18" t="str">
        <f t="shared" si="1085"/>
        <v>M0</v>
      </c>
      <c r="GT23" s="18" t="str">
        <f t="shared" si="1085"/>
        <v>M0</v>
      </c>
      <c r="GU23" s="18" t="str">
        <f t="shared" si="1085"/>
        <v>M0</v>
      </c>
      <c r="GV23" s="18" t="str">
        <f t="shared" si="1085"/>
        <v>M0</v>
      </c>
      <c r="GW23" s="18" t="str">
        <f t="shared" si="1085"/>
        <v>M0</v>
      </c>
      <c r="GX23" s="18" t="str">
        <f t="shared" si="1085"/>
        <v>M0</v>
      </c>
      <c r="GY23" s="18" t="str">
        <f t="shared" si="1085"/>
        <v>M0</v>
      </c>
      <c r="GZ23" s="18" t="str">
        <f t="shared" si="1085"/>
        <v>M0</v>
      </c>
      <c r="HA23" s="18" t="str">
        <f t="shared" si="1085"/>
        <v>M0</v>
      </c>
      <c r="HB23" s="18" t="str">
        <f t="shared" si="1085"/>
        <v>M0</v>
      </c>
      <c r="HC23" s="18" t="str">
        <f t="shared" si="1085"/>
        <v>M0</v>
      </c>
      <c r="HD23" s="18" t="str">
        <f t="shared" si="1085"/>
        <v>M0</v>
      </c>
      <c r="HE23" s="18" t="str">
        <f t="shared" si="1085"/>
        <v>M0</v>
      </c>
      <c r="HF23" s="18" t="str">
        <f t="shared" si="1085"/>
        <v>M0</v>
      </c>
      <c r="HG23" s="18" t="str">
        <f t="shared" si="1085"/>
        <v>M0</v>
      </c>
      <c r="HH23" s="18" t="str">
        <f t="shared" si="1085"/>
        <v>M0</v>
      </c>
      <c r="HI23" s="18" t="str">
        <f t="shared" si="1085"/>
        <v>M0</v>
      </c>
      <c r="HJ23" s="18" t="str">
        <f t="shared" si="1085"/>
        <v>M0</v>
      </c>
      <c r="HK23" s="18" t="str">
        <f t="shared" si="1085"/>
        <v>M0</v>
      </c>
      <c r="HL23" s="18" t="str">
        <f t="shared" si="1085"/>
        <v>M0</v>
      </c>
      <c r="HM23" s="18" t="str">
        <f t="shared" si="1085"/>
        <v>M0</v>
      </c>
      <c r="HN23" s="18" t="str">
        <f t="shared" si="1085"/>
        <v>M0</v>
      </c>
      <c r="HO23" s="18" t="str">
        <f t="shared" si="1085"/>
        <v>M0</v>
      </c>
      <c r="HP23" s="18" t="str">
        <f t="shared" si="1085"/>
        <v>M0</v>
      </c>
      <c r="HQ23" s="18" t="str">
        <f t="shared" si="1085"/>
        <v>M0</v>
      </c>
      <c r="HR23" s="18" t="str">
        <f t="shared" si="1085"/>
        <v>M0</v>
      </c>
      <c r="HS23" s="18" t="str">
        <f t="shared" si="1085"/>
        <v>M0</v>
      </c>
      <c r="HT23" s="18" t="str">
        <f t="shared" si="1085"/>
        <v>M0</v>
      </c>
      <c r="HU23" s="18" t="str">
        <f t="shared" si="1085"/>
        <v>M0</v>
      </c>
      <c r="HV23" s="18" t="str">
        <f t="shared" si="1085"/>
        <v>M0</v>
      </c>
      <c r="HW23" s="18" t="str">
        <f t="shared" si="1085"/>
        <v>M0</v>
      </c>
      <c r="HX23" s="18" t="str">
        <f t="shared" si="1085"/>
        <v>M0</v>
      </c>
      <c r="HY23" s="18" t="str">
        <f t="shared" si="1085"/>
        <v>M0</v>
      </c>
      <c r="HZ23" s="18" t="str">
        <f t="shared" si="1085"/>
        <v>M0</v>
      </c>
      <c r="IA23" s="18" t="str">
        <f t="shared" si="1085"/>
        <v>M0</v>
      </c>
      <c r="IB23" s="18" t="str">
        <f t="shared" si="1085"/>
        <v>M0</v>
      </c>
      <c r="IC23" s="18" t="str">
        <f t="shared" si="1085"/>
        <v>M0</v>
      </c>
      <c r="ID23" s="18" t="str">
        <f t="shared" si="1085"/>
        <v>M0</v>
      </c>
      <c r="IE23" s="18" t="str">
        <f t="shared" si="1085"/>
        <v>M0</v>
      </c>
      <c r="IF23" s="18" t="str">
        <f t="shared" si="1085"/>
        <v>M0</v>
      </c>
      <c r="IG23" s="18" t="str">
        <f t="shared" si="1085"/>
        <v>M0</v>
      </c>
      <c r="IH23" s="18" t="str">
        <f t="shared" si="1085"/>
        <v>M0</v>
      </c>
      <c r="II23" s="18" t="str">
        <f t="shared" si="1085"/>
        <v>M0</v>
      </c>
      <c r="IJ23" s="18" t="str">
        <f t="shared" si="1085"/>
        <v>M0</v>
      </c>
      <c r="IK23" s="18" t="str">
        <f t="shared" si="1085"/>
        <v>M0</v>
      </c>
      <c r="IL23" s="18" t="str">
        <f t="shared" si="1085"/>
        <v>M0</v>
      </c>
      <c r="IM23" s="18" t="str">
        <f t="shared" si="1085"/>
        <v>M0</v>
      </c>
      <c r="IN23" s="18" t="str">
        <f t="shared" si="1085"/>
        <v>M0</v>
      </c>
      <c r="IO23" s="18" t="str">
        <f t="shared" si="1085"/>
        <v>M0</v>
      </c>
      <c r="IP23" s="18" t="str">
        <f t="shared" si="1085"/>
        <v>M0</v>
      </c>
      <c r="IQ23" s="18" t="str">
        <f t="shared" si="1085"/>
        <v>M0</v>
      </c>
      <c r="IR23" s="18" t="str">
        <f t="shared" si="1085"/>
        <v>M0</v>
      </c>
      <c r="IS23" s="18" t="str">
        <f t="shared" si="1085"/>
        <v>M0</v>
      </c>
      <c r="IT23" s="18" t="str">
        <f t="shared" si="1085"/>
        <v>M0</v>
      </c>
      <c r="IU23" s="18" t="str">
        <f t="shared" si="1085"/>
        <v>M0</v>
      </c>
      <c r="IV23" s="18" t="str">
        <f t="shared" si="1085"/>
        <v>M0</v>
      </c>
      <c r="IW23" s="18" t="str">
        <f t="shared" si="1085"/>
        <v>M0</v>
      </c>
      <c r="IX23" s="18" t="str">
        <f t="shared" si="1085"/>
        <v>M0</v>
      </c>
      <c r="IY23" s="18" t="str">
        <f t="shared" si="1085"/>
        <v>M0</v>
      </c>
      <c r="IZ23" s="18" t="str">
        <f t="shared" si="1085"/>
        <v>M0</v>
      </c>
      <c r="JA23" s="18" t="str">
        <f t="shared" ref="JA23:LL23" si="1086">IF(JA$24="M1","", "M0")</f>
        <v>M0</v>
      </c>
      <c r="JB23" s="18" t="str">
        <f t="shared" si="1086"/>
        <v>M0</v>
      </c>
      <c r="JC23" s="18" t="str">
        <f t="shared" si="1086"/>
        <v>M0</v>
      </c>
      <c r="JD23" s="18" t="str">
        <f t="shared" si="1086"/>
        <v>M0</v>
      </c>
      <c r="JE23" s="18" t="str">
        <f t="shared" si="1086"/>
        <v>M0</v>
      </c>
      <c r="JF23" s="18" t="str">
        <f t="shared" si="1086"/>
        <v>M0</v>
      </c>
      <c r="JG23" s="18" t="str">
        <f t="shared" si="1086"/>
        <v>M0</v>
      </c>
      <c r="JH23" s="18" t="str">
        <f t="shared" si="1086"/>
        <v>M0</v>
      </c>
      <c r="JI23" s="18" t="str">
        <f t="shared" si="1086"/>
        <v>M0</v>
      </c>
      <c r="JJ23" s="18" t="str">
        <f t="shared" si="1086"/>
        <v>M0</v>
      </c>
      <c r="JK23" s="18" t="str">
        <f t="shared" si="1086"/>
        <v>M0</v>
      </c>
      <c r="JL23" s="18" t="str">
        <f t="shared" si="1086"/>
        <v>M0</v>
      </c>
      <c r="JM23" s="18" t="str">
        <f t="shared" si="1086"/>
        <v>M0</v>
      </c>
      <c r="JN23" s="18" t="str">
        <f t="shared" si="1086"/>
        <v>M0</v>
      </c>
      <c r="JO23" s="18" t="str">
        <f t="shared" si="1086"/>
        <v>M0</v>
      </c>
      <c r="JP23" s="18" t="str">
        <f t="shared" si="1086"/>
        <v>M0</v>
      </c>
      <c r="JQ23" s="18" t="str">
        <f t="shared" si="1086"/>
        <v>M0</v>
      </c>
      <c r="JR23" s="18" t="str">
        <f t="shared" si="1086"/>
        <v/>
      </c>
      <c r="JS23" s="18" t="str">
        <f t="shared" si="1086"/>
        <v/>
      </c>
      <c r="JT23" s="18" t="str">
        <f t="shared" si="1086"/>
        <v/>
      </c>
      <c r="JU23" s="18" t="str">
        <f t="shared" si="1086"/>
        <v>M0</v>
      </c>
      <c r="JV23" s="18" t="str">
        <f t="shared" si="1086"/>
        <v>M0</v>
      </c>
      <c r="JW23" s="18" t="str">
        <f t="shared" si="1086"/>
        <v>M0</v>
      </c>
      <c r="JX23" s="18" t="str">
        <f t="shared" si="1086"/>
        <v>M0</v>
      </c>
      <c r="JY23" s="18" t="str">
        <f t="shared" si="1086"/>
        <v>M0</v>
      </c>
      <c r="JZ23" s="18" t="str">
        <f t="shared" si="1086"/>
        <v>M0</v>
      </c>
      <c r="KA23" s="18" t="str">
        <f t="shared" si="1086"/>
        <v>M0</v>
      </c>
      <c r="KB23" s="18" t="str">
        <f t="shared" si="1086"/>
        <v>M0</v>
      </c>
      <c r="KC23" s="18" t="str">
        <f t="shared" si="1086"/>
        <v>M0</v>
      </c>
      <c r="KD23" s="18" t="str">
        <f t="shared" si="1086"/>
        <v>M0</v>
      </c>
      <c r="KE23" s="18" t="str">
        <f t="shared" si="1086"/>
        <v>M0</v>
      </c>
      <c r="KF23" s="18" t="str">
        <f t="shared" si="1086"/>
        <v>M0</v>
      </c>
      <c r="KG23" s="18" t="str">
        <f t="shared" si="1086"/>
        <v>M0</v>
      </c>
      <c r="KH23" s="18" t="str">
        <f t="shared" si="1086"/>
        <v>M0</v>
      </c>
      <c r="KI23" s="18" t="str">
        <f t="shared" si="1086"/>
        <v>M0</v>
      </c>
      <c r="KJ23" s="18" t="str">
        <f t="shared" si="1086"/>
        <v>M0</v>
      </c>
      <c r="KK23" s="18" t="str">
        <f t="shared" si="1086"/>
        <v>M0</v>
      </c>
      <c r="KL23" s="18" t="str">
        <f t="shared" si="1086"/>
        <v>M0</v>
      </c>
      <c r="KM23" s="18" t="str">
        <f t="shared" si="1086"/>
        <v>M0</v>
      </c>
      <c r="KN23" s="18" t="str">
        <f t="shared" si="1086"/>
        <v>M0</v>
      </c>
      <c r="KO23" s="18" t="str">
        <f t="shared" si="1086"/>
        <v>M0</v>
      </c>
      <c r="KP23" s="18" t="str">
        <f t="shared" si="1086"/>
        <v>M0</v>
      </c>
      <c r="KQ23" s="18" t="str">
        <f t="shared" si="1086"/>
        <v>M0</v>
      </c>
      <c r="KR23" s="18" t="str">
        <f t="shared" si="1086"/>
        <v>M0</v>
      </c>
      <c r="KS23" s="18" t="str">
        <f t="shared" si="1086"/>
        <v>M0</v>
      </c>
      <c r="KT23" s="18" t="str">
        <f t="shared" si="1086"/>
        <v>M0</v>
      </c>
      <c r="KU23" s="18" t="str">
        <f t="shared" si="1086"/>
        <v>M0</v>
      </c>
      <c r="KV23" s="18" t="str">
        <f t="shared" si="1086"/>
        <v>M0</v>
      </c>
      <c r="KW23" s="18" t="str">
        <f t="shared" si="1086"/>
        <v>M0</v>
      </c>
      <c r="KX23" s="18" t="str">
        <f t="shared" si="1086"/>
        <v>M0</v>
      </c>
      <c r="KY23" s="18" t="str">
        <f t="shared" si="1086"/>
        <v>M0</v>
      </c>
      <c r="KZ23" s="18" t="str">
        <f t="shared" si="1086"/>
        <v>M0</v>
      </c>
      <c r="LA23" s="18" t="str">
        <f t="shared" si="1086"/>
        <v>M0</v>
      </c>
      <c r="LB23" s="18" t="str">
        <f t="shared" si="1086"/>
        <v>M0</v>
      </c>
      <c r="LC23" s="18" t="str">
        <f t="shared" si="1086"/>
        <v>M0</v>
      </c>
      <c r="LD23" s="18" t="str">
        <f t="shared" si="1086"/>
        <v>M0</v>
      </c>
      <c r="LE23" s="18" t="str">
        <f t="shared" si="1086"/>
        <v>M0</v>
      </c>
      <c r="LF23" s="18" t="str">
        <f t="shared" si="1086"/>
        <v>M0</v>
      </c>
      <c r="LG23" s="18" t="str">
        <f t="shared" si="1086"/>
        <v>M0</v>
      </c>
      <c r="LH23" s="18" t="str">
        <f t="shared" si="1086"/>
        <v>M0</v>
      </c>
      <c r="LI23" s="18" t="str">
        <f t="shared" si="1086"/>
        <v>M0</v>
      </c>
      <c r="LJ23" s="18" t="str">
        <f t="shared" si="1086"/>
        <v>M0</v>
      </c>
      <c r="LK23" s="18" t="str">
        <f t="shared" si="1086"/>
        <v>M0</v>
      </c>
      <c r="LL23" s="18" t="str">
        <f t="shared" si="1086"/>
        <v>M0</v>
      </c>
      <c r="LM23" s="18" t="str">
        <f t="shared" ref="LM23:NX23" si="1087">IF(LM$24="M1","", "M0")</f>
        <v>M0</v>
      </c>
      <c r="LN23" s="18" t="str">
        <f t="shared" si="1087"/>
        <v>M0</v>
      </c>
      <c r="LO23" s="18" t="str">
        <f t="shared" si="1087"/>
        <v>M0</v>
      </c>
      <c r="LP23" s="18" t="str">
        <f t="shared" si="1087"/>
        <v>M0</v>
      </c>
      <c r="LQ23" s="18" t="str">
        <f t="shared" si="1087"/>
        <v>M0</v>
      </c>
      <c r="LR23" s="18" t="str">
        <f t="shared" si="1087"/>
        <v>M0</v>
      </c>
      <c r="LS23" s="18" t="str">
        <f t="shared" si="1087"/>
        <v>M0</v>
      </c>
      <c r="LT23" s="18" t="str">
        <f t="shared" si="1087"/>
        <v>M0</v>
      </c>
      <c r="LU23" s="18" t="str">
        <f t="shared" si="1087"/>
        <v>M0</v>
      </c>
      <c r="LV23" s="18" t="str">
        <f t="shared" si="1087"/>
        <v>M0</v>
      </c>
      <c r="LW23" s="18" t="str">
        <f t="shared" si="1087"/>
        <v>M0</v>
      </c>
      <c r="LX23" s="18" t="str">
        <f t="shared" si="1087"/>
        <v>M0</v>
      </c>
      <c r="LY23" s="18" t="str">
        <f t="shared" si="1087"/>
        <v>M0</v>
      </c>
      <c r="LZ23" s="18" t="str">
        <f t="shared" si="1087"/>
        <v>M0</v>
      </c>
      <c r="MA23" s="18" t="str">
        <f t="shared" si="1087"/>
        <v>M0</v>
      </c>
      <c r="MB23" s="18" t="str">
        <f t="shared" si="1087"/>
        <v/>
      </c>
      <c r="MC23" s="18" t="str">
        <f t="shared" si="1087"/>
        <v/>
      </c>
      <c r="MD23" s="18" t="str">
        <f t="shared" si="1087"/>
        <v/>
      </c>
      <c r="ME23" s="18" t="str">
        <f t="shared" si="1087"/>
        <v>M0</v>
      </c>
      <c r="MF23" s="18" t="str">
        <f t="shared" si="1087"/>
        <v>M0</v>
      </c>
      <c r="MG23" s="18" t="str">
        <f t="shared" si="1087"/>
        <v>M0</v>
      </c>
      <c r="MH23" s="18" t="str">
        <f t="shared" si="1087"/>
        <v>M0</v>
      </c>
      <c r="MI23" s="18" t="str">
        <f t="shared" si="1087"/>
        <v>M0</v>
      </c>
      <c r="MJ23" s="18" t="str">
        <f t="shared" si="1087"/>
        <v>M0</v>
      </c>
      <c r="MK23" s="18" t="str">
        <f t="shared" si="1087"/>
        <v>M0</v>
      </c>
      <c r="ML23" s="18" t="str">
        <f t="shared" si="1087"/>
        <v>M0</v>
      </c>
      <c r="MM23" s="18" t="str">
        <f t="shared" si="1087"/>
        <v>M0</v>
      </c>
      <c r="MN23" s="18" t="str">
        <f t="shared" si="1087"/>
        <v>M0</v>
      </c>
      <c r="MO23" s="18" t="str">
        <f t="shared" si="1087"/>
        <v>M0</v>
      </c>
      <c r="MP23" s="18" t="str">
        <f t="shared" si="1087"/>
        <v>M0</v>
      </c>
      <c r="MQ23" s="18" t="str">
        <f t="shared" si="1087"/>
        <v>M0</v>
      </c>
      <c r="MR23" s="18" t="str">
        <f t="shared" si="1087"/>
        <v>M0</v>
      </c>
      <c r="MS23" s="18" t="str">
        <f t="shared" si="1087"/>
        <v>M0</v>
      </c>
      <c r="MT23" s="18" t="str">
        <f t="shared" si="1087"/>
        <v>M0</v>
      </c>
      <c r="MU23" s="18" t="str">
        <f t="shared" si="1087"/>
        <v>M0</v>
      </c>
      <c r="MV23" s="18" t="str">
        <f t="shared" si="1087"/>
        <v>M0</v>
      </c>
      <c r="MW23" s="18" t="str">
        <f t="shared" si="1087"/>
        <v>M0</v>
      </c>
      <c r="MX23" s="18" t="str">
        <f t="shared" si="1087"/>
        <v>M0</v>
      </c>
      <c r="MY23" s="18" t="str">
        <f t="shared" si="1087"/>
        <v>M0</v>
      </c>
      <c r="MZ23" s="18" t="str">
        <f t="shared" si="1087"/>
        <v>M0</v>
      </c>
      <c r="NA23" s="18" t="str">
        <f t="shared" si="1087"/>
        <v>M0</v>
      </c>
      <c r="NB23" s="18" t="str">
        <f t="shared" si="1087"/>
        <v>M0</v>
      </c>
      <c r="NC23" s="18" t="str">
        <f t="shared" si="1087"/>
        <v>M0</v>
      </c>
      <c r="ND23" s="18" t="str">
        <f t="shared" si="1087"/>
        <v>M0</v>
      </c>
      <c r="NE23" s="18" t="str">
        <f t="shared" si="1087"/>
        <v>M0</v>
      </c>
      <c r="NF23" s="18" t="str">
        <f t="shared" si="1087"/>
        <v>M0</v>
      </c>
      <c r="NG23" s="18" t="str">
        <f t="shared" si="1087"/>
        <v>M0</v>
      </c>
      <c r="NH23" s="18" t="str">
        <f t="shared" si="1087"/>
        <v>M0</v>
      </c>
      <c r="NI23" s="18" t="str">
        <f t="shared" si="1087"/>
        <v>M0</v>
      </c>
      <c r="NJ23" s="18" t="str">
        <f t="shared" si="1087"/>
        <v>M0</v>
      </c>
      <c r="NK23" s="18" t="str">
        <f t="shared" si="1087"/>
        <v>M0</v>
      </c>
      <c r="NL23" s="18" t="str">
        <f t="shared" si="1087"/>
        <v>M0</v>
      </c>
      <c r="NM23" s="18" t="str">
        <f t="shared" si="1087"/>
        <v>M0</v>
      </c>
      <c r="NN23" s="18" t="str">
        <f t="shared" si="1087"/>
        <v>M0</v>
      </c>
      <c r="NO23" s="18" t="str">
        <f t="shared" si="1087"/>
        <v>M0</v>
      </c>
      <c r="NP23" s="18" t="str">
        <f t="shared" si="1087"/>
        <v>M0</v>
      </c>
      <c r="NQ23" s="18" t="str">
        <f t="shared" si="1087"/>
        <v>M0</v>
      </c>
      <c r="NR23" s="18" t="str">
        <f t="shared" si="1087"/>
        <v>M0</v>
      </c>
      <c r="NS23" s="18" t="str">
        <f t="shared" si="1087"/>
        <v>M0</v>
      </c>
      <c r="NT23" s="18" t="str">
        <f t="shared" si="1087"/>
        <v>M0</v>
      </c>
      <c r="NU23" s="18" t="str">
        <f t="shared" si="1087"/>
        <v>M0</v>
      </c>
      <c r="NV23" s="18" t="str">
        <f t="shared" si="1087"/>
        <v>M0</v>
      </c>
      <c r="NW23" s="18" t="str">
        <f t="shared" si="1087"/>
        <v>M0</v>
      </c>
      <c r="NX23" s="18" t="str">
        <f t="shared" si="1087"/>
        <v>M0</v>
      </c>
      <c r="NY23" s="18" t="str">
        <f t="shared" ref="NY23:QJ23" si="1088">IF(NY$24="M1","", "M0")</f>
        <v>M0</v>
      </c>
      <c r="NZ23" s="18" t="str">
        <f t="shared" si="1088"/>
        <v>M0</v>
      </c>
      <c r="OA23" s="18" t="str">
        <f t="shared" si="1088"/>
        <v>M0</v>
      </c>
      <c r="OB23" s="18" t="str">
        <f t="shared" si="1088"/>
        <v>M0</v>
      </c>
      <c r="OC23" s="18" t="str">
        <f t="shared" si="1088"/>
        <v>M0</v>
      </c>
      <c r="OD23" s="18" t="str">
        <f t="shared" si="1088"/>
        <v>M0</v>
      </c>
      <c r="OE23" s="18" t="str">
        <f t="shared" si="1088"/>
        <v>M0</v>
      </c>
      <c r="OF23" s="18" t="str">
        <f t="shared" si="1088"/>
        <v>M0</v>
      </c>
      <c r="OG23" s="18" t="str">
        <f t="shared" si="1088"/>
        <v>M0</v>
      </c>
      <c r="OH23" s="18" t="str">
        <f t="shared" si="1088"/>
        <v>M0</v>
      </c>
      <c r="OI23" s="18" t="str">
        <f t="shared" si="1088"/>
        <v>M0</v>
      </c>
      <c r="OJ23" s="18" t="str">
        <f t="shared" si="1088"/>
        <v>M0</v>
      </c>
      <c r="OK23" s="18" t="str">
        <f t="shared" si="1088"/>
        <v>M0</v>
      </c>
      <c r="OL23" s="18" t="str">
        <f t="shared" si="1088"/>
        <v>M0</v>
      </c>
      <c r="OM23" s="18" t="str">
        <f t="shared" si="1088"/>
        <v>M0</v>
      </c>
      <c r="ON23" s="18" t="str">
        <f t="shared" si="1088"/>
        <v>M0</v>
      </c>
      <c r="OO23" s="18" t="str">
        <f t="shared" si="1088"/>
        <v>M0</v>
      </c>
      <c r="OP23" s="18" t="str">
        <f t="shared" si="1088"/>
        <v>M0</v>
      </c>
      <c r="OQ23" s="18" t="str">
        <f t="shared" si="1088"/>
        <v>M0</v>
      </c>
      <c r="OR23" s="18" t="str">
        <f t="shared" si="1088"/>
        <v>M0</v>
      </c>
      <c r="OS23" s="18" t="str">
        <f t="shared" si="1088"/>
        <v>M0</v>
      </c>
      <c r="OT23" s="18" t="str">
        <f t="shared" si="1088"/>
        <v>M0</v>
      </c>
      <c r="OU23" s="18" t="str">
        <f t="shared" si="1088"/>
        <v>M0</v>
      </c>
      <c r="OV23" s="18" t="str">
        <f t="shared" si="1088"/>
        <v>M0</v>
      </c>
      <c r="OW23" s="18" t="str">
        <f t="shared" si="1088"/>
        <v>M0</v>
      </c>
      <c r="OX23" s="18" t="str">
        <f t="shared" si="1088"/>
        <v>M0</v>
      </c>
      <c r="OY23" s="18" t="str">
        <f t="shared" si="1088"/>
        <v>M0</v>
      </c>
      <c r="OZ23" s="18" t="str">
        <f t="shared" si="1088"/>
        <v>M0</v>
      </c>
      <c r="PA23" s="18" t="str">
        <f t="shared" si="1088"/>
        <v>M0</v>
      </c>
      <c r="PB23" s="18" t="str">
        <f t="shared" si="1088"/>
        <v>M0</v>
      </c>
      <c r="PC23" s="18" t="str">
        <f t="shared" si="1088"/>
        <v>M0</v>
      </c>
      <c r="PD23" s="18" t="str">
        <f t="shared" si="1088"/>
        <v>M0</v>
      </c>
      <c r="PE23" s="18" t="str">
        <f t="shared" si="1088"/>
        <v>M0</v>
      </c>
      <c r="PF23" s="18" t="str">
        <f t="shared" si="1088"/>
        <v/>
      </c>
      <c r="PG23" s="18" t="str">
        <f t="shared" si="1088"/>
        <v/>
      </c>
      <c r="PH23" s="18" t="str">
        <f t="shared" si="1088"/>
        <v/>
      </c>
      <c r="PI23" s="18" t="str">
        <f t="shared" si="1088"/>
        <v>M0</v>
      </c>
      <c r="PJ23" s="18" t="str">
        <f t="shared" si="1088"/>
        <v>M0</v>
      </c>
      <c r="PK23" s="18" t="str">
        <f t="shared" si="1088"/>
        <v>M0</v>
      </c>
      <c r="PL23" s="18" t="str">
        <f t="shared" si="1088"/>
        <v>M0</v>
      </c>
      <c r="PM23" s="18" t="str">
        <f t="shared" si="1088"/>
        <v>M0</v>
      </c>
      <c r="PN23" s="18" t="str">
        <f t="shared" si="1088"/>
        <v>M0</v>
      </c>
      <c r="PO23" s="18" t="str">
        <f t="shared" si="1088"/>
        <v>M0</v>
      </c>
      <c r="PP23" s="18" t="str">
        <f t="shared" si="1088"/>
        <v>M0</v>
      </c>
      <c r="PQ23" s="18" t="str">
        <f t="shared" si="1088"/>
        <v>M0</v>
      </c>
      <c r="PR23" s="18" t="str">
        <f t="shared" si="1088"/>
        <v>M0</v>
      </c>
      <c r="PS23" s="18" t="str">
        <f t="shared" si="1088"/>
        <v>M0</v>
      </c>
      <c r="PT23" s="18" t="str">
        <f t="shared" si="1088"/>
        <v>M0</v>
      </c>
      <c r="PU23" s="18" t="str">
        <f t="shared" si="1088"/>
        <v>M0</v>
      </c>
      <c r="PV23" s="18" t="str">
        <f t="shared" si="1088"/>
        <v>M0</v>
      </c>
      <c r="PW23" s="18" t="str">
        <f t="shared" si="1088"/>
        <v>M0</v>
      </c>
      <c r="PX23" s="18" t="str">
        <f t="shared" si="1088"/>
        <v>M0</v>
      </c>
      <c r="PY23" s="18" t="str">
        <f t="shared" si="1088"/>
        <v>M0</v>
      </c>
      <c r="PZ23" s="18" t="str">
        <f t="shared" si="1088"/>
        <v>M0</v>
      </c>
      <c r="QA23" s="18" t="str">
        <f t="shared" si="1088"/>
        <v>M0</v>
      </c>
      <c r="QB23" s="18" t="str">
        <f t="shared" si="1088"/>
        <v>M0</v>
      </c>
      <c r="QC23" s="18" t="str">
        <f t="shared" si="1088"/>
        <v>M0</v>
      </c>
      <c r="QD23" s="18" t="str">
        <f t="shared" si="1088"/>
        <v>M0</v>
      </c>
      <c r="QE23" s="18" t="str">
        <f t="shared" si="1088"/>
        <v>M0</v>
      </c>
      <c r="QF23" s="18" t="str">
        <f t="shared" si="1088"/>
        <v>M0</v>
      </c>
      <c r="QG23" s="18" t="str">
        <f t="shared" si="1088"/>
        <v>M0</v>
      </c>
      <c r="QH23" s="18" t="str">
        <f t="shared" si="1088"/>
        <v>M0</v>
      </c>
      <c r="QI23" s="18" t="str">
        <f t="shared" si="1088"/>
        <v>M0</v>
      </c>
      <c r="QJ23" s="18" t="str">
        <f t="shared" si="1088"/>
        <v>M0</v>
      </c>
      <c r="QK23" s="18" t="str">
        <f t="shared" ref="QK23:SV23" si="1089">IF(QK$24="M1","", "M0")</f>
        <v>M0</v>
      </c>
      <c r="QL23" s="18" t="str">
        <f t="shared" si="1089"/>
        <v>M0</v>
      </c>
      <c r="QM23" s="18" t="str">
        <f t="shared" si="1089"/>
        <v>M0</v>
      </c>
      <c r="QN23" s="18" t="str">
        <f t="shared" si="1089"/>
        <v>M0</v>
      </c>
      <c r="QO23" s="18" t="str">
        <f t="shared" si="1089"/>
        <v>M0</v>
      </c>
      <c r="QP23" s="18" t="str">
        <f t="shared" si="1089"/>
        <v>M0</v>
      </c>
      <c r="QQ23" s="18" t="str">
        <f t="shared" si="1089"/>
        <v>M0</v>
      </c>
      <c r="QR23" s="18" t="str">
        <f t="shared" si="1089"/>
        <v>M0</v>
      </c>
      <c r="QS23" s="18" t="str">
        <f t="shared" si="1089"/>
        <v>M0</v>
      </c>
      <c r="QT23" s="18" t="str">
        <f t="shared" si="1089"/>
        <v>M0</v>
      </c>
      <c r="QU23" s="18" t="str">
        <f t="shared" si="1089"/>
        <v>M0</v>
      </c>
      <c r="QV23" s="18" t="str">
        <f t="shared" si="1089"/>
        <v>M0</v>
      </c>
      <c r="QW23" s="18" t="str">
        <f t="shared" si="1089"/>
        <v>M0</v>
      </c>
      <c r="QX23" s="18" t="str">
        <f t="shared" si="1089"/>
        <v>M0</v>
      </c>
      <c r="QY23" s="18" t="str">
        <f t="shared" si="1089"/>
        <v>M0</v>
      </c>
      <c r="QZ23" s="18" t="str">
        <f t="shared" si="1089"/>
        <v>M0</v>
      </c>
      <c r="RA23" s="18" t="str">
        <f t="shared" si="1089"/>
        <v>M0</v>
      </c>
      <c r="RB23" s="18" t="str">
        <f t="shared" si="1089"/>
        <v>M0</v>
      </c>
      <c r="RC23" s="18" t="str">
        <f t="shared" si="1089"/>
        <v>M0</v>
      </c>
      <c r="RD23" s="18" t="str">
        <f t="shared" si="1089"/>
        <v>M0</v>
      </c>
      <c r="RE23" s="18" t="str">
        <f t="shared" si="1089"/>
        <v>M0</v>
      </c>
      <c r="RF23" s="18" t="str">
        <f t="shared" si="1089"/>
        <v>M0</v>
      </c>
      <c r="RG23" s="18" t="str">
        <f t="shared" si="1089"/>
        <v>M0</v>
      </c>
      <c r="RH23" s="18" t="str">
        <f t="shared" si="1089"/>
        <v>M0</v>
      </c>
      <c r="RI23" s="18" t="str">
        <f t="shared" si="1089"/>
        <v>M0</v>
      </c>
      <c r="RJ23" s="18" t="str">
        <f t="shared" si="1089"/>
        <v>M0</v>
      </c>
      <c r="RK23" s="18" t="str">
        <f t="shared" si="1089"/>
        <v>M0</v>
      </c>
      <c r="RL23" s="18" t="str">
        <f t="shared" si="1089"/>
        <v>M0</v>
      </c>
      <c r="RM23" s="18" t="str">
        <f t="shared" si="1089"/>
        <v>M0</v>
      </c>
      <c r="RN23" s="18" t="str">
        <f t="shared" si="1089"/>
        <v>M0</v>
      </c>
      <c r="RO23" s="18" t="str">
        <f t="shared" si="1089"/>
        <v>M0</v>
      </c>
      <c r="RP23" s="18" t="str">
        <f t="shared" si="1089"/>
        <v/>
      </c>
      <c r="RQ23" s="18" t="str">
        <f t="shared" si="1089"/>
        <v/>
      </c>
      <c r="RR23" s="18" t="str">
        <f t="shared" si="1089"/>
        <v/>
      </c>
      <c r="RS23" s="18" t="str">
        <f t="shared" si="1089"/>
        <v>M0</v>
      </c>
      <c r="RT23" s="18" t="str">
        <f t="shared" si="1089"/>
        <v>M0</v>
      </c>
      <c r="RU23" s="18" t="str">
        <f t="shared" si="1089"/>
        <v>M0</v>
      </c>
      <c r="RV23" s="18" t="str">
        <f t="shared" si="1089"/>
        <v>M0</v>
      </c>
      <c r="RW23" s="18" t="str">
        <f t="shared" si="1089"/>
        <v>M0</v>
      </c>
      <c r="RX23" s="18" t="str">
        <f t="shared" si="1089"/>
        <v>M0</v>
      </c>
      <c r="RY23" s="18" t="str">
        <f t="shared" si="1089"/>
        <v>M0</v>
      </c>
      <c r="RZ23" s="18" t="str">
        <f t="shared" si="1089"/>
        <v>M0</v>
      </c>
      <c r="SA23" s="18" t="str">
        <f t="shared" si="1089"/>
        <v>M0</v>
      </c>
      <c r="SB23" s="18" t="str">
        <f t="shared" si="1089"/>
        <v>M0</v>
      </c>
      <c r="SC23" s="18" t="str">
        <f t="shared" si="1089"/>
        <v>M0</v>
      </c>
      <c r="SD23" s="18" t="str">
        <f t="shared" si="1089"/>
        <v>M0</v>
      </c>
      <c r="SE23" s="18" t="str">
        <f t="shared" si="1089"/>
        <v>M0</v>
      </c>
      <c r="SF23" s="18" t="str">
        <f t="shared" si="1089"/>
        <v>M0</v>
      </c>
      <c r="SG23" s="18" t="str">
        <f t="shared" si="1089"/>
        <v>M0</v>
      </c>
      <c r="SH23" s="18" t="str">
        <f t="shared" si="1089"/>
        <v>M0</v>
      </c>
      <c r="SI23" s="18" t="str">
        <f t="shared" si="1089"/>
        <v>M0</v>
      </c>
      <c r="SJ23" s="18" t="str">
        <f t="shared" si="1089"/>
        <v>M0</v>
      </c>
      <c r="SK23" s="18" t="str">
        <f t="shared" si="1089"/>
        <v>M0</v>
      </c>
      <c r="SL23" s="18" t="str">
        <f t="shared" si="1089"/>
        <v>M0</v>
      </c>
      <c r="SM23" s="18" t="str">
        <f t="shared" si="1089"/>
        <v>M0</v>
      </c>
      <c r="SN23" s="18" t="str">
        <f t="shared" si="1089"/>
        <v>M0</v>
      </c>
      <c r="SO23" s="18" t="str">
        <f t="shared" si="1089"/>
        <v>M0</v>
      </c>
      <c r="SP23" s="18" t="str">
        <f t="shared" si="1089"/>
        <v>M0</v>
      </c>
      <c r="SQ23" s="18" t="str">
        <f t="shared" si="1089"/>
        <v>M0</v>
      </c>
      <c r="SR23" s="18" t="str">
        <f t="shared" si="1089"/>
        <v>M0</v>
      </c>
      <c r="SS23" s="18" t="str">
        <f t="shared" si="1089"/>
        <v>M0</v>
      </c>
      <c r="ST23" s="18" t="str">
        <f t="shared" si="1089"/>
        <v>M0</v>
      </c>
      <c r="SU23" s="18" t="str">
        <f t="shared" si="1089"/>
        <v>M0</v>
      </c>
      <c r="SV23" s="18" t="str">
        <f t="shared" si="1089"/>
        <v>M0</v>
      </c>
      <c r="SW23" s="18" t="str">
        <f t="shared" ref="SW23:VH23" si="1090">IF(SW$24="M1","", "M0")</f>
        <v>M0</v>
      </c>
      <c r="SX23" s="18" t="str">
        <f t="shared" si="1090"/>
        <v>M0</v>
      </c>
      <c r="SY23" s="18" t="str">
        <f t="shared" si="1090"/>
        <v>M0</v>
      </c>
      <c r="SZ23" s="18" t="str">
        <f t="shared" si="1090"/>
        <v>M0</v>
      </c>
      <c r="TA23" s="18" t="str">
        <f t="shared" si="1090"/>
        <v>M0</v>
      </c>
      <c r="TB23" s="18" t="str">
        <f t="shared" si="1090"/>
        <v>M0</v>
      </c>
      <c r="TC23" s="18" t="str">
        <f t="shared" si="1090"/>
        <v>M0</v>
      </c>
      <c r="TD23" s="18" t="str">
        <f t="shared" si="1090"/>
        <v>M0</v>
      </c>
      <c r="TE23" s="18" t="str">
        <f t="shared" si="1090"/>
        <v>M0</v>
      </c>
      <c r="TF23" s="18" t="str">
        <f t="shared" si="1090"/>
        <v>M0</v>
      </c>
      <c r="TG23" s="18" t="str">
        <f t="shared" si="1090"/>
        <v>M0</v>
      </c>
      <c r="TH23" s="18" t="str">
        <f t="shared" si="1090"/>
        <v>M0</v>
      </c>
      <c r="TI23" s="18" t="str">
        <f t="shared" si="1090"/>
        <v>M0</v>
      </c>
      <c r="TJ23" s="18" t="str">
        <f t="shared" si="1090"/>
        <v>M0</v>
      </c>
      <c r="TK23" s="18" t="str">
        <f t="shared" si="1090"/>
        <v>M0</v>
      </c>
      <c r="TL23" s="18" t="str">
        <f t="shared" si="1090"/>
        <v>M0</v>
      </c>
      <c r="TM23" s="18" t="str">
        <f t="shared" si="1090"/>
        <v>M0</v>
      </c>
      <c r="TN23" s="18" t="str">
        <f t="shared" si="1090"/>
        <v>M0</v>
      </c>
      <c r="TO23" s="18" t="str">
        <f t="shared" si="1090"/>
        <v>M0</v>
      </c>
      <c r="TP23" s="18" t="str">
        <f t="shared" si="1090"/>
        <v>M0</v>
      </c>
      <c r="TQ23" s="18" t="str">
        <f t="shared" si="1090"/>
        <v>M0</v>
      </c>
      <c r="TR23" s="18" t="str">
        <f t="shared" si="1090"/>
        <v>M0</v>
      </c>
      <c r="TS23" s="18" t="str">
        <f t="shared" si="1090"/>
        <v>M0</v>
      </c>
      <c r="TT23" s="18" t="str">
        <f t="shared" si="1090"/>
        <v>M0</v>
      </c>
      <c r="TU23" s="18" t="str">
        <f t="shared" si="1090"/>
        <v>M0</v>
      </c>
      <c r="TV23" s="18" t="str">
        <f t="shared" si="1090"/>
        <v>M0</v>
      </c>
      <c r="TW23" s="18" t="str">
        <f t="shared" si="1090"/>
        <v>M0</v>
      </c>
      <c r="TX23" s="18" t="str">
        <f t="shared" si="1090"/>
        <v>M0</v>
      </c>
      <c r="TY23" s="18" t="str">
        <f t="shared" si="1090"/>
        <v>M0</v>
      </c>
      <c r="TZ23" s="18" t="str">
        <f t="shared" si="1090"/>
        <v>M0</v>
      </c>
      <c r="UA23" s="18" t="str">
        <f t="shared" si="1090"/>
        <v>M0</v>
      </c>
      <c r="UB23" s="18" t="str">
        <f t="shared" si="1090"/>
        <v>M0</v>
      </c>
      <c r="UC23" s="18" t="str">
        <f t="shared" si="1090"/>
        <v>M0</v>
      </c>
      <c r="UD23" s="18" t="str">
        <f t="shared" si="1090"/>
        <v>M0</v>
      </c>
      <c r="UE23" s="18" t="str">
        <f t="shared" si="1090"/>
        <v>M0</v>
      </c>
      <c r="UF23" s="18" t="str">
        <f t="shared" si="1090"/>
        <v>M0</v>
      </c>
      <c r="UG23" s="18" t="str">
        <f t="shared" si="1090"/>
        <v>M0</v>
      </c>
      <c r="UH23" s="18" t="str">
        <f t="shared" si="1090"/>
        <v>M0</v>
      </c>
      <c r="UI23" s="18" t="str">
        <f t="shared" si="1090"/>
        <v>M0</v>
      </c>
      <c r="UJ23" s="18" t="str">
        <f t="shared" si="1090"/>
        <v>M0</v>
      </c>
      <c r="UK23" s="18" t="str">
        <f t="shared" si="1090"/>
        <v>M0</v>
      </c>
      <c r="UL23" s="18" t="str">
        <f t="shared" si="1090"/>
        <v>M0</v>
      </c>
      <c r="UM23" s="18" t="str">
        <f t="shared" si="1090"/>
        <v>M0</v>
      </c>
      <c r="UN23" s="18" t="str">
        <f t="shared" si="1090"/>
        <v>M0</v>
      </c>
      <c r="UO23" s="18" t="str">
        <f t="shared" si="1090"/>
        <v>M0</v>
      </c>
      <c r="UP23" s="18" t="str">
        <f t="shared" si="1090"/>
        <v>M0</v>
      </c>
      <c r="UQ23" s="18" t="str">
        <f t="shared" si="1090"/>
        <v>M0</v>
      </c>
      <c r="UR23" s="18" t="str">
        <f t="shared" si="1090"/>
        <v>M0</v>
      </c>
      <c r="US23" s="18" t="str">
        <f t="shared" si="1090"/>
        <v>M0</v>
      </c>
      <c r="UT23" s="18" t="str">
        <f t="shared" si="1090"/>
        <v/>
      </c>
      <c r="UU23" s="18" t="str">
        <f t="shared" si="1090"/>
        <v/>
      </c>
      <c r="UV23" s="18" t="str">
        <f t="shared" si="1090"/>
        <v/>
      </c>
      <c r="UW23" s="18" t="str">
        <f t="shared" si="1090"/>
        <v>M0</v>
      </c>
      <c r="UX23" s="18" t="str">
        <f t="shared" si="1090"/>
        <v>M0</v>
      </c>
      <c r="UY23" s="18" t="str">
        <f t="shared" si="1090"/>
        <v>M0</v>
      </c>
      <c r="UZ23" s="18" t="str">
        <f t="shared" si="1090"/>
        <v>M0</v>
      </c>
      <c r="VA23" s="18" t="str">
        <f t="shared" si="1090"/>
        <v>M0</v>
      </c>
      <c r="VB23" s="18" t="str">
        <f t="shared" si="1090"/>
        <v>M0</v>
      </c>
      <c r="VC23" s="18" t="str">
        <f t="shared" si="1090"/>
        <v>M0</v>
      </c>
      <c r="VD23" s="18" t="str">
        <f t="shared" si="1090"/>
        <v>M0</v>
      </c>
      <c r="VE23" s="18" t="str">
        <f t="shared" si="1090"/>
        <v>M0</v>
      </c>
      <c r="VF23" s="18" t="str">
        <f t="shared" si="1090"/>
        <v>M0</v>
      </c>
      <c r="VG23" s="18" t="str">
        <f t="shared" si="1090"/>
        <v>M0</v>
      </c>
      <c r="VH23" s="18" t="str">
        <f t="shared" si="1090"/>
        <v>M0</v>
      </c>
      <c r="VI23" s="18" t="str">
        <f t="shared" ref="VI23:XT23" si="1091">IF(VI$24="M1","", "M0")</f>
        <v>M0</v>
      </c>
      <c r="VJ23" s="18" t="str">
        <f t="shared" si="1091"/>
        <v>M0</v>
      </c>
      <c r="VK23" s="18" t="str">
        <f t="shared" si="1091"/>
        <v>M0</v>
      </c>
      <c r="VL23" s="18" t="str">
        <f t="shared" si="1091"/>
        <v>M0</v>
      </c>
      <c r="VM23" s="18" t="str">
        <f t="shared" si="1091"/>
        <v>M0</v>
      </c>
      <c r="VN23" s="18" t="str">
        <f t="shared" si="1091"/>
        <v>M0</v>
      </c>
      <c r="VO23" s="18" t="str">
        <f t="shared" si="1091"/>
        <v>M0</v>
      </c>
      <c r="VP23" s="18" t="str">
        <f t="shared" si="1091"/>
        <v>M0</v>
      </c>
      <c r="VQ23" s="18" t="str">
        <f t="shared" si="1091"/>
        <v>M0</v>
      </c>
      <c r="VR23" s="18" t="str">
        <f t="shared" si="1091"/>
        <v>M0</v>
      </c>
      <c r="VS23" s="18" t="str">
        <f t="shared" si="1091"/>
        <v>M0</v>
      </c>
      <c r="VT23" s="18" t="str">
        <f t="shared" si="1091"/>
        <v>M0</v>
      </c>
      <c r="VU23" s="18" t="str">
        <f t="shared" si="1091"/>
        <v>M0</v>
      </c>
      <c r="VV23" s="18" t="str">
        <f t="shared" si="1091"/>
        <v>M0</v>
      </c>
      <c r="VW23" s="18" t="str">
        <f t="shared" si="1091"/>
        <v>M0</v>
      </c>
      <c r="VX23" s="18" t="str">
        <f t="shared" si="1091"/>
        <v>M0</v>
      </c>
      <c r="VY23" s="18" t="str">
        <f t="shared" si="1091"/>
        <v>M0</v>
      </c>
      <c r="VZ23" s="18" t="str">
        <f t="shared" si="1091"/>
        <v>M0</v>
      </c>
      <c r="WA23" s="18" t="str">
        <f t="shared" si="1091"/>
        <v>M0</v>
      </c>
      <c r="WB23" s="18" t="str">
        <f t="shared" si="1091"/>
        <v>M0</v>
      </c>
      <c r="WC23" s="18" t="str">
        <f t="shared" si="1091"/>
        <v>M0</v>
      </c>
      <c r="WD23" s="18" t="str">
        <f t="shared" si="1091"/>
        <v>M0</v>
      </c>
      <c r="WE23" s="18" t="str">
        <f t="shared" si="1091"/>
        <v>M0</v>
      </c>
      <c r="WF23" s="18" t="str">
        <f t="shared" si="1091"/>
        <v>M0</v>
      </c>
      <c r="WG23" s="18" t="str">
        <f t="shared" si="1091"/>
        <v>M0</v>
      </c>
      <c r="WH23" s="18" t="str">
        <f t="shared" si="1091"/>
        <v>M0</v>
      </c>
      <c r="WI23" s="18" t="str">
        <f t="shared" si="1091"/>
        <v>M0</v>
      </c>
      <c r="WJ23" s="18" t="str">
        <f t="shared" si="1091"/>
        <v>M0</v>
      </c>
      <c r="WK23" s="18" t="str">
        <f t="shared" si="1091"/>
        <v>M0</v>
      </c>
      <c r="WL23" s="18" t="str">
        <f t="shared" si="1091"/>
        <v>M0</v>
      </c>
      <c r="WM23" s="18" t="str">
        <f t="shared" si="1091"/>
        <v>M0</v>
      </c>
      <c r="WN23" s="18" t="str">
        <f t="shared" si="1091"/>
        <v>M0</v>
      </c>
      <c r="WO23" s="18" t="str">
        <f t="shared" si="1091"/>
        <v>M0</v>
      </c>
      <c r="WP23" s="18" t="str">
        <f t="shared" si="1091"/>
        <v>M0</v>
      </c>
      <c r="WQ23" s="18" t="str">
        <f t="shared" si="1091"/>
        <v>M0</v>
      </c>
      <c r="WR23" s="18" t="str">
        <f t="shared" si="1091"/>
        <v>M0</v>
      </c>
      <c r="WS23" s="18" t="str">
        <f t="shared" si="1091"/>
        <v>M0</v>
      </c>
      <c r="WT23" s="18" t="str">
        <f t="shared" si="1091"/>
        <v>M0</v>
      </c>
      <c r="WU23" s="18" t="str">
        <f t="shared" si="1091"/>
        <v>M0</v>
      </c>
      <c r="WV23" s="18" t="str">
        <f t="shared" si="1091"/>
        <v>M0</v>
      </c>
      <c r="WW23" s="18" t="str">
        <f t="shared" si="1091"/>
        <v>M0</v>
      </c>
      <c r="WX23" s="18" t="str">
        <f t="shared" si="1091"/>
        <v>M0</v>
      </c>
      <c r="WY23" s="18" t="str">
        <f t="shared" si="1091"/>
        <v>M0</v>
      </c>
      <c r="WZ23" s="18" t="str">
        <f t="shared" si="1091"/>
        <v>M0</v>
      </c>
      <c r="XA23" s="18" t="str">
        <f t="shared" si="1091"/>
        <v>M0</v>
      </c>
      <c r="XB23" s="18" t="str">
        <f t="shared" si="1091"/>
        <v>M0</v>
      </c>
      <c r="XC23" s="18" t="str">
        <f t="shared" si="1091"/>
        <v>M0</v>
      </c>
      <c r="XD23" s="18" t="str">
        <f t="shared" si="1091"/>
        <v/>
      </c>
      <c r="XE23" s="18" t="str">
        <f t="shared" si="1091"/>
        <v/>
      </c>
      <c r="XF23" s="18" t="str">
        <f t="shared" si="1091"/>
        <v/>
      </c>
      <c r="XG23" s="18" t="str">
        <f t="shared" si="1091"/>
        <v>M0</v>
      </c>
      <c r="XH23" s="18" t="str">
        <f t="shared" si="1091"/>
        <v>M0</v>
      </c>
      <c r="XI23" s="18" t="str">
        <f t="shared" si="1091"/>
        <v>M0</v>
      </c>
      <c r="XJ23" s="18" t="str">
        <f t="shared" si="1091"/>
        <v>M0</v>
      </c>
      <c r="XK23" s="18" t="str">
        <f t="shared" si="1091"/>
        <v>M0</v>
      </c>
      <c r="XL23" s="18" t="str">
        <f t="shared" si="1091"/>
        <v>M0</v>
      </c>
      <c r="XM23" s="18" t="str">
        <f t="shared" si="1091"/>
        <v>M0</v>
      </c>
      <c r="XN23" s="18" t="str">
        <f t="shared" si="1091"/>
        <v>M0</v>
      </c>
      <c r="XO23" s="18" t="str">
        <f t="shared" si="1091"/>
        <v>M0</v>
      </c>
      <c r="XP23" s="18" t="str">
        <f t="shared" si="1091"/>
        <v>M0</v>
      </c>
      <c r="XQ23" s="18" t="str">
        <f t="shared" si="1091"/>
        <v>M0</v>
      </c>
      <c r="XR23" s="18" t="str">
        <f t="shared" si="1091"/>
        <v>M0</v>
      </c>
      <c r="XS23" s="18" t="str">
        <f t="shared" si="1091"/>
        <v>M0</v>
      </c>
      <c r="XT23" s="18" t="str">
        <f t="shared" si="1091"/>
        <v>M0</v>
      </c>
      <c r="XU23" s="18" t="str">
        <f t="shared" ref="XU23:AAF23" si="1092">IF(XU$24="M1","", "M0")</f>
        <v>M0</v>
      </c>
      <c r="XV23" s="18" t="str">
        <f t="shared" si="1092"/>
        <v>M0</v>
      </c>
      <c r="XW23" s="18" t="str">
        <f t="shared" si="1092"/>
        <v>M0</v>
      </c>
      <c r="XX23" s="18" t="str">
        <f t="shared" si="1092"/>
        <v>M0</v>
      </c>
      <c r="XY23" s="18" t="str">
        <f t="shared" si="1092"/>
        <v>M0</v>
      </c>
      <c r="XZ23" s="18" t="str">
        <f t="shared" si="1092"/>
        <v>M0</v>
      </c>
      <c r="YA23" s="18" t="str">
        <f t="shared" si="1092"/>
        <v>M0</v>
      </c>
      <c r="YB23" s="18" t="str">
        <f t="shared" si="1092"/>
        <v>M0</v>
      </c>
      <c r="YC23" s="18" t="str">
        <f t="shared" si="1092"/>
        <v>M0</v>
      </c>
      <c r="YD23" s="18" t="str">
        <f t="shared" si="1092"/>
        <v>M0</v>
      </c>
      <c r="YE23" s="18" t="str">
        <f t="shared" si="1092"/>
        <v>M0</v>
      </c>
      <c r="YF23" s="18" t="str">
        <f t="shared" si="1092"/>
        <v>M0</v>
      </c>
      <c r="YG23" s="18" t="str">
        <f t="shared" si="1092"/>
        <v>M0</v>
      </c>
      <c r="YH23" s="18" t="str">
        <f t="shared" si="1092"/>
        <v>M0</v>
      </c>
      <c r="YI23" s="18" t="str">
        <f t="shared" si="1092"/>
        <v>M0</v>
      </c>
      <c r="YJ23" s="18" t="str">
        <f t="shared" si="1092"/>
        <v>M0</v>
      </c>
      <c r="YK23" s="18" t="str">
        <f t="shared" si="1092"/>
        <v>M0</v>
      </c>
      <c r="YL23" s="18" t="str">
        <f t="shared" si="1092"/>
        <v>M0</v>
      </c>
      <c r="YM23" s="18" t="str">
        <f t="shared" si="1092"/>
        <v>M0</v>
      </c>
      <c r="YN23" s="18" t="str">
        <f t="shared" si="1092"/>
        <v>M0</v>
      </c>
      <c r="YO23" s="18" t="str">
        <f t="shared" si="1092"/>
        <v>M0</v>
      </c>
      <c r="YP23" s="18" t="str">
        <f t="shared" si="1092"/>
        <v>M0</v>
      </c>
      <c r="YQ23" s="18" t="str">
        <f t="shared" si="1092"/>
        <v>M0</v>
      </c>
      <c r="YR23" s="18" t="str">
        <f t="shared" si="1092"/>
        <v>M0</v>
      </c>
      <c r="YS23" s="18" t="str">
        <f t="shared" si="1092"/>
        <v>M0</v>
      </c>
      <c r="YT23" s="18" t="str">
        <f t="shared" si="1092"/>
        <v>M0</v>
      </c>
      <c r="YU23" s="18" t="str">
        <f t="shared" si="1092"/>
        <v>M0</v>
      </c>
      <c r="YV23" s="18" t="str">
        <f t="shared" si="1092"/>
        <v>M0</v>
      </c>
      <c r="YW23" s="18" t="str">
        <f t="shared" si="1092"/>
        <v>M0</v>
      </c>
      <c r="YX23" s="18" t="str">
        <f t="shared" si="1092"/>
        <v>M0</v>
      </c>
      <c r="YY23" s="18" t="str">
        <f t="shared" si="1092"/>
        <v>M0</v>
      </c>
      <c r="YZ23" s="18" t="str">
        <f t="shared" si="1092"/>
        <v>M0</v>
      </c>
      <c r="ZA23" s="18" t="str">
        <f t="shared" si="1092"/>
        <v>M0</v>
      </c>
      <c r="ZB23" s="18" t="str">
        <f t="shared" si="1092"/>
        <v>M0</v>
      </c>
      <c r="ZC23" s="18" t="str">
        <f t="shared" si="1092"/>
        <v>M0</v>
      </c>
      <c r="ZD23" s="18" t="str">
        <f t="shared" si="1092"/>
        <v>M0</v>
      </c>
      <c r="ZE23" s="18" t="str">
        <f t="shared" si="1092"/>
        <v>M0</v>
      </c>
      <c r="ZF23" s="18" t="str">
        <f t="shared" si="1092"/>
        <v>M0</v>
      </c>
      <c r="ZG23" s="18" t="str">
        <f t="shared" si="1092"/>
        <v>M0</v>
      </c>
      <c r="ZH23" s="18" t="str">
        <f t="shared" si="1092"/>
        <v>M0</v>
      </c>
      <c r="ZI23" s="18" t="str">
        <f t="shared" si="1092"/>
        <v>M0</v>
      </c>
      <c r="ZJ23" s="18" t="str">
        <f t="shared" si="1092"/>
        <v>M0</v>
      </c>
      <c r="ZK23" s="18" t="str">
        <f t="shared" si="1092"/>
        <v>M0</v>
      </c>
      <c r="ZL23" s="18" t="str">
        <f t="shared" si="1092"/>
        <v>M0</v>
      </c>
      <c r="ZM23" s="18" t="str">
        <f t="shared" si="1092"/>
        <v>M0</v>
      </c>
      <c r="ZN23" s="18" t="str">
        <f t="shared" si="1092"/>
        <v>M0</v>
      </c>
      <c r="ZO23" s="18" t="str">
        <f t="shared" si="1092"/>
        <v>M0</v>
      </c>
      <c r="ZP23" s="18" t="str">
        <f t="shared" si="1092"/>
        <v>M0</v>
      </c>
      <c r="ZQ23" s="18" t="str">
        <f t="shared" si="1092"/>
        <v>M0</v>
      </c>
      <c r="ZR23" s="18" t="str">
        <f t="shared" si="1092"/>
        <v>M0</v>
      </c>
      <c r="ZS23" s="18" t="str">
        <f t="shared" si="1092"/>
        <v>M0</v>
      </c>
      <c r="ZT23" s="18" t="str">
        <f t="shared" si="1092"/>
        <v>M0</v>
      </c>
      <c r="ZU23" s="18" t="str">
        <f t="shared" si="1092"/>
        <v>M0</v>
      </c>
      <c r="ZV23" s="18" t="str">
        <f t="shared" si="1092"/>
        <v>M0</v>
      </c>
      <c r="ZW23" s="18" t="str">
        <f t="shared" si="1092"/>
        <v>M0</v>
      </c>
      <c r="ZX23" s="18" t="str">
        <f t="shared" si="1092"/>
        <v>M0</v>
      </c>
      <c r="ZY23" s="18" t="str">
        <f t="shared" si="1092"/>
        <v>M0</v>
      </c>
      <c r="ZZ23" s="18" t="str">
        <f t="shared" si="1092"/>
        <v>M0</v>
      </c>
      <c r="AAA23" s="18" t="str">
        <f t="shared" si="1092"/>
        <v>M0</v>
      </c>
      <c r="AAB23" s="18" t="str">
        <f t="shared" si="1092"/>
        <v>M0</v>
      </c>
      <c r="AAC23" s="18" t="str">
        <f t="shared" si="1092"/>
        <v>M0</v>
      </c>
      <c r="AAD23" s="18" t="str">
        <f t="shared" si="1092"/>
        <v>M0</v>
      </c>
      <c r="AAE23" s="18" t="str">
        <f t="shared" si="1092"/>
        <v>M0</v>
      </c>
      <c r="AAF23" s="18" t="str">
        <f t="shared" si="1092"/>
        <v>M0</v>
      </c>
      <c r="AAG23" s="18" t="str">
        <f t="shared" ref="AAG23:ACR23" si="1093">IF(AAG$24="M1","", "M0")</f>
        <v>M0</v>
      </c>
      <c r="AAH23" s="18" t="str">
        <f t="shared" si="1093"/>
        <v/>
      </c>
      <c r="AAI23" s="18" t="str">
        <f t="shared" si="1093"/>
        <v/>
      </c>
      <c r="AAJ23" s="18" t="str">
        <f t="shared" si="1093"/>
        <v/>
      </c>
      <c r="AAK23" s="18" t="str">
        <f t="shared" si="1093"/>
        <v>M0</v>
      </c>
      <c r="AAL23" s="18" t="str">
        <f t="shared" si="1093"/>
        <v>M0</v>
      </c>
      <c r="AAM23" s="18" t="str">
        <f t="shared" si="1093"/>
        <v>M0</v>
      </c>
      <c r="AAN23" s="18" t="str">
        <f t="shared" si="1093"/>
        <v>M0</v>
      </c>
      <c r="AAO23" s="18" t="str">
        <f t="shared" si="1093"/>
        <v>M0</v>
      </c>
      <c r="AAP23" s="18" t="str">
        <f t="shared" si="1093"/>
        <v>M0</v>
      </c>
      <c r="AAQ23" s="18" t="str">
        <f t="shared" si="1093"/>
        <v>M0</v>
      </c>
      <c r="AAR23" s="18" t="str">
        <f t="shared" si="1093"/>
        <v>M0</v>
      </c>
      <c r="AAS23" s="18" t="str">
        <f t="shared" si="1093"/>
        <v>M0</v>
      </c>
      <c r="AAT23" s="18" t="str">
        <f t="shared" si="1093"/>
        <v>M0</v>
      </c>
      <c r="AAU23" s="18" t="str">
        <f t="shared" si="1093"/>
        <v>M0</v>
      </c>
      <c r="AAV23" s="18" t="str">
        <f t="shared" si="1093"/>
        <v>M0</v>
      </c>
      <c r="AAW23" s="18" t="str">
        <f t="shared" si="1093"/>
        <v>M0</v>
      </c>
      <c r="AAX23" s="18" t="str">
        <f t="shared" si="1093"/>
        <v>M0</v>
      </c>
      <c r="AAY23" s="18" t="str">
        <f t="shared" si="1093"/>
        <v>M0</v>
      </c>
      <c r="AAZ23" s="18" t="str">
        <f t="shared" si="1093"/>
        <v>M0</v>
      </c>
      <c r="ABA23" s="18" t="str">
        <f t="shared" si="1093"/>
        <v>M0</v>
      </c>
      <c r="ABB23" s="18" t="str">
        <f t="shared" si="1093"/>
        <v>M0</v>
      </c>
      <c r="ABC23" s="18" t="str">
        <f t="shared" si="1093"/>
        <v>M0</v>
      </c>
      <c r="ABD23" s="18" t="str">
        <f t="shared" si="1093"/>
        <v>M0</v>
      </c>
      <c r="ABE23" s="18" t="str">
        <f t="shared" si="1093"/>
        <v>M0</v>
      </c>
      <c r="ABF23" s="18" t="str">
        <f t="shared" si="1093"/>
        <v>M0</v>
      </c>
      <c r="ABG23" s="18" t="str">
        <f t="shared" si="1093"/>
        <v>M0</v>
      </c>
      <c r="ABH23" s="18" t="str">
        <f t="shared" si="1093"/>
        <v>M0</v>
      </c>
      <c r="ABI23" s="18" t="str">
        <f t="shared" si="1093"/>
        <v>M0</v>
      </c>
      <c r="ABJ23" s="18" t="str">
        <f t="shared" si="1093"/>
        <v>M0</v>
      </c>
      <c r="ABK23" s="18" t="str">
        <f t="shared" si="1093"/>
        <v>M0</v>
      </c>
      <c r="ABL23" s="18" t="str">
        <f t="shared" si="1093"/>
        <v>M0</v>
      </c>
      <c r="ABM23" s="18" t="str">
        <f t="shared" si="1093"/>
        <v>M0</v>
      </c>
      <c r="ABN23" s="18" t="str">
        <f t="shared" si="1093"/>
        <v>M0</v>
      </c>
      <c r="ABO23" s="18" t="str">
        <f t="shared" si="1093"/>
        <v>M0</v>
      </c>
      <c r="ABP23" s="18" t="str">
        <f t="shared" si="1093"/>
        <v>M0</v>
      </c>
      <c r="ABQ23" s="18" t="str">
        <f t="shared" si="1093"/>
        <v>M0</v>
      </c>
      <c r="ABR23" s="18" t="str">
        <f t="shared" si="1093"/>
        <v>M0</v>
      </c>
      <c r="ABS23" s="18" t="str">
        <f t="shared" si="1093"/>
        <v>M0</v>
      </c>
      <c r="ABT23" s="18" t="str">
        <f t="shared" si="1093"/>
        <v>M0</v>
      </c>
      <c r="ABU23" s="18" t="str">
        <f t="shared" si="1093"/>
        <v>M0</v>
      </c>
      <c r="ABV23" s="18" t="str">
        <f t="shared" si="1093"/>
        <v>M0</v>
      </c>
      <c r="ABW23" s="18" t="str">
        <f t="shared" si="1093"/>
        <v>M0</v>
      </c>
      <c r="ABX23" s="18" t="str">
        <f t="shared" si="1093"/>
        <v>M0</v>
      </c>
      <c r="ABY23" s="18" t="str">
        <f t="shared" si="1093"/>
        <v>M0</v>
      </c>
      <c r="ABZ23" s="18" t="str">
        <f t="shared" si="1093"/>
        <v>M0</v>
      </c>
      <c r="ACA23" s="18" t="str">
        <f t="shared" si="1093"/>
        <v>M0</v>
      </c>
      <c r="ACB23" s="18" t="str">
        <f t="shared" si="1093"/>
        <v>M0</v>
      </c>
      <c r="ACC23" s="18" t="str">
        <f t="shared" si="1093"/>
        <v>M0</v>
      </c>
      <c r="ACD23" s="18" t="str">
        <f t="shared" si="1093"/>
        <v>M0</v>
      </c>
      <c r="ACE23" s="18" t="str">
        <f t="shared" si="1093"/>
        <v>M0</v>
      </c>
      <c r="ACF23" s="18" t="str">
        <f t="shared" si="1093"/>
        <v>M0</v>
      </c>
      <c r="ACG23" s="18" t="str">
        <f t="shared" si="1093"/>
        <v>M0</v>
      </c>
      <c r="ACH23" s="18" t="str">
        <f t="shared" si="1093"/>
        <v>M0</v>
      </c>
      <c r="ACI23" s="18" t="str">
        <f t="shared" si="1093"/>
        <v>M0</v>
      </c>
      <c r="ACJ23" s="18" t="str">
        <f t="shared" si="1093"/>
        <v>M0</v>
      </c>
      <c r="ACK23" s="18" t="str">
        <f t="shared" si="1093"/>
        <v>M0</v>
      </c>
      <c r="ACL23" s="18" t="str">
        <f t="shared" si="1093"/>
        <v>M0</v>
      </c>
      <c r="ACM23" s="18" t="str">
        <f t="shared" si="1093"/>
        <v>M0</v>
      </c>
      <c r="ACN23" s="18" t="str">
        <f t="shared" si="1093"/>
        <v>M0</v>
      </c>
      <c r="ACO23" s="18" t="str">
        <f t="shared" si="1093"/>
        <v>M0</v>
      </c>
      <c r="ACP23" s="18" t="str">
        <f t="shared" si="1093"/>
        <v>M0</v>
      </c>
      <c r="ACQ23" s="18" t="str">
        <f t="shared" si="1093"/>
        <v>M0</v>
      </c>
      <c r="ACR23" s="18" t="str">
        <f t="shared" si="1093"/>
        <v/>
      </c>
      <c r="ACS23" s="18" t="str">
        <f t="shared" ref="ACS23:AFD23" si="1094">IF(ACS$24="M1","", "M0")</f>
        <v/>
      </c>
      <c r="ACT23" s="18" t="str">
        <f t="shared" si="1094"/>
        <v/>
      </c>
      <c r="ACU23" s="18" t="str">
        <f t="shared" si="1094"/>
        <v>M0</v>
      </c>
      <c r="ACV23" s="18" t="str">
        <f t="shared" si="1094"/>
        <v>M0</v>
      </c>
      <c r="ACW23" s="18" t="str">
        <f t="shared" si="1094"/>
        <v>M0</v>
      </c>
      <c r="ACX23" s="18" t="str">
        <f t="shared" si="1094"/>
        <v>M0</v>
      </c>
      <c r="ACY23" s="18" t="str">
        <f t="shared" si="1094"/>
        <v>M0</v>
      </c>
      <c r="ACZ23" s="18" t="str">
        <f t="shared" si="1094"/>
        <v>M0</v>
      </c>
      <c r="ADA23" s="18" t="str">
        <f t="shared" si="1094"/>
        <v>M0</v>
      </c>
      <c r="ADB23" s="18" t="str">
        <f t="shared" si="1094"/>
        <v>M0</v>
      </c>
      <c r="ADC23" s="18" t="str">
        <f t="shared" si="1094"/>
        <v>M0</v>
      </c>
      <c r="ADD23" s="18" t="str">
        <f t="shared" si="1094"/>
        <v>M0</v>
      </c>
      <c r="ADE23" s="18" t="str">
        <f t="shared" si="1094"/>
        <v>M0</v>
      </c>
      <c r="ADF23" s="18" t="str">
        <f t="shared" si="1094"/>
        <v>M0</v>
      </c>
      <c r="ADG23" s="18" t="str">
        <f t="shared" si="1094"/>
        <v>M0</v>
      </c>
      <c r="ADH23" s="18" t="str">
        <f t="shared" si="1094"/>
        <v>M0</v>
      </c>
      <c r="ADI23" s="18" t="str">
        <f t="shared" si="1094"/>
        <v>M0</v>
      </c>
      <c r="ADJ23" s="18" t="str">
        <f t="shared" si="1094"/>
        <v>M0</v>
      </c>
      <c r="ADK23" s="18" t="str">
        <f t="shared" si="1094"/>
        <v>M0</v>
      </c>
      <c r="ADL23" s="18" t="str">
        <f t="shared" si="1094"/>
        <v>M0</v>
      </c>
      <c r="ADM23" s="18" t="str">
        <f t="shared" si="1094"/>
        <v>M0</v>
      </c>
      <c r="ADN23" s="18" t="str">
        <f t="shared" si="1094"/>
        <v>M0</v>
      </c>
      <c r="ADO23" s="18" t="str">
        <f t="shared" si="1094"/>
        <v>M0</v>
      </c>
      <c r="ADP23" s="18" t="str">
        <f t="shared" si="1094"/>
        <v>M0</v>
      </c>
      <c r="ADQ23" s="18" t="str">
        <f t="shared" si="1094"/>
        <v>M0</v>
      </c>
      <c r="ADR23" s="18" t="str">
        <f t="shared" si="1094"/>
        <v>M0</v>
      </c>
      <c r="ADS23" s="18" t="str">
        <f t="shared" si="1094"/>
        <v>M0</v>
      </c>
      <c r="ADT23" s="18" t="str">
        <f t="shared" si="1094"/>
        <v>M0</v>
      </c>
      <c r="ADU23" s="18" t="str">
        <f t="shared" si="1094"/>
        <v>M0</v>
      </c>
      <c r="ADV23" s="18" t="str">
        <f t="shared" si="1094"/>
        <v>M0</v>
      </c>
      <c r="ADW23" s="18" t="str">
        <f t="shared" si="1094"/>
        <v>M0</v>
      </c>
      <c r="ADX23" s="18" t="str">
        <f t="shared" si="1094"/>
        <v>M0</v>
      </c>
      <c r="ADY23" s="18" t="str">
        <f t="shared" si="1094"/>
        <v>M0</v>
      </c>
      <c r="ADZ23" s="18" t="str">
        <f t="shared" si="1094"/>
        <v>M0</v>
      </c>
      <c r="AEA23" s="18" t="str">
        <f t="shared" si="1094"/>
        <v>M0</v>
      </c>
      <c r="AEB23" s="18" t="str">
        <f t="shared" si="1094"/>
        <v>M0</v>
      </c>
      <c r="AEC23" s="18" t="str">
        <f t="shared" si="1094"/>
        <v>M0</v>
      </c>
      <c r="AED23" s="18" t="str">
        <f t="shared" si="1094"/>
        <v>M0</v>
      </c>
      <c r="AEE23" s="18" t="str">
        <f t="shared" si="1094"/>
        <v>M0</v>
      </c>
      <c r="AEF23" s="18" t="str">
        <f t="shared" si="1094"/>
        <v>M0</v>
      </c>
      <c r="AEG23" s="18" t="str">
        <f t="shared" si="1094"/>
        <v>M0</v>
      </c>
      <c r="AEH23" s="18" t="str">
        <f t="shared" si="1094"/>
        <v>M0</v>
      </c>
      <c r="AEI23" s="18" t="str">
        <f t="shared" si="1094"/>
        <v>M0</v>
      </c>
      <c r="AEJ23" s="18" t="str">
        <f t="shared" si="1094"/>
        <v>M0</v>
      </c>
      <c r="AEK23" s="18" t="str">
        <f t="shared" si="1094"/>
        <v>M0</v>
      </c>
      <c r="AEL23" s="18" t="str">
        <f t="shared" si="1094"/>
        <v>M0</v>
      </c>
      <c r="AEM23" s="18" t="str">
        <f t="shared" si="1094"/>
        <v>M0</v>
      </c>
      <c r="AEN23" s="18" t="str">
        <f t="shared" si="1094"/>
        <v>M0</v>
      </c>
      <c r="AEO23" s="18" t="str">
        <f t="shared" si="1094"/>
        <v>M0</v>
      </c>
      <c r="AEP23" s="18" t="str">
        <f t="shared" si="1094"/>
        <v>M0</v>
      </c>
      <c r="AEQ23" s="18" t="str">
        <f t="shared" si="1094"/>
        <v>M0</v>
      </c>
      <c r="AER23" s="18" t="str">
        <f t="shared" si="1094"/>
        <v>M0</v>
      </c>
      <c r="AES23" s="18" t="str">
        <f t="shared" si="1094"/>
        <v>M0</v>
      </c>
      <c r="AET23" s="18" t="str">
        <f t="shared" si="1094"/>
        <v>M0</v>
      </c>
      <c r="AEU23" s="18" t="str">
        <f t="shared" si="1094"/>
        <v>M0</v>
      </c>
      <c r="AEV23" s="18" t="str">
        <f t="shared" si="1094"/>
        <v>M0</v>
      </c>
      <c r="AEW23" s="18" t="str">
        <f t="shared" si="1094"/>
        <v>M0</v>
      </c>
      <c r="AEX23" s="18" t="str">
        <f t="shared" si="1094"/>
        <v>M0</v>
      </c>
      <c r="AEY23" s="18" t="str">
        <f t="shared" si="1094"/>
        <v>M0</v>
      </c>
      <c r="AEZ23" s="18" t="str">
        <f t="shared" si="1094"/>
        <v>M0</v>
      </c>
      <c r="AFA23" s="18" t="str">
        <f t="shared" si="1094"/>
        <v>M0</v>
      </c>
      <c r="AFB23" s="18" t="str">
        <f t="shared" si="1094"/>
        <v>M0</v>
      </c>
      <c r="AFC23" s="18" t="str">
        <f t="shared" si="1094"/>
        <v>M0</v>
      </c>
      <c r="AFD23" s="18" t="str">
        <f t="shared" si="1094"/>
        <v>M0</v>
      </c>
      <c r="AFE23" s="18" t="str">
        <f t="shared" ref="AFE23:AHP23" si="1095">IF(AFE$24="M1","", "M0")</f>
        <v>M0</v>
      </c>
      <c r="AFF23" s="18" t="str">
        <f t="shared" si="1095"/>
        <v>M0</v>
      </c>
      <c r="AFG23" s="18" t="str">
        <f t="shared" si="1095"/>
        <v>M0</v>
      </c>
      <c r="AFH23" s="18" t="str">
        <f t="shared" si="1095"/>
        <v>M0</v>
      </c>
      <c r="AFI23" s="18" t="str">
        <f t="shared" si="1095"/>
        <v>M0</v>
      </c>
      <c r="AFJ23" s="18" t="str">
        <f t="shared" si="1095"/>
        <v>M0</v>
      </c>
      <c r="AFK23" s="18" t="str">
        <f t="shared" si="1095"/>
        <v>M0</v>
      </c>
      <c r="AFL23" s="18" t="str">
        <f t="shared" si="1095"/>
        <v>M0</v>
      </c>
      <c r="AFM23" s="18" t="str">
        <f t="shared" si="1095"/>
        <v>M0</v>
      </c>
      <c r="AFN23" s="18" t="str">
        <f t="shared" si="1095"/>
        <v>M0</v>
      </c>
      <c r="AFO23" s="18" t="str">
        <f t="shared" si="1095"/>
        <v>M0</v>
      </c>
      <c r="AFP23" s="18" t="str">
        <f t="shared" si="1095"/>
        <v>M0</v>
      </c>
      <c r="AFQ23" s="18" t="str">
        <f t="shared" si="1095"/>
        <v>M0</v>
      </c>
      <c r="AFR23" s="18" t="str">
        <f t="shared" si="1095"/>
        <v>M0</v>
      </c>
      <c r="AFS23" s="18" t="str">
        <f t="shared" si="1095"/>
        <v>M0</v>
      </c>
      <c r="AFT23" s="18" t="str">
        <f t="shared" si="1095"/>
        <v>M0</v>
      </c>
      <c r="AFU23" s="18" t="str">
        <f t="shared" si="1095"/>
        <v>M0</v>
      </c>
      <c r="AFV23" s="18" t="str">
        <f t="shared" si="1095"/>
        <v/>
      </c>
      <c r="AFW23" s="18" t="str">
        <f t="shared" si="1095"/>
        <v/>
      </c>
      <c r="AFX23" s="18" t="str">
        <f t="shared" si="1095"/>
        <v/>
      </c>
      <c r="AFY23" s="18" t="str">
        <f t="shared" si="1095"/>
        <v>M0</v>
      </c>
      <c r="AFZ23" s="18" t="str">
        <f t="shared" si="1095"/>
        <v>M0</v>
      </c>
      <c r="AGA23" s="18" t="str">
        <f t="shared" si="1095"/>
        <v>M0</v>
      </c>
      <c r="AGB23" s="18" t="str">
        <f t="shared" si="1095"/>
        <v>M0</v>
      </c>
      <c r="AGC23" s="18" t="str">
        <f t="shared" si="1095"/>
        <v>M0</v>
      </c>
      <c r="AGD23" s="18" t="str">
        <f t="shared" si="1095"/>
        <v>M0</v>
      </c>
      <c r="AGE23" s="18" t="str">
        <f t="shared" si="1095"/>
        <v>M0</v>
      </c>
      <c r="AGF23" s="18" t="str">
        <f t="shared" si="1095"/>
        <v>M0</v>
      </c>
      <c r="AGG23" s="18" t="str">
        <f t="shared" si="1095"/>
        <v>M0</v>
      </c>
      <c r="AGH23" s="18" t="str">
        <f t="shared" si="1095"/>
        <v>M0</v>
      </c>
      <c r="AGI23" s="18" t="str">
        <f t="shared" si="1095"/>
        <v>M0</v>
      </c>
      <c r="AGJ23" s="18" t="str">
        <f t="shared" si="1095"/>
        <v>M0</v>
      </c>
      <c r="AGK23" s="18" t="str">
        <f t="shared" si="1095"/>
        <v>M0</v>
      </c>
      <c r="AGL23" s="18" t="str">
        <f t="shared" si="1095"/>
        <v>M0</v>
      </c>
      <c r="AGM23" s="18" t="str">
        <f t="shared" si="1095"/>
        <v>M0</v>
      </c>
      <c r="AGN23" s="18" t="str">
        <f t="shared" si="1095"/>
        <v>M0</v>
      </c>
      <c r="AGO23" s="18" t="str">
        <f t="shared" si="1095"/>
        <v>M0</v>
      </c>
      <c r="AGP23" s="18" t="str">
        <f t="shared" si="1095"/>
        <v>M0</v>
      </c>
      <c r="AGQ23" s="18" t="str">
        <f t="shared" si="1095"/>
        <v>M0</v>
      </c>
      <c r="AGR23" s="18" t="str">
        <f t="shared" si="1095"/>
        <v>M0</v>
      </c>
      <c r="AGS23" s="18" t="str">
        <f t="shared" si="1095"/>
        <v>M0</v>
      </c>
      <c r="AGT23" s="18" t="str">
        <f t="shared" si="1095"/>
        <v>M0</v>
      </c>
      <c r="AGU23" s="18" t="str">
        <f t="shared" si="1095"/>
        <v>M0</v>
      </c>
      <c r="AGV23" s="18" t="str">
        <f t="shared" si="1095"/>
        <v>M0</v>
      </c>
      <c r="AGW23" s="18" t="str">
        <f t="shared" si="1095"/>
        <v>M0</v>
      </c>
      <c r="AGX23" s="18" t="str">
        <f t="shared" si="1095"/>
        <v>M0</v>
      </c>
      <c r="AGY23" s="18" t="str">
        <f t="shared" si="1095"/>
        <v>M0</v>
      </c>
      <c r="AGZ23" s="18" t="str">
        <f t="shared" si="1095"/>
        <v>M0</v>
      </c>
      <c r="AHA23" s="18" t="str">
        <f t="shared" si="1095"/>
        <v>M0</v>
      </c>
      <c r="AHB23" s="18" t="str">
        <f t="shared" si="1095"/>
        <v>M0</v>
      </c>
      <c r="AHC23" s="18" t="str">
        <f t="shared" si="1095"/>
        <v>M0</v>
      </c>
      <c r="AHD23" s="18" t="str">
        <f t="shared" si="1095"/>
        <v>M0</v>
      </c>
      <c r="AHE23" s="18" t="str">
        <f t="shared" si="1095"/>
        <v>M0</v>
      </c>
      <c r="AHF23" s="18" t="str">
        <f t="shared" si="1095"/>
        <v>M0</v>
      </c>
      <c r="AHG23" s="18" t="str">
        <f t="shared" si="1095"/>
        <v>M0</v>
      </c>
      <c r="AHH23" s="18" t="str">
        <f t="shared" si="1095"/>
        <v>M0</v>
      </c>
      <c r="AHI23" s="18" t="str">
        <f t="shared" si="1095"/>
        <v>M0</v>
      </c>
      <c r="AHJ23" s="18" t="str">
        <f t="shared" si="1095"/>
        <v>M0</v>
      </c>
      <c r="AHK23" s="18" t="str">
        <f t="shared" si="1095"/>
        <v>M0</v>
      </c>
      <c r="AHL23" s="18" t="str">
        <f t="shared" si="1095"/>
        <v>M0</v>
      </c>
      <c r="AHM23" s="18" t="str">
        <f t="shared" si="1095"/>
        <v>M0</v>
      </c>
      <c r="AHN23" s="18" t="str">
        <f t="shared" si="1095"/>
        <v>M0</v>
      </c>
      <c r="AHO23" s="18" t="str">
        <f t="shared" si="1095"/>
        <v>M0</v>
      </c>
      <c r="AHP23" s="18" t="str">
        <f t="shared" si="1095"/>
        <v>M0</v>
      </c>
      <c r="AHQ23" s="18" t="str">
        <f t="shared" ref="AHQ23:AKB23" si="1096">IF(AHQ$24="M1","", "M0")</f>
        <v>M0</v>
      </c>
      <c r="AHR23" s="18" t="str">
        <f t="shared" si="1096"/>
        <v>M0</v>
      </c>
      <c r="AHS23" s="18" t="str">
        <f t="shared" si="1096"/>
        <v>M0</v>
      </c>
      <c r="AHT23" s="18" t="str">
        <f t="shared" si="1096"/>
        <v>M0</v>
      </c>
      <c r="AHU23" s="18" t="str">
        <f t="shared" si="1096"/>
        <v>M0</v>
      </c>
      <c r="AHV23" s="18" t="str">
        <f t="shared" si="1096"/>
        <v>M0</v>
      </c>
      <c r="AHW23" s="18" t="str">
        <f t="shared" si="1096"/>
        <v>M0</v>
      </c>
      <c r="AHX23" s="18" t="str">
        <f t="shared" si="1096"/>
        <v>M0</v>
      </c>
      <c r="AHY23" s="18" t="str">
        <f t="shared" si="1096"/>
        <v>M0</v>
      </c>
      <c r="AHZ23" s="18" t="str">
        <f t="shared" si="1096"/>
        <v>M0</v>
      </c>
      <c r="AIA23" s="18" t="str">
        <f t="shared" si="1096"/>
        <v>M0</v>
      </c>
      <c r="AIB23" s="18" t="str">
        <f t="shared" si="1096"/>
        <v>M0</v>
      </c>
      <c r="AIC23" s="18" t="str">
        <f t="shared" si="1096"/>
        <v>M0</v>
      </c>
      <c r="AID23" s="18" t="str">
        <f t="shared" si="1096"/>
        <v>M0</v>
      </c>
      <c r="AIE23" s="18" t="str">
        <f t="shared" si="1096"/>
        <v>M0</v>
      </c>
      <c r="AIF23" s="18" t="str">
        <f t="shared" si="1096"/>
        <v/>
      </c>
      <c r="AIG23" s="18" t="str">
        <f t="shared" si="1096"/>
        <v/>
      </c>
      <c r="AIH23" s="18" t="str">
        <f t="shared" si="1096"/>
        <v/>
      </c>
      <c r="AII23" s="18" t="str">
        <f t="shared" si="1096"/>
        <v>M0</v>
      </c>
      <c r="AIJ23" s="18" t="str">
        <f t="shared" si="1096"/>
        <v>M0</v>
      </c>
      <c r="AIK23" s="18" t="str">
        <f t="shared" si="1096"/>
        <v>M0</v>
      </c>
      <c r="AIL23" s="18" t="str">
        <f t="shared" si="1096"/>
        <v>M0</v>
      </c>
      <c r="AIM23" s="18" t="str">
        <f t="shared" si="1096"/>
        <v>M0</v>
      </c>
      <c r="AIN23" s="18" t="str">
        <f t="shared" si="1096"/>
        <v>M0</v>
      </c>
      <c r="AIO23" s="18" t="str">
        <f t="shared" si="1096"/>
        <v>M0</v>
      </c>
      <c r="AIP23" s="18" t="str">
        <f t="shared" si="1096"/>
        <v>M0</v>
      </c>
      <c r="AIQ23" s="18" t="str">
        <f t="shared" si="1096"/>
        <v>M0</v>
      </c>
      <c r="AIR23" s="18" t="str">
        <f t="shared" si="1096"/>
        <v>M0</v>
      </c>
      <c r="AIS23" s="18" t="str">
        <f t="shared" si="1096"/>
        <v>M0</v>
      </c>
      <c r="AIT23" s="18" t="str">
        <f t="shared" si="1096"/>
        <v>M0</v>
      </c>
      <c r="AIU23" s="18" t="str">
        <f t="shared" si="1096"/>
        <v>M0</v>
      </c>
      <c r="AIV23" s="18" t="str">
        <f t="shared" si="1096"/>
        <v>M0</v>
      </c>
      <c r="AIW23" s="18" t="str">
        <f t="shared" si="1096"/>
        <v>M0</v>
      </c>
      <c r="AIX23" s="18" t="str">
        <f t="shared" si="1096"/>
        <v>M0</v>
      </c>
      <c r="AIY23" s="18" t="str">
        <f t="shared" si="1096"/>
        <v>M0</v>
      </c>
      <c r="AIZ23" s="18" t="str">
        <f t="shared" si="1096"/>
        <v>M0</v>
      </c>
      <c r="AJA23" s="18" t="str">
        <f t="shared" si="1096"/>
        <v>M0</v>
      </c>
      <c r="AJB23" s="18" t="str">
        <f t="shared" si="1096"/>
        <v>M0</v>
      </c>
      <c r="AJC23" s="18" t="str">
        <f t="shared" si="1096"/>
        <v>M0</v>
      </c>
      <c r="AJD23" s="18" t="str">
        <f t="shared" si="1096"/>
        <v>M0</v>
      </c>
      <c r="AJE23" s="18" t="str">
        <f t="shared" si="1096"/>
        <v>M0</v>
      </c>
      <c r="AJF23" s="18" t="str">
        <f t="shared" si="1096"/>
        <v>M0</v>
      </c>
      <c r="AJG23" s="18" t="str">
        <f t="shared" si="1096"/>
        <v>M0</v>
      </c>
      <c r="AJH23" s="18" t="str">
        <f t="shared" si="1096"/>
        <v>M0</v>
      </c>
      <c r="AJI23" s="18" t="str">
        <f t="shared" si="1096"/>
        <v>M0</v>
      </c>
      <c r="AJJ23" s="18" t="str">
        <f t="shared" si="1096"/>
        <v>M0</v>
      </c>
      <c r="AJK23" s="18" t="str">
        <f t="shared" si="1096"/>
        <v>M0</v>
      </c>
      <c r="AJL23" s="18" t="str">
        <f t="shared" si="1096"/>
        <v>M0</v>
      </c>
      <c r="AJM23" s="18" t="str">
        <f t="shared" si="1096"/>
        <v>M0</v>
      </c>
      <c r="AJN23" s="18" t="str">
        <f t="shared" si="1096"/>
        <v>M0</v>
      </c>
      <c r="AJO23" s="18" t="str">
        <f t="shared" si="1096"/>
        <v>M0</v>
      </c>
      <c r="AJP23" s="18" t="str">
        <f t="shared" si="1096"/>
        <v>M0</v>
      </c>
      <c r="AJQ23" s="18" t="str">
        <f t="shared" si="1096"/>
        <v>M0</v>
      </c>
      <c r="AJR23" s="18" t="str">
        <f t="shared" si="1096"/>
        <v>M0</v>
      </c>
      <c r="AJS23" s="18" t="str">
        <f t="shared" si="1096"/>
        <v>M0</v>
      </c>
      <c r="AJT23" s="18" t="str">
        <f t="shared" si="1096"/>
        <v>M0</v>
      </c>
      <c r="AJU23" s="18" t="str">
        <f t="shared" si="1096"/>
        <v>M0</v>
      </c>
      <c r="AJV23" s="18" t="str">
        <f t="shared" si="1096"/>
        <v>M0</v>
      </c>
      <c r="AJW23" s="18" t="str">
        <f t="shared" si="1096"/>
        <v>M0</v>
      </c>
      <c r="AJX23" s="18" t="str">
        <f t="shared" si="1096"/>
        <v>M0</v>
      </c>
      <c r="AJY23" s="18" t="str">
        <f t="shared" si="1096"/>
        <v>M0</v>
      </c>
      <c r="AJZ23" s="18" t="str">
        <f t="shared" si="1096"/>
        <v>M0</v>
      </c>
      <c r="AKA23" s="18" t="str">
        <f t="shared" si="1096"/>
        <v>M0</v>
      </c>
      <c r="AKB23" s="18" t="str">
        <f t="shared" si="1096"/>
        <v>M0</v>
      </c>
      <c r="AKC23" s="18" t="str">
        <f t="shared" ref="AKC23:ALW23" si="1097">IF(AKC$24="M1","", "M0")</f>
        <v>M0</v>
      </c>
      <c r="AKD23" s="18" t="str">
        <f t="shared" si="1097"/>
        <v>M0</v>
      </c>
      <c r="AKE23" s="18" t="str">
        <f t="shared" si="1097"/>
        <v>M0</v>
      </c>
      <c r="AKF23" s="18" t="str">
        <f t="shared" si="1097"/>
        <v>M0</v>
      </c>
      <c r="AKG23" s="18" t="str">
        <f t="shared" si="1097"/>
        <v>M0</v>
      </c>
      <c r="AKH23" s="18" t="str">
        <f t="shared" si="1097"/>
        <v>M0</v>
      </c>
      <c r="AKI23" s="18" t="str">
        <f t="shared" si="1097"/>
        <v>M0</v>
      </c>
      <c r="AKJ23" s="18" t="str">
        <f t="shared" si="1097"/>
        <v>M0</v>
      </c>
      <c r="AKK23" s="18" t="str">
        <f t="shared" si="1097"/>
        <v>M0</v>
      </c>
      <c r="AKL23" s="18" t="str">
        <f t="shared" si="1097"/>
        <v>M0</v>
      </c>
      <c r="AKM23" s="18" t="str">
        <f t="shared" si="1097"/>
        <v>M0</v>
      </c>
      <c r="AKN23" s="18" t="str">
        <f t="shared" si="1097"/>
        <v>M0</v>
      </c>
      <c r="AKO23" s="18" t="str">
        <f t="shared" si="1097"/>
        <v>M0</v>
      </c>
      <c r="AKP23" s="18" t="str">
        <f t="shared" si="1097"/>
        <v>M0</v>
      </c>
      <c r="AKQ23" s="18" t="str">
        <f t="shared" si="1097"/>
        <v>M0</v>
      </c>
      <c r="AKR23" s="18" t="str">
        <f t="shared" si="1097"/>
        <v>M0</v>
      </c>
      <c r="AKS23" s="18" t="str">
        <f t="shared" si="1097"/>
        <v>M0</v>
      </c>
      <c r="AKT23" s="18" t="str">
        <f t="shared" si="1097"/>
        <v>M0</v>
      </c>
      <c r="AKU23" s="18" t="str">
        <f t="shared" si="1097"/>
        <v>M0</v>
      </c>
      <c r="AKV23" s="18" t="str">
        <f t="shared" si="1097"/>
        <v>M0</v>
      </c>
      <c r="AKW23" s="18" t="str">
        <f t="shared" si="1097"/>
        <v>M0</v>
      </c>
      <c r="AKX23" s="18" t="str">
        <f t="shared" si="1097"/>
        <v>M0</v>
      </c>
      <c r="AKY23" s="18" t="str">
        <f t="shared" si="1097"/>
        <v>M0</v>
      </c>
      <c r="AKZ23" s="18" t="str">
        <f t="shared" si="1097"/>
        <v>M0</v>
      </c>
      <c r="ALA23" s="18" t="str">
        <f t="shared" si="1097"/>
        <v>M0</v>
      </c>
      <c r="ALB23" s="18" t="str">
        <f t="shared" si="1097"/>
        <v>M0</v>
      </c>
      <c r="ALC23" s="18" t="str">
        <f t="shared" si="1097"/>
        <v>M0</v>
      </c>
      <c r="ALD23" s="18" t="str">
        <f t="shared" si="1097"/>
        <v>M0</v>
      </c>
      <c r="ALE23" s="18" t="str">
        <f t="shared" si="1097"/>
        <v>M0</v>
      </c>
      <c r="ALF23" s="18" t="str">
        <f t="shared" si="1097"/>
        <v>M0</v>
      </c>
      <c r="ALG23" s="18" t="str">
        <f t="shared" si="1097"/>
        <v>M0</v>
      </c>
      <c r="ALH23" s="18" t="str">
        <f t="shared" si="1097"/>
        <v>M0</v>
      </c>
      <c r="ALI23" s="18" t="str">
        <f t="shared" si="1097"/>
        <v>M0</v>
      </c>
      <c r="ALJ23" s="18" t="str">
        <f t="shared" si="1097"/>
        <v/>
      </c>
      <c r="ALK23" s="18" t="str">
        <f t="shared" si="1097"/>
        <v/>
      </c>
      <c r="ALL23" s="18" t="str">
        <f t="shared" si="1097"/>
        <v/>
      </c>
      <c r="ALM23" s="18" t="str">
        <f t="shared" si="1097"/>
        <v>M0</v>
      </c>
      <c r="ALN23" s="18" t="str">
        <f t="shared" si="1097"/>
        <v>M0</v>
      </c>
      <c r="ALO23" s="18" t="str">
        <f t="shared" si="1097"/>
        <v>M0</v>
      </c>
      <c r="ALP23" s="18" t="str">
        <f t="shared" si="1097"/>
        <v>M0</v>
      </c>
      <c r="ALQ23" s="18" t="str">
        <f t="shared" si="1097"/>
        <v>M0</v>
      </c>
      <c r="ALR23" s="18" t="str">
        <f t="shared" si="1097"/>
        <v>M0</v>
      </c>
      <c r="ALS23" s="18" t="str">
        <f t="shared" si="1097"/>
        <v>M0</v>
      </c>
      <c r="ALT23" s="18" t="str">
        <f t="shared" si="1097"/>
        <v>M0</v>
      </c>
      <c r="ALU23" s="18" t="str">
        <f t="shared" si="1097"/>
        <v>M0</v>
      </c>
      <c r="ALV23" s="18" t="str">
        <f t="shared" si="1097"/>
        <v>M0</v>
      </c>
      <c r="ALW23" s="18" t="str">
        <f t="shared" si="1097"/>
        <v>M0</v>
      </c>
    </row>
    <row r="24" spans="2:1011" hidden="1" outlineLevel="1" x14ac:dyDescent="0.25">
      <c r="B24" s="8"/>
      <c r="C24" s="5" t="s">
        <v>4</v>
      </c>
      <c r="D24" s="6"/>
      <c r="E24" s="6"/>
      <c r="F24" s="6"/>
      <c r="G24" s="6"/>
      <c r="H24" s="6"/>
      <c r="I24" s="6"/>
      <c r="J24" s="6" t="s">
        <v>4</v>
      </c>
      <c r="K24" s="6" t="s">
        <v>4</v>
      </c>
      <c r="L24" s="6" t="s">
        <v>4</v>
      </c>
      <c r="M24" s="6" t="s">
        <v>4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 t="s">
        <v>4</v>
      </c>
      <c r="BZ24" s="6" t="s">
        <v>4</v>
      </c>
      <c r="CA24" s="6" t="s">
        <v>4</v>
      </c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 t="s">
        <v>4</v>
      </c>
      <c r="GO24" s="6" t="s">
        <v>4</v>
      </c>
      <c r="GP24" s="6" t="s">
        <v>4</v>
      </c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 t="s">
        <v>4</v>
      </c>
      <c r="JS24" s="6" t="s">
        <v>4</v>
      </c>
      <c r="JT24" s="6" t="s">
        <v>4</v>
      </c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 t="s">
        <v>4</v>
      </c>
      <c r="MC24" s="6" t="s">
        <v>4</v>
      </c>
      <c r="MD24" s="6" t="s">
        <v>4</v>
      </c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 t="s">
        <v>4</v>
      </c>
      <c r="PG24" s="6" t="s">
        <v>4</v>
      </c>
      <c r="PH24" s="6" t="s">
        <v>4</v>
      </c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6"/>
      <c r="QP24" s="6"/>
      <c r="QQ24" s="6"/>
      <c r="QR24" s="6"/>
      <c r="QS24" s="6"/>
      <c r="QT24" s="6"/>
      <c r="QU24" s="6"/>
      <c r="QV24" s="6"/>
      <c r="QW24" s="6"/>
      <c r="QX24" s="6"/>
      <c r="QY24" s="6"/>
      <c r="QZ24" s="6"/>
      <c r="RA24" s="6"/>
      <c r="RB24" s="6"/>
      <c r="RC24" s="6"/>
      <c r="RD24" s="6"/>
      <c r="RE24" s="6"/>
      <c r="RF24" s="6"/>
      <c r="RG24" s="6"/>
      <c r="RH24" s="6"/>
      <c r="RI24" s="6"/>
      <c r="RJ24" s="6"/>
      <c r="RK24" s="6"/>
      <c r="RL24" s="6"/>
      <c r="RM24" s="6"/>
      <c r="RN24" s="6"/>
      <c r="RO24" s="6"/>
      <c r="RP24" s="6" t="s">
        <v>4</v>
      </c>
      <c r="RQ24" s="6" t="s">
        <v>4</v>
      </c>
      <c r="RR24" s="6" t="s">
        <v>4</v>
      </c>
      <c r="RS24" s="6"/>
      <c r="RT24" s="6"/>
      <c r="RU24" s="6"/>
      <c r="RV24" s="6"/>
      <c r="RW24" s="6"/>
      <c r="RX24" s="6"/>
      <c r="RY24" s="6"/>
      <c r="RZ24" s="6"/>
      <c r="SA24" s="6"/>
      <c r="SB24" s="6"/>
      <c r="SC24" s="6"/>
      <c r="SD24" s="6"/>
      <c r="SE24" s="6"/>
      <c r="SF24" s="6"/>
      <c r="SG24" s="6"/>
      <c r="SH24" s="6"/>
      <c r="SI24" s="6"/>
      <c r="SJ24" s="6"/>
      <c r="SK24" s="6"/>
      <c r="SL24" s="6"/>
      <c r="SM24" s="6"/>
      <c r="SN24" s="6"/>
      <c r="SO24" s="6"/>
      <c r="SP24" s="6"/>
      <c r="SQ24" s="6"/>
      <c r="SR24" s="6"/>
      <c r="SS24" s="6"/>
      <c r="ST24" s="6"/>
      <c r="SU24" s="6"/>
      <c r="SV24" s="6"/>
      <c r="SW24" s="6"/>
      <c r="SX24" s="6"/>
      <c r="SY24" s="6"/>
      <c r="SZ24" s="6"/>
      <c r="TA24" s="6"/>
      <c r="TB24" s="6"/>
      <c r="TC24" s="6"/>
      <c r="TD24" s="6"/>
      <c r="TE24" s="6"/>
      <c r="TF24" s="6"/>
      <c r="TG24" s="6"/>
      <c r="TH24" s="6"/>
      <c r="TI24" s="6"/>
      <c r="TJ24" s="6"/>
      <c r="TK24" s="6"/>
      <c r="TL24" s="6"/>
      <c r="TM24" s="6"/>
      <c r="TN24" s="6"/>
      <c r="TO24" s="6"/>
      <c r="TP24" s="6"/>
      <c r="TQ24" s="6"/>
      <c r="TR24" s="6"/>
      <c r="TS24" s="6"/>
      <c r="TT24" s="6"/>
      <c r="TU24" s="6"/>
      <c r="TV24" s="6"/>
      <c r="TW24" s="6"/>
      <c r="TX24" s="6"/>
      <c r="TY24" s="6"/>
      <c r="TZ24" s="6"/>
      <c r="UA24" s="6"/>
      <c r="UB24" s="6"/>
      <c r="UC24" s="6"/>
      <c r="UD24" s="6"/>
      <c r="UE24" s="6"/>
      <c r="UF24" s="6"/>
      <c r="UG24" s="6"/>
      <c r="UH24" s="6"/>
      <c r="UI24" s="6"/>
      <c r="UJ24" s="6"/>
      <c r="UK24" s="6"/>
      <c r="UL24" s="6"/>
      <c r="UM24" s="6"/>
      <c r="UN24" s="6"/>
      <c r="UO24" s="6"/>
      <c r="UP24" s="6"/>
      <c r="UQ24" s="6"/>
      <c r="UR24" s="6"/>
      <c r="US24" s="6"/>
      <c r="UT24" s="6" t="s">
        <v>4</v>
      </c>
      <c r="UU24" s="6" t="s">
        <v>4</v>
      </c>
      <c r="UV24" s="6" t="s">
        <v>4</v>
      </c>
      <c r="UW24" s="6"/>
      <c r="UX24" s="6"/>
      <c r="UY24" s="6"/>
      <c r="UZ24" s="6"/>
      <c r="VA24" s="6"/>
      <c r="VB24" s="6"/>
      <c r="VC24" s="6"/>
      <c r="VD24" s="6"/>
      <c r="VE24" s="6"/>
      <c r="VF24" s="6"/>
      <c r="VG24" s="6"/>
      <c r="VH24" s="6"/>
      <c r="VI24" s="6"/>
      <c r="VJ24" s="6"/>
      <c r="VK24" s="6"/>
      <c r="VL24" s="6"/>
      <c r="VM24" s="6"/>
      <c r="VN24" s="6"/>
      <c r="VO24" s="6"/>
      <c r="VP24" s="6"/>
      <c r="VQ24" s="6"/>
      <c r="VR24" s="6"/>
      <c r="VS24" s="6"/>
      <c r="VT24" s="6"/>
      <c r="VU24" s="6"/>
      <c r="VV24" s="6"/>
      <c r="VW24" s="6"/>
      <c r="VX24" s="6"/>
      <c r="VY24" s="6"/>
      <c r="VZ24" s="6"/>
      <c r="WA24" s="6"/>
      <c r="WB24" s="6"/>
      <c r="WC24" s="6"/>
      <c r="WD24" s="6"/>
      <c r="WE24" s="6"/>
      <c r="WF24" s="6"/>
      <c r="WG24" s="6"/>
      <c r="WH24" s="6"/>
      <c r="WI24" s="6"/>
      <c r="WJ24" s="6"/>
      <c r="WK24" s="6"/>
      <c r="WL24" s="6"/>
      <c r="WM24" s="6"/>
      <c r="WN24" s="6"/>
      <c r="WO24" s="6"/>
      <c r="WP24" s="6"/>
      <c r="WQ24" s="6"/>
      <c r="WR24" s="6"/>
      <c r="WS24" s="6"/>
      <c r="WT24" s="6"/>
      <c r="WU24" s="6"/>
      <c r="WV24" s="6"/>
      <c r="WW24" s="6"/>
      <c r="WX24" s="6"/>
      <c r="WY24" s="6"/>
      <c r="WZ24" s="6"/>
      <c r="XA24" s="6"/>
      <c r="XB24" s="6"/>
      <c r="XC24" s="6"/>
      <c r="XD24" s="6" t="s">
        <v>4</v>
      </c>
      <c r="XE24" s="6" t="s">
        <v>4</v>
      </c>
      <c r="XF24" s="6" t="s">
        <v>4</v>
      </c>
      <c r="XG24" s="6"/>
      <c r="XH24" s="6"/>
      <c r="XI24" s="6"/>
      <c r="XJ24" s="6"/>
      <c r="XK24" s="6"/>
      <c r="XL24" s="6"/>
      <c r="XM24" s="6"/>
      <c r="XN24" s="6"/>
      <c r="XO24" s="6"/>
      <c r="XP24" s="6"/>
      <c r="XQ24" s="6"/>
      <c r="XR24" s="6"/>
      <c r="XS24" s="6"/>
      <c r="XT24" s="6"/>
      <c r="XU24" s="6"/>
      <c r="XV24" s="6"/>
      <c r="XW24" s="6"/>
      <c r="XX24" s="6"/>
      <c r="XY24" s="6"/>
      <c r="XZ24" s="6"/>
      <c r="YA24" s="6"/>
      <c r="YB24" s="6"/>
      <c r="YC24" s="6"/>
      <c r="YD24" s="6"/>
      <c r="YE24" s="6"/>
      <c r="YF24" s="6"/>
      <c r="YG24" s="6"/>
      <c r="YH24" s="6"/>
      <c r="YI24" s="6"/>
      <c r="YJ24" s="6"/>
      <c r="YK24" s="6"/>
      <c r="YL24" s="6"/>
      <c r="YM24" s="6"/>
      <c r="YN24" s="6"/>
      <c r="YO24" s="6"/>
      <c r="YP24" s="6"/>
      <c r="YQ24" s="6"/>
      <c r="YR24" s="6"/>
      <c r="YS24" s="6"/>
      <c r="YT24" s="6"/>
      <c r="YU24" s="6"/>
      <c r="YV24" s="6"/>
      <c r="YW24" s="6"/>
      <c r="YX24" s="6"/>
      <c r="YY24" s="6"/>
      <c r="YZ24" s="6"/>
      <c r="ZA24" s="6"/>
      <c r="ZB24" s="6"/>
      <c r="ZC24" s="6"/>
      <c r="ZD24" s="6"/>
      <c r="ZE24" s="6"/>
      <c r="ZF24" s="6"/>
      <c r="ZG24" s="6"/>
      <c r="ZH24" s="6"/>
      <c r="ZI24" s="6"/>
      <c r="ZJ24" s="6"/>
      <c r="ZK24" s="6"/>
      <c r="ZL24" s="6"/>
      <c r="ZM24" s="6"/>
      <c r="ZN24" s="6"/>
      <c r="ZO24" s="6"/>
      <c r="ZP24" s="6"/>
      <c r="ZQ24" s="6"/>
      <c r="ZR24" s="6"/>
      <c r="ZS24" s="6"/>
      <c r="ZT24" s="6"/>
      <c r="ZU24" s="6"/>
      <c r="ZV24" s="6"/>
      <c r="ZW24" s="6"/>
      <c r="ZX24" s="6"/>
      <c r="ZY24" s="6"/>
      <c r="ZZ24" s="6"/>
      <c r="AAA24" s="6"/>
      <c r="AAB24" s="6"/>
      <c r="AAC24" s="6"/>
      <c r="AAD24" s="6"/>
      <c r="AAE24" s="6"/>
      <c r="AAF24" s="6"/>
      <c r="AAG24" s="6"/>
      <c r="AAH24" s="6" t="s">
        <v>4</v>
      </c>
      <c r="AAI24" s="6" t="s">
        <v>4</v>
      </c>
      <c r="AAJ24" s="6" t="s">
        <v>4</v>
      </c>
      <c r="AAK24" s="6"/>
      <c r="AAL24" s="6"/>
      <c r="AAM24" s="6"/>
      <c r="AAN24" s="6"/>
      <c r="AAO24" s="6"/>
      <c r="AAP24" s="6"/>
      <c r="AAQ24" s="6"/>
      <c r="AAR24" s="6"/>
      <c r="AAS24" s="6"/>
      <c r="AAT24" s="6"/>
      <c r="AAU24" s="6"/>
      <c r="AAV24" s="6"/>
      <c r="AAW24" s="6"/>
      <c r="AAX24" s="6"/>
      <c r="AAY24" s="6"/>
      <c r="AAZ24" s="6"/>
      <c r="ABA24" s="6"/>
      <c r="ABB24" s="6"/>
      <c r="ABC24" s="6"/>
      <c r="ABD24" s="6"/>
      <c r="ABE24" s="6"/>
      <c r="ABF24" s="6"/>
      <c r="ABG24" s="6"/>
      <c r="ABH24" s="6"/>
      <c r="ABI24" s="6"/>
      <c r="ABJ24" s="6"/>
      <c r="ABK24" s="6"/>
      <c r="ABL24" s="6"/>
      <c r="ABM24" s="6"/>
      <c r="ABN24" s="6"/>
      <c r="ABO24" s="6"/>
      <c r="ABP24" s="6"/>
      <c r="ABQ24" s="6"/>
      <c r="ABR24" s="6"/>
      <c r="ABS24" s="6"/>
      <c r="ABT24" s="6"/>
      <c r="ABU24" s="6"/>
      <c r="ABV24" s="6"/>
      <c r="ABW24" s="6"/>
      <c r="ABX24" s="6"/>
      <c r="ABY24" s="6"/>
      <c r="ABZ24" s="6"/>
      <c r="ACA24" s="6"/>
      <c r="ACB24" s="6"/>
      <c r="ACC24" s="6"/>
      <c r="ACD24" s="6"/>
      <c r="ACE24" s="6"/>
      <c r="ACF24" s="6"/>
      <c r="ACG24" s="6"/>
      <c r="ACH24" s="6"/>
      <c r="ACI24" s="6"/>
      <c r="ACJ24" s="6"/>
      <c r="ACK24" s="6"/>
      <c r="ACL24" s="6"/>
      <c r="ACM24" s="6"/>
      <c r="ACN24" s="6"/>
      <c r="ACO24" s="6"/>
      <c r="ACP24" s="6"/>
      <c r="ACQ24" s="6"/>
      <c r="ACR24" s="6" t="s">
        <v>4</v>
      </c>
      <c r="ACS24" s="6" t="s">
        <v>4</v>
      </c>
      <c r="ACT24" s="6" t="s">
        <v>4</v>
      </c>
      <c r="ACU24" s="6"/>
      <c r="ACV24" s="6"/>
      <c r="ACW24" s="6"/>
      <c r="ACX24" s="6"/>
      <c r="ACY24" s="6"/>
      <c r="ACZ24" s="6"/>
      <c r="ADA24" s="6"/>
      <c r="ADB24" s="6"/>
      <c r="ADC24" s="6"/>
      <c r="ADD24" s="6"/>
      <c r="ADE24" s="6"/>
      <c r="ADF24" s="6"/>
      <c r="ADG24" s="6"/>
      <c r="ADH24" s="6"/>
      <c r="ADI24" s="6"/>
      <c r="ADJ24" s="6"/>
      <c r="ADK24" s="6"/>
      <c r="ADL24" s="6"/>
      <c r="ADM24" s="6"/>
      <c r="ADN24" s="6"/>
      <c r="ADO24" s="6"/>
      <c r="ADP24" s="6"/>
      <c r="ADQ24" s="6"/>
      <c r="ADR24" s="6"/>
      <c r="ADS24" s="6"/>
      <c r="ADT24" s="6"/>
      <c r="ADU24" s="6"/>
      <c r="ADV24" s="6"/>
      <c r="ADW24" s="6"/>
      <c r="ADX24" s="6"/>
      <c r="ADY24" s="6"/>
      <c r="ADZ24" s="6"/>
      <c r="AEA24" s="6"/>
      <c r="AEB24" s="6"/>
      <c r="AEC24" s="6"/>
      <c r="AED24" s="6"/>
      <c r="AEE24" s="6"/>
      <c r="AEF24" s="6"/>
      <c r="AEG24" s="6"/>
      <c r="AEH24" s="6"/>
      <c r="AEI24" s="6"/>
      <c r="AEJ24" s="6"/>
      <c r="AEK24" s="6"/>
      <c r="AEL24" s="6"/>
      <c r="AEM24" s="6"/>
      <c r="AEN24" s="6"/>
      <c r="AEO24" s="6"/>
      <c r="AEP24" s="6"/>
      <c r="AEQ24" s="6"/>
      <c r="AER24" s="6"/>
      <c r="AES24" s="6"/>
      <c r="AET24" s="6"/>
      <c r="AEU24" s="6"/>
      <c r="AEV24" s="6"/>
      <c r="AEW24" s="6"/>
      <c r="AEX24" s="6"/>
      <c r="AEY24" s="6"/>
      <c r="AEZ24" s="6"/>
      <c r="AFA24" s="6"/>
      <c r="AFB24" s="6"/>
      <c r="AFC24" s="6"/>
      <c r="AFD24" s="6"/>
      <c r="AFE24" s="6"/>
      <c r="AFF24" s="6"/>
      <c r="AFG24" s="6"/>
      <c r="AFH24" s="6"/>
      <c r="AFI24" s="6"/>
      <c r="AFJ24" s="6"/>
      <c r="AFK24" s="6"/>
      <c r="AFL24" s="6"/>
      <c r="AFM24" s="6"/>
      <c r="AFN24" s="6"/>
      <c r="AFO24" s="6"/>
      <c r="AFP24" s="6"/>
      <c r="AFQ24" s="6"/>
      <c r="AFR24" s="6"/>
      <c r="AFS24" s="6"/>
      <c r="AFT24" s="6"/>
      <c r="AFU24" s="6"/>
      <c r="AFV24" s="6" t="s">
        <v>4</v>
      </c>
      <c r="AFW24" s="6" t="s">
        <v>4</v>
      </c>
      <c r="AFX24" s="6" t="s">
        <v>4</v>
      </c>
      <c r="AFY24" s="6"/>
      <c r="AFZ24" s="6"/>
      <c r="AGA24" s="6"/>
      <c r="AGB24" s="6"/>
      <c r="AGC24" s="6"/>
      <c r="AGD24" s="6"/>
      <c r="AGE24" s="6"/>
      <c r="AGF24" s="6"/>
      <c r="AGG24" s="6"/>
      <c r="AGH24" s="6"/>
      <c r="AGI24" s="6"/>
      <c r="AGJ24" s="6"/>
      <c r="AGK24" s="6"/>
      <c r="AGL24" s="6"/>
      <c r="AGM24" s="6"/>
      <c r="AGN24" s="6"/>
      <c r="AGO24" s="6"/>
      <c r="AGP24" s="6"/>
      <c r="AGQ24" s="6"/>
      <c r="AGR24" s="6"/>
      <c r="AGS24" s="6"/>
      <c r="AGT24" s="6"/>
      <c r="AGU24" s="6"/>
      <c r="AGV24" s="6"/>
      <c r="AGW24" s="6"/>
      <c r="AGX24" s="6"/>
      <c r="AGY24" s="6"/>
      <c r="AGZ24" s="6"/>
      <c r="AHA24" s="6"/>
      <c r="AHB24" s="6"/>
      <c r="AHC24" s="6"/>
      <c r="AHD24" s="6"/>
      <c r="AHE24" s="6"/>
      <c r="AHF24" s="6"/>
      <c r="AHG24" s="6"/>
      <c r="AHH24" s="6"/>
      <c r="AHI24" s="6"/>
      <c r="AHJ24" s="6"/>
      <c r="AHK24" s="6"/>
      <c r="AHL24" s="6"/>
      <c r="AHM24" s="6"/>
      <c r="AHN24" s="6"/>
      <c r="AHO24" s="6"/>
      <c r="AHP24" s="6"/>
      <c r="AHQ24" s="6"/>
      <c r="AHR24" s="6"/>
      <c r="AHS24" s="6"/>
      <c r="AHT24" s="6"/>
      <c r="AHU24" s="6"/>
      <c r="AHV24" s="6"/>
      <c r="AHW24" s="6"/>
      <c r="AHX24" s="6"/>
      <c r="AHY24" s="6"/>
      <c r="AHZ24" s="6"/>
      <c r="AIA24" s="6"/>
      <c r="AIB24" s="6"/>
      <c r="AIC24" s="6"/>
      <c r="AID24" s="6"/>
      <c r="AIE24" s="6"/>
      <c r="AIF24" s="6" t="s">
        <v>4</v>
      </c>
      <c r="AIG24" s="6" t="s">
        <v>4</v>
      </c>
      <c r="AIH24" s="6" t="s">
        <v>4</v>
      </c>
      <c r="AII24" s="6"/>
      <c r="AIJ24" s="6"/>
      <c r="AIK24" s="6"/>
      <c r="AIL24" s="6"/>
      <c r="AIM24" s="6"/>
      <c r="AIN24" s="6"/>
      <c r="AIO24" s="6"/>
      <c r="AIP24" s="6"/>
      <c r="AIQ24" s="6"/>
      <c r="AIR24" s="6"/>
      <c r="AIS24" s="6"/>
      <c r="AIT24" s="6"/>
      <c r="AIU24" s="6"/>
      <c r="AIV24" s="6"/>
      <c r="AIW24" s="6"/>
      <c r="AIX24" s="6"/>
      <c r="AIY24" s="6"/>
      <c r="AIZ24" s="6"/>
      <c r="AJA24" s="6"/>
      <c r="AJB24" s="6"/>
      <c r="AJC24" s="6"/>
      <c r="AJD24" s="6"/>
      <c r="AJE24" s="6"/>
      <c r="AJF24" s="6"/>
      <c r="AJG24" s="6"/>
      <c r="AJH24" s="6"/>
      <c r="AJI24" s="6"/>
      <c r="AJJ24" s="6"/>
      <c r="AJK24" s="6"/>
      <c r="AJL24" s="6"/>
      <c r="AJM24" s="6"/>
      <c r="AJN24" s="6"/>
      <c r="AJO24" s="6"/>
      <c r="AJP24" s="6"/>
      <c r="AJQ24" s="6"/>
      <c r="AJR24" s="6"/>
      <c r="AJS24" s="6"/>
      <c r="AJT24" s="6"/>
      <c r="AJU24" s="6"/>
      <c r="AJV24" s="6"/>
      <c r="AJW24" s="6"/>
      <c r="AJX24" s="6"/>
      <c r="AJY24" s="6"/>
      <c r="AJZ24" s="6"/>
      <c r="AKA24" s="6"/>
      <c r="AKB24" s="6"/>
      <c r="AKC24" s="6"/>
      <c r="AKD24" s="6"/>
      <c r="AKE24" s="6"/>
      <c r="AKF24" s="6"/>
      <c r="AKG24" s="6"/>
      <c r="AKH24" s="6"/>
      <c r="AKI24" s="6"/>
      <c r="AKJ24" s="6"/>
      <c r="AKK24" s="6"/>
      <c r="AKL24" s="6"/>
      <c r="AKM24" s="6"/>
      <c r="AKN24" s="6"/>
      <c r="AKO24" s="6"/>
      <c r="AKP24" s="6"/>
      <c r="AKQ24" s="6"/>
      <c r="AKR24" s="6"/>
      <c r="AKS24" s="6"/>
      <c r="AKT24" s="6"/>
      <c r="AKU24" s="6"/>
      <c r="AKV24" s="6"/>
      <c r="AKW24" s="6"/>
      <c r="AKX24" s="6"/>
      <c r="AKY24" s="6"/>
      <c r="AKZ24" s="6"/>
      <c r="ALA24" s="6"/>
      <c r="ALB24" s="6"/>
      <c r="ALC24" s="6"/>
      <c r="ALD24" s="6"/>
      <c r="ALE24" s="6"/>
      <c r="ALF24" s="6"/>
      <c r="ALG24" s="6"/>
      <c r="ALH24" s="6"/>
      <c r="ALI24" s="6"/>
      <c r="ALJ24" s="6" t="s">
        <v>4</v>
      </c>
      <c r="ALK24" s="6" t="s">
        <v>4</v>
      </c>
      <c r="ALL24" s="6" t="s">
        <v>4</v>
      </c>
      <c r="ALM24" s="6"/>
      <c r="ALN24" s="6"/>
      <c r="ALO24" s="6"/>
      <c r="ALP24" s="6"/>
      <c r="ALQ24" s="6"/>
      <c r="ALR24" s="6"/>
      <c r="ALS24" s="6"/>
      <c r="ALT24" s="6"/>
      <c r="ALU24" s="6"/>
      <c r="ALV24" s="6"/>
      <c r="ALW24" s="6"/>
    </row>
    <row r="25" spans="2:1011" collapsed="1" x14ac:dyDescent="0.25"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  <c r="AAB25" s="19"/>
      <c r="AAC25" s="19"/>
      <c r="AAD25" s="19"/>
      <c r="AAE25" s="19"/>
      <c r="AAF25" s="19"/>
      <c r="AAG25" s="19"/>
      <c r="AAH25" s="19"/>
      <c r="AAI25" s="19"/>
      <c r="AAJ25" s="19"/>
      <c r="AAK25" s="19"/>
      <c r="AAL25" s="19"/>
      <c r="AAM25" s="19"/>
      <c r="AAN25" s="19"/>
      <c r="AAO25" s="19"/>
      <c r="AAP25" s="19"/>
      <c r="AAQ25" s="19"/>
      <c r="AAR25" s="19"/>
      <c r="AAS25" s="19"/>
      <c r="AAT25" s="19"/>
      <c r="AAU25" s="19"/>
      <c r="AAV25" s="19"/>
      <c r="AAW25" s="19"/>
      <c r="AAX25" s="19"/>
      <c r="AAY25" s="19"/>
      <c r="AAZ25" s="19"/>
      <c r="ABA25" s="19"/>
      <c r="ABB25" s="19"/>
      <c r="ABC25" s="19"/>
      <c r="ABD25" s="19"/>
      <c r="ABE25" s="19"/>
      <c r="ABF25" s="19"/>
      <c r="ABG25" s="19"/>
      <c r="ABH25" s="19"/>
      <c r="ABI25" s="19"/>
      <c r="ABJ25" s="19"/>
      <c r="ABK25" s="19"/>
      <c r="ABL25" s="19"/>
      <c r="ABM25" s="19"/>
      <c r="ABN25" s="19"/>
      <c r="ABO25" s="19"/>
      <c r="ABP25" s="19"/>
      <c r="ABQ25" s="19"/>
      <c r="ABR25" s="19"/>
      <c r="ABS25" s="19"/>
      <c r="ABT25" s="19"/>
      <c r="ABU25" s="19"/>
      <c r="ABV25" s="19"/>
      <c r="ABW25" s="19"/>
      <c r="ABX25" s="19"/>
      <c r="ABY25" s="19"/>
      <c r="ABZ25" s="19"/>
      <c r="ACA25" s="19"/>
      <c r="ACB25" s="19"/>
      <c r="ACC25" s="19"/>
      <c r="ACD25" s="19"/>
      <c r="ACE25" s="19"/>
      <c r="ACF25" s="19"/>
      <c r="ACG25" s="19"/>
      <c r="ACH25" s="19"/>
      <c r="ACI25" s="19"/>
      <c r="ACJ25" s="19"/>
      <c r="ACK25" s="19"/>
      <c r="ACL25" s="19"/>
      <c r="ACM25" s="19"/>
      <c r="ACN25" s="19"/>
      <c r="ACO25" s="19"/>
      <c r="ACP25" s="19"/>
      <c r="ACQ25" s="19"/>
      <c r="ACR25" s="19"/>
      <c r="ACS25" s="19"/>
      <c r="ACT25" s="19"/>
      <c r="ACU25" s="19"/>
      <c r="ACV25" s="19"/>
      <c r="ACW25" s="19"/>
      <c r="ACX25" s="19"/>
      <c r="ACY25" s="19"/>
      <c r="ACZ25" s="19"/>
      <c r="ADA25" s="19"/>
      <c r="ADB25" s="19"/>
      <c r="ADC25" s="19"/>
      <c r="ADD25" s="19"/>
      <c r="ADE25" s="19"/>
      <c r="ADF25" s="19"/>
      <c r="ADG25" s="19"/>
      <c r="ADH25" s="19"/>
      <c r="ADI25" s="19"/>
      <c r="ADJ25" s="19"/>
      <c r="ADK25" s="19"/>
      <c r="ADL25" s="19"/>
      <c r="ADM25" s="19"/>
      <c r="ADN25" s="19"/>
      <c r="ADO25" s="19"/>
      <c r="ADP25" s="19"/>
      <c r="ADQ25" s="19"/>
      <c r="ADR25" s="19"/>
      <c r="ADS25" s="19"/>
      <c r="ADT25" s="19"/>
      <c r="ADU25" s="19"/>
      <c r="ADV25" s="19"/>
      <c r="ADW25" s="19"/>
      <c r="ADX25" s="19"/>
      <c r="ADY25" s="19"/>
      <c r="ADZ25" s="19"/>
      <c r="AEA25" s="19"/>
      <c r="AEB25" s="19"/>
      <c r="AEC25" s="19"/>
      <c r="AED25" s="19"/>
      <c r="AEE25" s="19"/>
      <c r="AEF25" s="19"/>
      <c r="AEG25" s="19"/>
      <c r="AEH25" s="19"/>
      <c r="AEI25" s="19"/>
      <c r="AEJ25" s="19"/>
      <c r="AEK25" s="19"/>
      <c r="AEL25" s="19"/>
      <c r="AEM25" s="19"/>
      <c r="AEN25" s="19"/>
      <c r="AEO25" s="19"/>
      <c r="AEP25" s="19"/>
      <c r="AEQ25" s="19"/>
      <c r="AER25" s="19"/>
      <c r="AES25" s="19"/>
      <c r="AET25" s="19"/>
      <c r="AEU25" s="19"/>
      <c r="AEV25" s="19"/>
      <c r="AEW25" s="19"/>
      <c r="AEX25" s="19"/>
      <c r="AEY25" s="19"/>
      <c r="AEZ25" s="19"/>
      <c r="AFA25" s="19"/>
      <c r="AFB25" s="19"/>
      <c r="AFC25" s="19"/>
      <c r="AFD25" s="19"/>
      <c r="AFE25" s="19"/>
      <c r="AFF25" s="19"/>
      <c r="AFG25" s="19"/>
      <c r="AFH25" s="19"/>
      <c r="AFI25" s="19"/>
      <c r="AFJ25" s="19"/>
      <c r="AFK25" s="19"/>
      <c r="AFL25" s="19"/>
      <c r="AFM25" s="19"/>
      <c r="AFN25" s="19"/>
      <c r="AFO25" s="19"/>
      <c r="AFP25" s="19"/>
      <c r="AFQ25" s="19"/>
      <c r="AFR25" s="19"/>
      <c r="AFS25" s="19"/>
      <c r="AFT25" s="19"/>
      <c r="AFU25" s="19"/>
      <c r="AFV25" s="19"/>
      <c r="AFW25" s="19"/>
      <c r="AFX25" s="19"/>
      <c r="AFY25" s="19"/>
      <c r="AFZ25" s="19"/>
      <c r="AGA25" s="19"/>
      <c r="AGB25" s="19"/>
      <c r="AGC25" s="19"/>
      <c r="AGD25" s="19"/>
      <c r="AGE25" s="19"/>
      <c r="AGF25" s="19"/>
      <c r="AGG25" s="19"/>
      <c r="AGH25" s="19"/>
      <c r="AGI25" s="19"/>
      <c r="AGJ25" s="19"/>
      <c r="AGK25" s="19"/>
      <c r="AGL25" s="19"/>
      <c r="AGM25" s="19"/>
      <c r="AGN25" s="19"/>
      <c r="AGO25" s="19"/>
      <c r="AGP25" s="19"/>
      <c r="AGQ25" s="19"/>
      <c r="AGR25" s="19"/>
      <c r="AGS25" s="19"/>
      <c r="AGT25" s="19"/>
      <c r="AGU25" s="19"/>
      <c r="AGV25" s="19"/>
      <c r="AGW25" s="19"/>
      <c r="AGX25" s="19"/>
      <c r="AGY25" s="19"/>
      <c r="AGZ25" s="19"/>
      <c r="AHA25" s="19"/>
      <c r="AHB25" s="19"/>
      <c r="AHC25" s="19"/>
      <c r="AHD25" s="19"/>
      <c r="AHE25" s="19"/>
      <c r="AHF25" s="19"/>
      <c r="AHG25" s="19"/>
      <c r="AHH25" s="19"/>
      <c r="AHI25" s="19"/>
      <c r="AHJ25" s="19"/>
      <c r="AHK25" s="19"/>
      <c r="AHL25" s="19"/>
      <c r="AHM25" s="19"/>
      <c r="AHN25" s="19"/>
      <c r="AHO25" s="19"/>
      <c r="AHP25" s="19"/>
      <c r="AHQ25" s="19"/>
      <c r="AHR25" s="19"/>
      <c r="AHS25" s="19"/>
      <c r="AHT25" s="19"/>
      <c r="AHU25" s="19"/>
      <c r="AHV25" s="19"/>
      <c r="AHW25" s="19"/>
      <c r="AHX25" s="19"/>
      <c r="AHY25" s="19"/>
      <c r="AHZ25" s="19"/>
      <c r="AIA25" s="19"/>
      <c r="AIB25" s="19"/>
      <c r="AIC25" s="19"/>
      <c r="AID25" s="19"/>
      <c r="AIE25" s="19"/>
      <c r="AIF25" s="19"/>
      <c r="AIG25" s="19"/>
      <c r="AIH25" s="19"/>
      <c r="AII25" s="19"/>
      <c r="AIJ25" s="19"/>
      <c r="AIK25" s="19"/>
      <c r="AIL25" s="19"/>
      <c r="AIM25" s="19"/>
      <c r="AIN25" s="19"/>
      <c r="AIO25" s="19"/>
      <c r="AIP25" s="19"/>
      <c r="AIQ25" s="19"/>
      <c r="AIR25" s="19"/>
      <c r="AIS25" s="19"/>
      <c r="AIT25" s="19"/>
      <c r="AIU25" s="19"/>
      <c r="AIV25" s="19"/>
      <c r="AIW25" s="19"/>
      <c r="AIX25" s="19"/>
      <c r="AIY25" s="19"/>
      <c r="AIZ25" s="19"/>
      <c r="AJA25" s="19"/>
      <c r="AJB25" s="19"/>
      <c r="AJC25" s="19"/>
      <c r="AJD25" s="19"/>
      <c r="AJE25" s="19"/>
      <c r="AJF25" s="19"/>
      <c r="AJG25" s="19"/>
      <c r="AJH25" s="19"/>
      <c r="AJI25" s="19"/>
      <c r="AJJ25" s="19"/>
      <c r="AJK25" s="19"/>
      <c r="AJL25" s="19"/>
      <c r="AJM25" s="19"/>
      <c r="AJN25" s="19"/>
      <c r="AJO25" s="19"/>
      <c r="AJP25" s="19"/>
      <c r="AJQ25" s="19"/>
      <c r="AJR25" s="19"/>
      <c r="AJS25" s="19"/>
      <c r="AJT25" s="19"/>
      <c r="AJU25" s="19"/>
      <c r="AJV25" s="19"/>
      <c r="AJW25" s="19"/>
      <c r="AJX25" s="19"/>
      <c r="AJY25" s="19"/>
      <c r="AJZ25" s="19"/>
      <c r="AKA25" s="19"/>
      <c r="AKB25" s="19"/>
      <c r="AKC25" s="19"/>
      <c r="AKD25" s="19"/>
      <c r="AKE25" s="19"/>
      <c r="AKF25" s="19"/>
      <c r="AKG25" s="19"/>
      <c r="AKH25" s="19"/>
      <c r="AKI25" s="19"/>
      <c r="AKJ25" s="19"/>
      <c r="AKK25" s="19"/>
      <c r="AKL25" s="19"/>
      <c r="AKM25" s="19"/>
      <c r="AKN25" s="19"/>
      <c r="AKO25" s="19"/>
      <c r="AKP25" s="19"/>
      <c r="AKQ25" s="19"/>
      <c r="AKR25" s="19"/>
      <c r="AKS25" s="19"/>
      <c r="AKT25" s="19"/>
      <c r="AKU25" s="19"/>
      <c r="AKV25" s="19"/>
      <c r="AKW25" s="19"/>
      <c r="AKX25" s="19"/>
      <c r="AKY25" s="19"/>
      <c r="AKZ25" s="19"/>
      <c r="ALA25" s="19"/>
      <c r="ALB25" s="19"/>
      <c r="ALC25" s="19"/>
      <c r="ALD25" s="19"/>
      <c r="ALE25" s="19"/>
      <c r="ALF25" s="19"/>
      <c r="ALG25" s="19"/>
      <c r="ALH25" s="19"/>
      <c r="ALI25" s="19"/>
      <c r="ALJ25" s="19"/>
      <c r="ALK25" s="19"/>
      <c r="ALL25" s="19"/>
      <c r="ALM25" s="19"/>
      <c r="ALN25" s="19"/>
      <c r="ALO25" s="19"/>
      <c r="ALP25" s="19"/>
      <c r="ALQ25" s="19"/>
      <c r="ALR25" s="19"/>
      <c r="ALS25" s="19"/>
      <c r="ALT25" s="19"/>
      <c r="ALU25" s="19"/>
      <c r="ALV25" s="19"/>
      <c r="ALW25" s="19"/>
    </row>
    <row r="26" spans="2:1011" x14ac:dyDescent="0.25">
      <c r="B26" s="9" t="s">
        <v>11</v>
      </c>
      <c r="C26" s="5"/>
      <c r="D26" s="6" t="str">
        <f>IF(D$27="M0","M0", IF(D$28="M1","M1", IF(D$29="M2","M2", IF(D$30="M3","M3", IF(D$31="M4","M4", IF(D$32="M5","M5", "!"))))))</f>
        <v>M0</v>
      </c>
      <c r="E26" s="6" t="str">
        <f t="shared" ref="E26:BP26" si="1098">IF(E$27="M0","M0", IF(E$28="M1","M1", IF(E$29="M2","M2", IF(E$30="M3","M3", IF(E$31="M4","M4", IF(E$32="M5","M5", "!"))))))</f>
        <v>M0</v>
      </c>
      <c r="F26" s="6" t="str">
        <f t="shared" si="1098"/>
        <v>M0</v>
      </c>
      <c r="G26" s="6" t="str">
        <f t="shared" si="1098"/>
        <v>M0</v>
      </c>
      <c r="H26" s="6" t="str">
        <f t="shared" si="1098"/>
        <v>M0</v>
      </c>
      <c r="I26" s="6" t="str">
        <f t="shared" si="1098"/>
        <v>M0</v>
      </c>
      <c r="J26" s="6" t="str">
        <f t="shared" si="1098"/>
        <v>M0</v>
      </c>
      <c r="K26" s="6" t="str">
        <f t="shared" si="1098"/>
        <v>M0</v>
      </c>
      <c r="L26" s="6" t="str">
        <f t="shared" si="1098"/>
        <v>M0</v>
      </c>
      <c r="M26" s="6" t="str">
        <f t="shared" si="1098"/>
        <v>M0</v>
      </c>
      <c r="N26" s="6" t="str">
        <f t="shared" si="1098"/>
        <v>M0</v>
      </c>
      <c r="O26" s="6" t="str">
        <f t="shared" si="1098"/>
        <v>M0</v>
      </c>
      <c r="P26" s="6" t="str">
        <f t="shared" si="1098"/>
        <v>M0</v>
      </c>
      <c r="Q26" s="6" t="str">
        <f t="shared" si="1098"/>
        <v>M0</v>
      </c>
      <c r="R26" s="6" t="str">
        <f t="shared" si="1098"/>
        <v>M0</v>
      </c>
      <c r="S26" s="6" t="str">
        <f t="shared" si="1098"/>
        <v>M0</v>
      </c>
      <c r="T26" s="6" t="str">
        <f t="shared" si="1098"/>
        <v>M0</v>
      </c>
      <c r="U26" s="6" t="str">
        <f t="shared" si="1098"/>
        <v>M0</v>
      </c>
      <c r="V26" s="6" t="str">
        <f t="shared" si="1098"/>
        <v>M0</v>
      </c>
      <c r="W26" s="6" t="str">
        <f t="shared" si="1098"/>
        <v>M0</v>
      </c>
      <c r="X26" s="6" t="str">
        <f t="shared" si="1098"/>
        <v>M0</v>
      </c>
      <c r="Y26" s="6" t="str">
        <f t="shared" si="1098"/>
        <v>M0</v>
      </c>
      <c r="Z26" s="6" t="str">
        <f t="shared" si="1098"/>
        <v>M0</v>
      </c>
      <c r="AA26" s="6" t="str">
        <f t="shared" si="1098"/>
        <v>M0</v>
      </c>
      <c r="AB26" s="6" t="str">
        <f t="shared" si="1098"/>
        <v>M0</v>
      </c>
      <c r="AC26" s="6" t="str">
        <f t="shared" si="1098"/>
        <v>M0</v>
      </c>
      <c r="AD26" s="6" t="str">
        <f t="shared" si="1098"/>
        <v>M0</v>
      </c>
      <c r="AE26" s="6" t="str">
        <f t="shared" si="1098"/>
        <v>M0</v>
      </c>
      <c r="AF26" s="6" t="str">
        <f t="shared" si="1098"/>
        <v>M0</v>
      </c>
      <c r="AG26" s="6" t="str">
        <f t="shared" si="1098"/>
        <v>M0</v>
      </c>
      <c r="AH26" s="6" t="str">
        <f t="shared" si="1098"/>
        <v>M0</v>
      </c>
      <c r="AI26" s="6" t="str">
        <f t="shared" si="1098"/>
        <v>M0</v>
      </c>
      <c r="AJ26" s="6" t="str">
        <f t="shared" si="1098"/>
        <v>M0</v>
      </c>
      <c r="AK26" s="6" t="str">
        <f t="shared" si="1098"/>
        <v>M0</v>
      </c>
      <c r="AL26" s="6" t="str">
        <f t="shared" si="1098"/>
        <v>M0</v>
      </c>
      <c r="AM26" s="6" t="str">
        <f t="shared" si="1098"/>
        <v>M0</v>
      </c>
      <c r="AN26" s="6" t="str">
        <f t="shared" si="1098"/>
        <v>M0</v>
      </c>
      <c r="AO26" s="6" t="str">
        <f t="shared" si="1098"/>
        <v>M0</v>
      </c>
      <c r="AP26" s="6" t="str">
        <f t="shared" si="1098"/>
        <v>M0</v>
      </c>
      <c r="AQ26" s="6" t="str">
        <f t="shared" si="1098"/>
        <v>M0</v>
      </c>
      <c r="AR26" s="6" t="str">
        <f t="shared" si="1098"/>
        <v>M0</v>
      </c>
      <c r="AS26" s="6" t="str">
        <f t="shared" si="1098"/>
        <v>M0</v>
      </c>
      <c r="AT26" s="6" t="str">
        <f t="shared" si="1098"/>
        <v>M0</v>
      </c>
      <c r="AU26" s="6" t="str">
        <f t="shared" si="1098"/>
        <v>M0</v>
      </c>
      <c r="AV26" s="6" t="str">
        <f t="shared" si="1098"/>
        <v>M0</v>
      </c>
      <c r="AW26" s="6" t="str">
        <f t="shared" si="1098"/>
        <v>M0</v>
      </c>
      <c r="AX26" s="6" t="str">
        <f t="shared" si="1098"/>
        <v>M0</v>
      </c>
      <c r="AY26" s="6" t="str">
        <f t="shared" si="1098"/>
        <v>M0</v>
      </c>
      <c r="AZ26" s="6" t="str">
        <f t="shared" si="1098"/>
        <v>M0</v>
      </c>
      <c r="BA26" s="6" t="str">
        <f t="shared" si="1098"/>
        <v>M0</v>
      </c>
      <c r="BB26" s="6" t="str">
        <f t="shared" si="1098"/>
        <v>M0</v>
      </c>
      <c r="BC26" s="6" t="str">
        <f t="shared" si="1098"/>
        <v>M0</v>
      </c>
      <c r="BD26" s="6" t="str">
        <f t="shared" si="1098"/>
        <v>M0</v>
      </c>
      <c r="BE26" s="6" t="str">
        <f t="shared" si="1098"/>
        <v>M0</v>
      </c>
      <c r="BF26" s="6" t="str">
        <f t="shared" si="1098"/>
        <v>M0</v>
      </c>
      <c r="BG26" s="6" t="str">
        <f t="shared" si="1098"/>
        <v>M0</v>
      </c>
      <c r="BH26" s="6" t="str">
        <f t="shared" si="1098"/>
        <v>M0</v>
      </c>
      <c r="BI26" s="6" t="str">
        <f t="shared" si="1098"/>
        <v>M0</v>
      </c>
      <c r="BJ26" s="6" t="str">
        <f t="shared" si="1098"/>
        <v>M0</v>
      </c>
      <c r="BK26" s="6" t="str">
        <f t="shared" si="1098"/>
        <v>M0</v>
      </c>
      <c r="BL26" s="6" t="str">
        <f t="shared" si="1098"/>
        <v>M0</v>
      </c>
      <c r="BM26" s="6" t="str">
        <f t="shared" si="1098"/>
        <v>M0</v>
      </c>
      <c r="BN26" s="6" t="str">
        <f t="shared" si="1098"/>
        <v>M0</v>
      </c>
      <c r="BO26" s="6" t="str">
        <f t="shared" si="1098"/>
        <v>M0</v>
      </c>
      <c r="BP26" s="6" t="str">
        <f t="shared" si="1098"/>
        <v>M0</v>
      </c>
      <c r="BQ26" s="6" t="str">
        <f t="shared" ref="BQ26:EB26" si="1099">IF(BQ$27="M0","M0", IF(BQ$28="M1","M1", IF(BQ$29="M2","M2", IF(BQ$30="M3","M3", IF(BQ$31="M4","M4", IF(BQ$32="M5","M5", "!"))))))</f>
        <v>M0</v>
      </c>
      <c r="BR26" s="6" t="str">
        <f t="shared" si="1099"/>
        <v>M0</v>
      </c>
      <c r="BS26" s="6" t="str">
        <f t="shared" si="1099"/>
        <v>M0</v>
      </c>
      <c r="BT26" s="6" t="str">
        <f t="shared" si="1099"/>
        <v>M0</v>
      </c>
      <c r="BU26" s="6" t="str">
        <f t="shared" si="1099"/>
        <v>M0</v>
      </c>
      <c r="BV26" s="6" t="str">
        <f t="shared" si="1099"/>
        <v>M0</v>
      </c>
      <c r="BW26" s="6" t="str">
        <f t="shared" si="1099"/>
        <v>M0</v>
      </c>
      <c r="BX26" s="6" t="str">
        <f t="shared" si="1099"/>
        <v>M0</v>
      </c>
      <c r="BY26" s="6" t="str">
        <f t="shared" si="1099"/>
        <v>M0</v>
      </c>
      <c r="BZ26" s="6" t="str">
        <f t="shared" si="1099"/>
        <v>M0</v>
      </c>
      <c r="CA26" s="6" t="str">
        <f t="shared" si="1099"/>
        <v>M0</v>
      </c>
      <c r="CB26" s="6" t="str">
        <f t="shared" si="1099"/>
        <v>M0</v>
      </c>
      <c r="CC26" s="6" t="str">
        <f t="shared" si="1099"/>
        <v>M0</v>
      </c>
      <c r="CD26" s="6" t="str">
        <f t="shared" si="1099"/>
        <v>M0</v>
      </c>
      <c r="CE26" s="6" t="str">
        <f t="shared" si="1099"/>
        <v>M0</v>
      </c>
      <c r="CF26" s="6" t="str">
        <f t="shared" si="1099"/>
        <v>M0</v>
      </c>
      <c r="CG26" s="6" t="str">
        <f t="shared" si="1099"/>
        <v>M0</v>
      </c>
      <c r="CH26" s="6" t="str">
        <f t="shared" si="1099"/>
        <v>M0</v>
      </c>
      <c r="CI26" s="6" t="str">
        <f t="shared" si="1099"/>
        <v>M0</v>
      </c>
      <c r="CJ26" s="6" t="str">
        <f t="shared" si="1099"/>
        <v>M0</v>
      </c>
      <c r="CK26" s="6" t="str">
        <f t="shared" si="1099"/>
        <v>M0</v>
      </c>
      <c r="CL26" s="6" t="str">
        <f t="shared" si="1099"/>
        <v>M0</v>
      </c>
      <c r="CM26" s="6" t="str">
        <f t="shared" si="1099"/>
        <v>M0</v>
      </c>
      <c r="CN26" s="6" t="str">
        <f t="shared" si="1099"/>
        <v>M0</v>
      </c>
      <c r="CO26" s="6" t="str">
        <f t="shared" si="1099"/>
        <v>M0</v>
      </c>
      <c r="CP26" s="6" t="str">
        <f t="shared" si="1099"/>
        <v>M0</v>
      </c>
      <c r="CQ26" s="6" t="str">
        <f t="shared" si="1099"/>
        <v>M0</v>
      </c>
      <c r="CR26" s="6" t="str">
        <f t="shared" si="1099"/>
        <v>M0</v>
      </c>
      <c r="CS26" s="6" t="str">
        <f t="shared" si="1099"/>
        <v>M0</v>
      </c>
      <c r="CT26" s="6" t="str">
        <f t="shared" si="1099"/>
        <v>M0</v>
      </c>
      <c r="CU26" s="6" t="str">
        <f t="shared" si="1099"/>
        <v>M0</v>
      </c>
      <c r="CV26" s="6" t="str">
        <f t="shared" si="1099"/>
        <v>M0</v>
      </c>
      <c r="CW26" s="6" t="str">
        <f t="shared" si="1099"/>
        <v>M0</v>
      </c>
      <c r="CX26" s="6" t="str">
        <f t="shared" si="1099"/>
        <v>M0</v>
      </c>
      <c r="CY26" s="6" t="str">
        <f t="shared" si="1099"/>
        <v>M0</v>
      </c>
      <c r="CZ26" s="6" t="str">
        <f t="shared" si="1099"/>
        <v>M0</v>
      </c>
      <c r="DA26" s="6" t="str">
        <f t="shared" si="1099"/>
        <v>M0</v>
      </c>
      <c r="DB26" s="6" t="str">
        <f t="shared" si="1099"/>
        <v>M0</v>
      </c>
      <c r="DC26" s="6" t="str">
        <f t="shared" si="1099"/>
        <v>M0</v>
      </c>
      <c r="DD26" s="6" t="str">
        <f t="shared" si="1099"/>
        <v>M0</v>
      </c>
      <c r="DE26" s="6" t="str">
        <f t="shared" si="1099"/>
        <v>M0</v>
      </c>
      <c r="DF26" s="6" t="str">
        <f t="shared" si="1099"/>
        <v>M0</v>
      </c>
      <c r="DG26" s="6" t="str">
        <f t="shared" si="1099"/>
        <v>M0</v>
      </c>
      <c r="DH26" s="6" t="str">
        <f t="shared" si="1099"/>
        <v>M0</v>
      </c>
      <c r="DI26" s="6" t="str">
        <f t="shared" si="1099"/>
        <v>M0</v>
      </c>
      <c r="DJ26" s="6" t="str">
        <f t="shared" si="1099"/>
        <v>M0</v>
      </c>
      <c r="DK26" s="6" t="str">
        <f t="shared" si="1099"/>
        <v>M0</v>
      </c>
      <c r="DL26" s="6" t="str">
        <f t="shared" si="1099"/>
        <v>M0</v>
      </c>
      <c r="DM26" s="6" t="str">
        <f t="shared" si="1099"/>
        <v>M0</v>
      </c>
      <c r="DN26" s="6" t="str">
        <f t="shared" si="1099"/>
        <v>M0</v>
      </c>
      <c r="DO26" s="6" t="str">
        <f t="shared" si="1099"/>
        <v>M0</v>
      </c>
      <c r="DP26" s="6" t="str">
        <f t="shared" si="1099"/>
        <v>M0</v>
      </c>
      <c r="DQ26" s="6" t="str">
        <f t="shared" si="1099"/>
        <v>M0</v>
      </c>
      <c r="DR26" s="6" t="str">
        <f t="shared" si="1099"/>
        <v>M0</v>
      </c>
      <c r="DS26" s="6" t="str">
        <f t="shared" si="1099"/>
        <v>M0</v>
      </c>
      <c r="DT26" s="6" t="str">
        <f t="shared" si="1099"/>
        <v>M0</v>
      </c>
      <c r="DU26" s="6" t="str">
        <f t="shared" si="1099"/>
        <v>M0</v>
      </c>
      <c r="DV26" s="6" t="str">
        <f t="shared" si="1099"/>
        <v>M0</v>
      </c>
      <c r="DW26" s="6" t="str">
        <f t="shared" si="1099"/>
        <v>M0</v>
      </c>
      <c r="DX26" s="6" t="str">
        <f t="shared" si="1099"/>
        <v>M0</v>
      </c>
      <c r="DY26" s="6" t="str">
        <f t="shared" si="1099"/>
        <v>M0</v>
      </c>
      <c r="DZ26" s="6" t="str">
        <f t="shared" si="1099"/>
        <v>M0</v>
      </c>
      <c r="EA26" s="6" t="str">
        <f t="shared" si="1099"/>
        <v>M0</v>
      </c>
      <c r="EB26" s="6" t="str">
        <f t="shared" si="1099"/>
        <v>M0</v>
      </c>
      <c r="EC26" s="6" t="str">
        <f t="shared" ref="EC26:GN26" si="1100">IF(EC$27="M0","M0", IF(EC$28="M1","M1", IF(EC$29="M2","M2", IF(EC$30="M3","M3", IF(EC$31="M4","M4", IF(EC$32="M5","M5", "!"))))))</f>
        <v>M0</v>
      </c>
      <c r="ED26" s="6" t="str">
        <f t="shared" si="1100"/>
        <v>M0</v>
      </c>
      <c r="EE26" s="6" t="str">
        <f t="shared" si="1100"/>
        <v>M0</v>
      </c>
      <c r="EF26" s="6" t="str">
        <f t="shared" si="1100"/>
        <v>M0</v>
      </c>
      <c r="EG26" s="6" t="str">
        <f t="shared" si="1100"/>
        <v>M0</v>
      </c>
      <c r="EH26" s="6" t="str">
        <f t="shared" si="1100"/>
        <v>M0</v>
      </c>
      <c r="EI26" s="6" t="str">
        <f t="shared" si="1100"/>
        <v>M0</v>
      </c>
      <c r="EJ26" s="6" t="str">
        <f t="shared" si="1100"/>
        <v>M0</v>
      </c>
      <c r="EK26" s="6" t="str">
        <f t="shared" si="1100"/>
        <v>M0</v>
      </c>
      <c r="EL26" s="6" t="str">
        <f t="shared" si="1100"/>
        <v>M0</v>
      </c>
      <c r="EM26" s="6" t="str">
        <f t="shared" si="1100"/>
        <v>M0</v>
      </c>
      <c r="EN26" s="6" t="str">
        <f t="shared" si="1100"/>
        <v>M0</v>
      </c>
      <c r="EO26" s="6" t="str">
        <f t="shared" si="1100"/>
        <v>M0</v>
      </c>
      <c r="EP26" s="6" t="str">
        <f t="shared" si="1100"/>
        <v>M0</v>
      </c>
      <c r="EQ26" s="6" t="str">
        <f t="shared" si="1100"/>
        <v>M0</v>
      </c>
      <c r="ER26" s="6" t="str">
        <f t="shared" si="1100"/>
        <v>M2</v>
      </c>
      <c r="ES26" s="6" t="str">
        <f t="shared" si="1100"/>
        <v>M2</v>
      </c>
      <c r="ET26" s="6" t="str">
        <f t="shared" si="1100"/>
        <v>M2</v>
      </c>
      <c r="EU26" s="6" t="str">
        <f t="shared" si="1100"/>
        <v>M2</v>
      </c>
      <c r="EV26" s="6" t="str">
        <f t="shared" si="1100"/>
        <v>M2</v>
      </c>
      <c r="EW26" s="6" t="str">
        <f t="shared" si="1100"/>
        <v>M2</v>
      </c>
      <c r="EX26" s="6" t="str">
        <f t="shared" si="1100"/>
        <v>M3</v>
      </c>
      <c r="EY26" s="6" t="str">
        <f t="shared" si="1100"/>
        <v>M3</v>
      </c>
      <c r="EZ26" s="6" t="str">
        <f t="shared" si="1100"/>
        <v>M3</v>
      </c>
      <c r="FA26" s="6" t="str">
        <f t="shared" si="1100"/>
        <v>M3</v>
      </c>
      <c r="FB26" s="6" t="str">
        <f t="shared" si="1100"/>
        <v>M3</v>
      </c>
      <c r="FC26" s="6" t="str">
        <f t="shared" si="1100"/>
        <v>M3</v>
      </c>
      <c r="FD26" s="6" t="str">
        <f t="shared" si="1100"/>
        <v>M3</v>
      </c>
      <c r="FE26" s="6" t="str">
        <f t="shared" si="1100"/>
        <v>M3</v>
      </c>
      <c r="FF26" s="6" t="str">
        <f t="shared" si="1100"/>
        <v>M3</v>
      </c>
      <c r="FG26" s="6" t="str">
        <f t="shared" si="1100"/>
        <v>M3</v>
      </c>
      <c r="FH26" s="6" t="str">
        <f t="shared" si="1100"/>
        <v>M3</v>
      </c>
      <c r="FI26" s="6" t="str">
        <f t="shared" si="1100"/>
        <v>M3</v>
      </c>
      <c r="FJ26" s="6" t="str">
        <f t="shared" si="1100"/>
        <v>M4</v>
      </c>
      <c r="FK26" s="6" t="str">
        <f t="shared" si="1100"/>
        <v>M4</v>
      </c>
      <c r="FL26" s="6" t="str">
        <f t="shared" si="1100"/>
        <v>M4</v>
      </c>
      <c r="FM26" s="6" t="str">
        <f t="shared" si="1100"/>
        <v>M4</v>
      </c>
      <c r="FN26" s="6" t="str">
        <f t="shared" si="1100"/>
        <v>M4</v>
      </c>
      <c r="FO26" s="6" t="str">
        <f t="shared" si="1100"/>
        <v>M4</v>
      </c>
      <c r="FP26" s="6" t="str">
        <f t="shared" si="1100"/>
        <v>M5</v>
      </c>
      <c r="FQ26" s="6" t="str">
        <f t="shared" si="1100"/>
        <v>M5</v>
      </c>
      <c r="FR26" s="6" t="str">
        <f t="shared" si="1100"/>
        <v>M5</v>
      </c>
      <c r="FS26" s="6" t="str">
        <f t="shared" si="1100"/>
        <v>M5</v>
      </c>
      <c r="FT26" s="6" t="str">
        <f t="shared" si="1100"/>
        <v>M5</v>
      </c>
      <c r="FU26" s="6" t="str">
        <f t="shared" si="1100"/>
        <v>M5</v>
      </c>
      <c r="FV26" s="6" t="str">
        <f t="shared" si="1100"/>
        <v>M5</v>
      </c>
      <c r="FW26" s="6" t="str">
        <f t="shared" si="1100"/>
        <v>M5</v>
      </c>
      <c r="FX26" s="6" t="str">
        <f t="shared" si="1100"/>
        <v>M5</v>
      </c>
      <c r="FY26" s="6" t="str">
        <f t="shared" si="1100"/>
        <v>M5</v>
      </c>
      <c r="FZ26" s="6" t="str">
        <f t="shared" si="1100"/>
        <v>M5</v>
      </c>
      <c r="GA26" s="6" t="str">
        <f t="shared" si="1100"/>
        <v>M5</v>
      </c>
      <c r="GB26" s="6" t="str">
        <f t="shared" si="1100"/>
        <v>M5</v>
      </c>
      <c r="GC26" s="6" t="str">
        <f t="shared" si="1100"/>
        <v>M5</v>
      </c>
      <c r="GD26" s="6" t="str">
        <f t="shared" si="1100"/>
        <v>M5</v>
      </c>
      <c r="GE26" s="6" t="str">
        <f t="shared" si="1100"/>
        <v>M5</v>
      </c>
      <c r="GF26" s="6" t="str">
        <f t="shared" si="1100"/>
        <v>M5</v>
      </c>
      <c r="GG26" s="6" t="str">
        <f t="shared" si="1100"/>
        <v>M5</v>
      </c>
      <c r="GH26" s="6" t="str">
        <f t="shared" si="1100"/>
        <v>M5</v>
      </c>
      <c r="GI26" s="6" t="str">
        <f t="shared" si="1100"/>
        <v>M5</v>
      </c>
      <c r="GJ26" s="6" t="str">
        <f t="shared" si="1100"/>
        <v>M5</v>
      </c>
      <c r="GK26" s="6" t="str">
        <f t="shared" si="1100"/>
        <v>M5</v>
      </c>
      <c r="GL26" s="6" t="str">
        <f t="shared" si="1100"/>
        <v>M5</v>
      </c>
      <c r="GM26" s="6" t="str">
        <f t="shared" si="1100"/>
        <v>M5</v>
      </c>
      <c r="GN26" s="6" t="str">
        <f t="shared" si="1100"/>
        <v>M5</v>
      </c>
      <c r="GO26" s="6" t="str">
        <f t="shared" ref="GO26:IZ26" si="1101">IF(GO$27="M0","M0", IF(GO$28="M1","M1", IF(GO$29="M2","M2", IF(GO$30="M3","M3", IF(GO$31="M4","M4", IF(GO$32="M5","M5", "!"))))))</f>
        <v>M5</v>
      </c>
      <c r="GP26" s="6" t="str">
        <f t="shared" si="1101"/>
        <v>M5</v>
      </c>
      <c r="GQ26" s="6" t="str">
        <f t="shared" si="1101"/>
        <v>M5</v>
      </c>
      <c r="GR26" s="6" t="str">
        <f t="shared" si="1101"/>
        <v>M5</v>
      </c>
      <c r="GS26" s="6" t="str">
        <f t="shared" si="1101"/>
        <v>M5</v>
      </c>
      <c r="GT26" s="6" t="str">
        <f t="shared" si="1101"/>
        <v>M5</v>
      </c>
      <c r="GU26" s="6" t="str">
        <f t="shared" si="1101"/>
        <v>M5</v>
      </c>
      <c r="GV26" s="6" t="str">
        <f t="shared" si="1101"/>
        <v>M5</v>
      </c>
      <c r="GW26" s="6" t="str">
        <f t="shared" si="1101"/>
        <v>M5</v>
      </c>
      <c r="GX26" s="6" t="str">
        <f t="shared" si="1101"/>
        <v>M5</v>
      </c>
      <c r="GY26" s="6" t="str">
        <f t="shared" si="1101"/>
        <v>M5</v>
      </c>
      <c r="GZ26" s="6" t="str">
        <f t="shared" si="1101"/>
        <v>M5</v>
      </c>
      <c r="HA26" s="6" t="str">
        <f t="shared" si="1101"/>
        <v>M5</v>
      </c>
      <c r="HB26" s="6" t="str">
        <f t="shared" si="1101"/>
        <v>M5</v>
      </c>
      <c r="HC26" s="6" t="str">
        <f t="shared" si="1101"/>
        <v>M5</v>
      </c>
      <c r="HD26" s="6" t="str">
        <f t="shared" si="1101"/>
        <v>M5</v>
      </c>
      <c r="HE26" s="6" t="str">
        <f t="shared" si="1101"/>
        <v>M5</v>
      </c>
      <c r="HF26" s="6" t="str">
        <f t="shared" si="1101"/>
        <v>M5</v>
      </c>
      <c r="HG26" s="6" t="str">
        <f t="shared" si="1101"/>
        <v>M5</v>
      </c>
      <c r="HH26" s="6" t="str">
        <f t="shared" si="1101"/>
        <v>M5</v>
      </c>
      <c r="HI26" s="6" t="str">
        <f t="shared" si="1101"/>
        <v>M5</v>
      </c>
      <c r="HJ26" s="6" t="str">
        <f t="shared" si="1101"/>
        <v>M5</v>
      </c>
      <c r="HK26" s="6" t="str">
        <f t="shared" si="1101"/>
        <v>M5</v>
      </c>
      <c r="HL26" s="6" t="str">
        <f t="shared" si="1101"/>
        <v>M5</v>
      </c>
      <c r="HM26" s="6" t="str">
        <f t="shared" si="1101"/>
        <v>M5</v>
      </c>
      <c r="HN26" s="6" t="str">
        <f t="shared" si="1101"/>
        <v>M5</v>
      </c>
      <c r="HO26" s="6" t="str">
        <f t="shared" si="1101"/>
        <v>M5</v>
      </c>
      <c r="HP26" s="6" t="str">
        <f t="shared" si="1101"/>
        <v>M5</v>
      </c>
      <c r="HQ26" s="6" t="str">
        <f t="shared" si="1101"/>
        <v>M5</v>
      </c>
      <c r="HR26" s="6" t="str">
        <f t="shared" si="1101"/>
        <v>M5</v>
      </c>
      <c r="HS26" s="6" t="str">
        <f t="shared" si="1101"/>
        <v>M5</v>
      </c>
      <c r="HT26" s="6" t="str">
        <f t="shared" si="1101"/>
        <v>M5</v>
      </c>
      <c r="HU26" s="6" t="str">
        <f t="shared" si="1101"/>
        <v>M5</v>
      </c>
      <c r="HV26" s="6" t="str">
        <f t="shared" si="1101"/>
        <v>M5</v>
      </c>
      <c r="HW26" s="6" t="str">
        <f t="shared" si="1101"/>
        <v>M5</v>
      </c>
      <c r="HX26" s="6" t="str">
        <f t="shared" si="1101"/>
        <v>M5</v>
      </c>
      <c r="HY26" s="6" t="str">
        <f t="shared" si="1101"/>
        <v>M5</v>
      </c>
      <c r="HZ26" s="6" t="str">
        <f t="shared" si="1101"/>
        <v>M5</v>
      </c>
      <c r="IA26" s="6" t="str">
        <f t="shared" si="1101"/>
        <v>M5</v>
      </c>
      <c r="IB26" s="6" t="str">
        <f t="shared" si="1101"/>
        <v>M5</v>
      </c>
      <c r="IC26" s="6" t="str">
        <f t="shared" si="1101"/>
        <v>M5</v>
      </c>
      <c r="ID26" s="6" t="str">
        <f t="shared" si="1101"/>
        <v>M5</v>
      </c>
      <c r="IE26" s="6" t="str">
        <f t="shared" si="1101"/>
        <v>M5</v>
      </c>
      <c r="IF26" s="6" t="str">
        <f t="shared" si="1101"/>
        <v>M5</v>
      </c>
      <c r="IG26" s="6" t="str">
        <f t="shared" si="1101"/>
        <v>M5</v>
      </c>
      <c r="IH26" s="6" t="str">
        <f t="shared" si="1101"/>
        <v>M5</v>
      </c>
      <c r="II26" s="6" t="str">
        <f t="shared" si="1101"/>
        <v>M5</v>
      </c>
      <c r="IJ26" s="6" t="str">
        <f t="shared" si="1101"/>
        <v>M5</v>
      </c>
      <c r="IK26" s="6" t="str">
        <f t="shared" si="1101"/>
        <v>M5</v>
      </c>
      <c r="IL26" s="6" t="str">
        <f t="shared" si="1101"/>
        <v>M5</v>
      </c>
      <c r="IM26" s="6" t="str">
        <f t="shared" si="1101"/>
        <v>M5</v>
      </c>
      <c r="IN26" s="6" t="str">
        <f t="shared" si="1101"/>
        <v>M5</v>
      </c>
      <c r="IO26" s="6" t="str">
        <f t="shared" si="1101"/>
        <v>M5</v>
      </c>
      <c r="IP26" s="6" t="str">
        <f t="shared" si="1101"/>
        <v>M5</v>
      </c>
      <c r="IQ26" s="6" t="str">
        <f t="shared" si="1101"/>
        <v>M5</v>
      </c>
      <c r="IR26" s="6" t="str">
        <f t="shared" si="1101"/>
        <v>M5</v>
      </c>
      <c r="IS26" s="6" t="str">
        <f t="shared" si="1101"/>
        <v>M5</v>
      </c>
      <c r="IT26" s="6" t="str">
        <f t="shared" si="1101"/>
        <v>M5</v>
      </c>
      <c r="IU26" s="6" t="str">
        <f t="shared" si="1101"/>
        <v>M5</v>
      </c>
      <c r="IV26" s="6" t="str">
        <f t="shared" si="1101"/>
        <v>M5</v>
      </c>
      <c r="IW26" s="6" t="str">
        <f t="shared" si="1101"/>
        <v>M5</v>
      </c>
      <c r="IX26" s="6" t="str">
        <f t="shared" si="1101"/>
        <v>M5</v>
      </c>
      <c r="IY26" s="6" t="str">
        <f t="shared" si="1101"/>
        <v>M5</v>
      </c>
      <c r="IZ26" s="6" t="str">
        <f t="shared" si="1101"/>
        <v>M5</v>
      </c>
      <c r="JA26" s="6" t="str">
        <f t="shared" ref="JA26:LL26" si="1102">IF(JA$27="M0","M0", IF(JA$28="M1","M1", IF(JA$29="M2","M2", IF(JA$30="M3","M3", IF(JA$31="M4","M4", IF(JA$32="M5","M5", "!"))))))</f>
        <v>M5</v>
      </c>
      <c r="JB26" s="6" t="str">
        <f t="shared" si="1102"/>
        <v>M5</v>
      </c>
      <c r="JC26" s="6" t="str">
        <f t="shared" si="1102"/>
        <v>M5</v>
      </c>
      <c r="JD26" s="6" t="str">
        <f t="shared" si="1102"/>
        <v>M5</v>
      </c>
      <c r="JE26" s="6" t="str">
        <f t="shared" si="1102"/>
        <v>M5</v>
      </c>
      <c r="JF26" s="6" t="str">
        <f t="shared" si="1102"/>
        <v>M5</v>
      </c>
      <c r="JG26" s="6" t="str">
        <f t="shared" si="1102"/>
        <v>M5</v>
      </c>
      <c r="JH26" s="6" t="str">
        <f t="shared" si="1102"/>
        <v>M5</v>
      </c>
      <c r="JI26" s="6" t="str">
        <f t="shared" si="1102"/>
        <v>M5</v>
      </c>
      <c r="JJ26" s="6" t="str">
        <f t="shared" si="1102"/>
        <v>M5</v>
      </c>
      <c r="JK26" s="6" t="str">
        <f t="shared" si="1102"/>
        <v>M5</v>
      </c>
      <c r="JL26" s="6" t="str">
        <f t="shared" si="1102"/>
        <v>M5</v>
      </c>
      <c r="JM26" s="6" t="str">
        <f t="shared" si="1102"/>
        <v>M5</v>
      </c>
      <c r="JN26" s="6" t="str">
        <f t="shared" si="1102"/>
        <v>M5</v>
      </c>
      <c r="JO26" s="6" t="str">
        <f t="shared" si="1102"/>
        <v>M5</v>
      </c>
      <c r="JP26" s="6" t="str">
        <f t="shared" si="1102"/>
        <v>M5</v>
      </c>
      <c r="JQ26" s="6" t="str">
        <f t="shared" si="1102"/>
        <v>M5</v>
      </c>
      <c r="JR26" s="6" t="str">
        <f t="shared" si="1102"/>
        <v>M5</v>
      </c>
      <c r="JS26" s="6" t="str">
        <f t="shared" si="1102"/>
        <v>M5</v>
      </c>
      <c r="JT26" s="6" t="str">
        <f t="shared" si="1102"/>
        <v>M5</v>
      </c>
      <c r="JU26" s="6" t="str">
        <f t="shared" si="1102"/>
        <v>M5</v>
      </c>
      <c r="JV26" s="6" t="str">
        <f t="shared" si="1102"/>
        <v>M5</v>
      </c>
      <c r="JW26" s="6" t="str">
        <f t="shared" si="1102"/>
        <v>M5</v>
      </c>
      <c r="JX26" s="6" t="str">
        <f t="shared" si="1102"/>
        <v>M5</v>
      </c>
      <c r="JY26" s="6" t="str">
        <f t="shared" si="1102"/>
        <v>M5</v>
      </c>
      <c r="JZ26" s="6" t="str">
        <f t="shared" si="1102"/>
        <v>M5</v>
      </c>
      <c r="KA26" s="6" t="str">
        <f t="shared" si="1102"/>
        <v>M5</v>
      </c>
      <c r="KB26" s="6" t="str">
        <f t="shared" si="1102"/>
        <v>M5</v>
      </c>
      <c r="KC26" s="6" t="str">
        <f t="shared" si="1102"/>
        <v>M5</v>
      </c>
      <c r="KD26" s="6" t="str">
        <f t="shared" si="1102"/>
        <v>M5</v>
      </c>
      <c r="KE26" s="6" t="str">
        <f t="shared" si="1102"/>
        <v>M5</v>
      </c>
      <c r="KF26" s="6" t="str">
        <f t="shared" si="1102"/>
        <v>M0</v>
      </c>
      <c r="KG26" s="6" t="str">
        <f t="shared" si="1102"/>
        <v>M0</v>
      </c>
      <c r="KH26" s="6" t="str">
        <f t="shared" si="1102"/>
        <v>M0</v>
      </c>
      <c r="KI26" s="6" t="str">
        <f t="shared" si="1102"/>
        <v>M0</v>
      </c>
      <c r="KJ26" s="6" t="str">
        <f t="shared" si="1102"/>
        <v>M0</v>
      </c>
      <c r="KK26" s="6" t="str">
        <f t="shared" si="1102"/>
        <v>M0</v>
      </c>
      <c r="KL26" s="6" t="str">
        <f t="shared" si="1102"/>
        <v>M0</v>
      </c>
      <c r="KM26" s="6" t="str">
        <f t="shared" si="1102"/>
        <v>M0</v>
      </c>
      <c r="KN26" s="6" t="str">
        <f t="shared" si="1102"/>
        <v>M0</v>
      </c>
      <c r="KO26" s="6" t="str">
        <f t="shared" si="1102"/>
        <v>M0</v>
      </c>
      <c r="KP26" s="6" t="str">
        <f t="shared" si="1102"/>
        <v>M0</v>
      </c>
      <c r="KQ26" s="6" t="str">
        <f t="shared" si="1102"/>
        <v>M0</v>
      </c>
      <c r="KR26" s="6" t="str">
        <f t="shared" si="1102"/>
        <v>M0</v>
      </c>
      <c r="KS26" s="6" t="str">
        <f t="shared" si="1102"/>
        <v>M0</v>
      </c>
      <c r="KT26" s="6" t="str">
        <f t="shared" si="1102"/>
        <v>M0</v>
      </c>
      <c r="KU26" s="6" t="str">
        <f t="shared" si="1102"/>
        <v>M0</v>
      </c>
      <c r="KV26" s="6" t="str">
        <f t="shared" si="1102"/>
        <v>M0</v>
      </c>
      <c r="KW26" s="6" t="str">
        <f t="shared" si="1102"/>
        <v>M0</v>
      </c>
      <c r="KX26" s="6" t="str">
        <f t="shared" si="1102"/>
        <v>M0</v>
      </c>
      <c r="KY26" s="6" t="str">
        <f t="shared" si="1102"/>
        <v>M0</v>
      </c>
      <c r="KZ26" s="6" t="str">
        <f t="shared" si="1102"/>
        <v>M0</v>
      </c>
      <c r="LA26" s="6" t="str">
        <f t="shared" si="1102"/>
        <v>M0</v>
      </c>
      <c r="LB26" s="6" t="str">
        <f t="shared" si="1102"/>
        <v>M0</v>
      </c>
      <c r="LC26" s="6" t="str">
        <f t="shared" si="1102"/>
        <v>M0</v>
      </c>
      <c r="LD26" s="6" t="str">
        <f t="shared" si="1102"/>
        <v>M0</v>
      </c>
      <c r="LE26" s="6" t="str">
        <f t="shared" si="1102"/>
        <v>M0</v>
      </c>
      <c r="LF26" s="6" t="str">
        <f t="shared" si="1102"/>
        <v>M0</v>
      </c>
      <c r="LG26" s="6" t="str">
        <f t="shared" si="1102"/>
        <v>M0</v>
      </c>
      <c r="LH26" s="6" t="str">
        <f t="shared" si="1102"/>
        <v>M0</v>
      </c>
      <c r="LI26" s="6" t="str">
        <f t="shared" si="1102"/>
        <v>M0</v>
      </c>
      <c r="LJ26" s="6" t="str">
        <f t="shared" si="1102"/>
        <v>M0</v>
      </c>
      <c r="LK26" s="6" t="str">
        <f t="shared" si="1102"/>
        <v>M0</v>
      </c>
      <c r="LL26" s="6" t="str">
        <f t="shared" si="1102"/>
        <v>M0</v>
      </c>
      <c r="LM26" s="6" t="str">
        <f t="shared" ref="LM26:NX26" si="1103">IF(LM$27="M0","M0", IF(LM$28="M1","M1", IF(LM$29="M2","M2", IF(LM$30="M3","M3", IF(LM$31="M4","M4", IF(LM$32="M5","M5", "!"))))))</f>
        <v>M0</v>
      </c>
      <c r="LN26" s="6" t="str">
        <f t="shared" si="1103"/>
        <v>M0</v>
      </c>
      <c r="LO26" s="6" t="str">
        <f t="shared" si="1103"/>
        <v>M0</v>
      </c>
      <c r="LP26" s="6" t="str">
        <f t="shared" si="1103"/>
        <v>M0</v>
      </c>
      <c r="LQ26" s="6" t="str">
        <f t="shared" si="1103"/>
        <v>M0</v>
      </c>
      <c r="LR26" s="6" t="str">
        <f t="shared" si="1103"/>
        <v>M0</v>
      </c>
      <c r="LS26" s="6" t="str">
        <f t="shared" si="1103"/>
        <v>M0</v>
      </c>
      <c r="LT26" s="6" t="str">
        <f t="shared" si="1103"/>
        <v>M0</v>
      </c>
      <c r="LU26" s="6" t="str">
        <f t="shared" si="1103"/>
        <v>M0</v>
      </c>
      <c r="LV26" s="6" t="str">
        <f t="shared" si="1103"/>
        <v>M0</v>
      </c>
      <c r="LW26" s="6" t="str">
        <f t="shared" si="1103"/>
        <v>M0</v>
      </c>
      <c r="LX26" s="6" t="str">
        <f t="shared" si="1103"/>
        <v>M0</v>
      </c>
      <c r="LY26" s="6" t="str">
        <f t="shared" si="1103"/>
        <v>M0</v>
      </c>
      <c r="LZ26" s="6" t="str">
        <f t="shared" si="1103"/>
        <v>M0</v>
      </c>
      <c r="MA26" s="6" t="str">
        <f t="shared" si="1103"/>
        <v>M0</v>
      </c>
      <c r="MB26" s="6" t="str">
        <f t="shared" si="1103"/>
        <v>M0</v>
      </c>
      <c r="MC26" s="6" t="str">
        <f t="shared" si="1103"/>
        <v>M0</v>
      </c>
      <c r="MD26" s="6" t="str">
        <f t="shared" si="1103"/>
        <v>M0</v>
      </c>
      <c r="ME26" s="6" t="str">
        <f t="shared" si="1103"/>
        <v>M0</v>
      </c>
      <c r="MF26" s="6" t="str">
        <f t="shared" si="1103"/>
        <v>M0</v>
      </c>
      <c r="MG26" s="6" t="str">
        <f t="shared" si="1103"/>
        <v>M0</v>
      </c>
      <c r="MH26" s="6" t="str">
        <f t="shared" si="1103"/>
        <v>M0</v>
      </c>
      <c r="MI26" s="6" t="str">
        <f t="shared" si="1103"/>
        <v>M0</v>
      </c>
      <c r="MJ26" s="6" t="str">
        <f t="shared" si="1103"/>
        <v>M0</v>
      </c>
      <c r="MK26" s="6" t="str">
        <f t="shared" si="1103"/>
        <v>M0</v>
      </c>
      <c r="ML26" s="6" t="str">
        <f t="shared" si="1103"/>
        <v>M0</v>
      </c>
      <c r="MM26" s="6" t="str">
        <f t="shared" si="1103"/>
        <v>M0</v>
      </c>
      <c r="MN26" s="6" t="str">
        <f t="shared" si="1103"/>
        <v>M0</v>
      </c>
      <c r="MO26" s="6" t="str">
        <f t="shared" si="1103"/>
        <v>M0</v>
      </c>
      <c r="MP26" s="6" t="str">
        <f t="shared" si="1103"/>
        <v>M0</v>
      </c>
      <c r="MQ26" s="6" t="str">
        <f t="shared" si="1103"/>
        <v>M0</v>
      </c>
      <c r="MR26" s="6" t="str">
        <f t="shared" si="1103"/>
        <v>M0</v>
      </c>
      <c r="MS26" s="6" t="str">
        <f t="shared" si="1103"/>
        <v>M0</v>
      </c>
      <c r="MT26" s="6" t="str">
        <f t="shared" si="1103"/>
        <v>M0</v>
      </c>
      <c r="MU26" s="6" t="str">
        <f t="shared" si="1103"/>
        <v>M0</v>
      </c>
      <c r="MV26" s="6" t="str">
        <f t="shared" si="1103"/>
        <v>M0</v>
      </c>
      <c r="MW26" s="6" t="str">
        <f t="shared" si="1103"/>
        <v>M0</v>
      </c>
      <c r="MX26" s="6" t="str">
        <f t="shared" si="1103"/>
        <v>M0</v>
      </c>
      <c r="MY26" s="6" t="str">
        <f t="shared" si="1103"/>
        <v>M0</v>
      </c>
      <c r="MZ26" s="6" t="str">
        <f t="shared" si="1103"/>
        <v>M0</v>
      </c>
      <c r="NA26" s="6" t="str">
        <f t="shared" si="1103"/>
        <v>M0</v>
      </c>
      <c r="NB26" s="6" t="str">
        <f t="shared" si="1103"/>
        <v>M0</v>
      </c>
      <c r="NC26" s="6" t="str">
        <f t="shared" si="1103"/>
        <v>M0</v>
      </c>
      <c r="ND26" s="6" t="str">
        <f t="shared" si="1103"/>
        <v>M0</v>
      </c>
      <c r="NE26" s="6" t="str">
        <f t="shared" si="1103"/>
        <v>M0</v>
      </c>
      <c r="NF26" s="6" t="str">
        <f t="shared" si="1103"/>
        <v>M0</v>
      </c>
      <c r="NG26" s="6" t="str">
        <f t="shared" si="1103"/>
        <v>M0</v>
      </c>
      <c r="NH26" s="6" t="str">
        <f t="shared" si="1103"/>
        <v>M0</v>
      </c>
      <c r="NI26" s="6" t="str">
        <f t="shared" si="1103"/>
        <v>M0</v>
      </c>
      <c r="NJ26" s="6" t="str">
        <f t="shared" si="1103"/>
        <v>M0</v>
      </c>
      <c r="NK26" s="6" t="str">
        <f t="shared" si="1103"/>
        <v>M0</v>
      </c>
      <c r="NL26" s="6" t="str">
        <f t="shared" si="1103"/>
        <v>M0</v>
      </c>
      <c r="NM26" s="6" t="str">
        <f t="shared" si="1103"/>
        <v>M0</v>
      </c>
      <c r="NN26" s="6" t="str">
        <f t="shared" si="1103"/>
        <v>M0</v>
      </c>
      <c r="NO26" s="6" t="str">
        <f t="shared" si="1103"/>
        <v>M0</v>
      </c>
      <c r="NP26" s="6" t="str">
        <f t="shared" si="1103"/>
        <v>M0</v>
      </c>
      <c r="NQ26" s="6" t="str">
        <f t="shared" si="1103"/>
        <v>M0</v>
      </c>
      <c r="NR26" s="6" t="str">
        <f t="shared" si="1103"/>
        <v>M0</v>
      </c>
      <c r="NS26" s="6" t="str">
        <f t="shared" si="1103"/>
        <v>M0</v>
      </c>
      <c r="NT26" s="6" t="str">
        <f t="shared" si="1103"/>
        <v>M0</v>
      </c>
      <c r="NU26" s="6" t="str">
        <f t="shared" si="1103"/>
        <v>M0</v>
      </c>
      <c r="NV26" s="6" t="str">
        <f t="shared" si="1103"/>
        <v>M0</v>
      </c>
      <c r="NW26" s="6" t="str">
        <f t="shared" si="1103"/>
        <v>M0</v>
      </c>
      <c r="NX26" s="6" t="str">
        <f t="shared" si="1103"/>
        <v>M0</v>
      </c>
      <c r="NY26" s="6" t="str">
        <f t="shared" ref="NY26:QJ26" si="1104">IF(NY$27="M0","M0", IF(NY$28="M1","M1", IF(NY$29="M2","M2", IF(NY$30="M3","M3", IF(NY$31="M4","M4", IF(NY$32="M5","M5", "!"))))))</f>
        <v>M0</v>
      </c>
      <c r="NZ26" s="6" t="str">
        <f t="shared" si="1104"/>
        <v>M0</v>
      </c>
      <c r="OA26" s="6" t="str">
        <f t="shared" si="1104"/>
        <v>M0</v>
      </c>
      <c r="OB26" s="6" t="str">
        <f t="shared" si="1104"/>
        <v>M0</v>
      </c>
      <c r="OC26" s="6" t="str">
        <f t="shared" si="1104"/>
        <v>M0</v>
      </c>
      <c r="OD26" s="6" t="str">
        <f t="shared" si="1104"/>
        <v>M0</v>
      </c>
      <c r="OE26" s="6" t="str">
        <f t="shared" si="1104"/>
        <v>M0</v>
      </c>
      <c r="OF26" s="6" t="str">
        <f t="shared" si="1104"/>
        <v>M0</v>
      </c>
      <c r="OG26" s="6" t="str">
        <f t="shared" si="1104"/>
        <v>M0</v>
      </c>
      <c r="OH26" s="6" t="str">
        <f t="shared" si="1104"/>
        <v>M0</v>
      </c>
      <c r="OI26" s="6" t="str">
        <f t="shared" si="1104"/>
        <v>M0</v>
      </c>
      <c r="OJ26" s="6" t="str">
        <f t="shared" si="1104"/>
        <v>M0</v>
      </c>
      <c r="OK26" s="6" t="str">
        <f t="shared" si="1104"/>
        <v>M0</v>
      </c>
      <c r="OL26" s="6" t="str">
        <f t="shared" si="1104"/>
        <v>M0</v>
      </c>
      <c r="OM26" s="6" t="str">
        <f t="shared" si="1104"/>
        <v>M0</v>
      </c>
      <c r="ON26" s="6" t="str">
        <f t="shared" si="1104"/>
        <v>M0</v>
      </c>
      <c r="OO26" s="6" t="str">
        <f t="shared" si="1104"/>
        <v>M0</v>
      </c>
      <c r="OP26" s="6" t="str">
        <f t="shared" si="1104"/>
        <v>M0</v>
      </c>
      <c r="OQ26" s="6" t="str">
        <f t="shared" si="1104"/>
        <v>M0</v>
      </c>
      <c r="OR26" s="6" t="str">
        <f t="shared" si="1104"/>
        <v>M0</v>
      </c>
      <c r="OS26" s="6" t="str">
        <f t="shared" si="1104"/>
        <v>M0</v>
      </c>
      <c r="OT26" s="6" t="str">
        <f t="shared" si="1104"/>
        <v>M0</v>
      </c>
      <c r="OU26" s="6" t="str">
        <f t="shared" si="1104"/>
        <v>M0</v>
      </c>
      <c r="OV26" s="6" t="str">
        <f t="shared" si="1104"/>
        <v>M0</v>
      </c>
      <c r="OW26" s="6" t="str">
        <f t="shared" si="1104"/>
        <v>M0</v>
      </c>
      <c r="OX26" s="6" t="str">
        <f t="shared" si="1104"/>
        <v>M0</v>
      </c>
      <c r="OY26" s="6" t="str">
        <f t="shared" si="1104"/>
        <v>M0</v>
      </c>
      <c r="OZ26" s="6" t="str">
        <f t="shared" si="1104"/>
        <v>M0</v>
      </c>
      <c r="PA26" s="6" t="str">
        <f t="shared" si="1104"/>
        <v>M0</v>
      </c>
      <c r="PB26" s="6" t="str">
        <f t="shared" si="1104"/>
        <v>M0</v>
      </c>
      <c r="PC26" s="6" t="str">
        <f t="shared" si="1104"/>
        <v>M0</v>
      </c>
      <c r="PD26" s="6" t="str">
        <f t="shared" si="1104"/>
        <v>M0</v>
      </c>
      <c r="PE26" s="6" t="str">
        <f t="shared" si="1104"/>
        <v>M0</v>
      </c>
      <c r="PF26" s="6" t="str">
        <f t="shared" si="1104"/>
        <v>M0</v>
      </c>
      <c r="PG26" s="6" t="str">
        <f t="shared" si="1104"/>
        <v>M0</v>
      </c>
      <c r="PH26" s="6" t="str">
        <f t="shared" si="1104"/>
        <v>M0</v>
      </c>
      <c r="PI26" s="6" t="str">
        <f t="shared" si="1104"/>
        <v>M0</v>
      </c>
      <c r="PJ26" s="6" t="str">
        <f t="shared" si="1104"/>
        <v>M0</v>
      </c>
      <c r="PK26" s="6" t="str">
        <f t="shared" si="1104"/>
        <v>M0</v>
      </c>
      <c r="PL26" s="6" t="str">
        <f t="shared" si="1104"/>
        <v>M0</v>
      </c>
      <c r="PM26" s="6" t="str">
        <f t="shared" si="1104"/>
        <v>M0</v>
      </c>
      <c r="PN26" s="6" t="str">
        <f t="shared" si="1104"/>
        <v>M0</v>
      </c>
      <c r="PO26" s="6" t="str">
        <f t="shared" si="1104"/>
        <v>M0</v>
      </c>
      <c r="PP26" s="6" t="str">
        <f t="shared" si="1104"/>
        <v>M0</v>
      </c>
      <c r="PQ26" s="6" t="str">
        <f t="shared" si="1104"/>
        <v>M0</v>
      </c>
      <c r="PR26" s="6" t="str">
        <f t="shared" si="1104"/>
        <v>M0</v>
      </c>
      <c r="PS26" s="6" t="str">
        <f t="shared" si="1104"/>
        <v>M0</v>
      </c>
      <c r="PT26" s="6" t="str">
        <f t="shared" si="1104"/>
        <v>M0</v>
      </c>
      <c r="PU26" s="6" t="str">
        <f t="shared" si="1104"/>
        <v>M0</v>
      </c>
      <c r="PV26" s="6" t="str">
        <f t="shared" si="1104"/>
        <v>M0</v>
      </c>
      <c r="PW26" s="6" t="str">
        <f t="shared" si="1104"/>
        <v>M0</v>
      </c>
      <c r="PX26" s="6" t="str">
        <f t="shared" si="1104"/>
        <v>M0</v>
      </c>
      <c r="PY26" s="6" t="str">
        <f t="shared" si="1104"/>
        <v>M0</v>
      </c>
      <c r="PZ26" s="6" t="str">
        <f t="shared" si="1104"/>
        <v>M0</v>
      </c>
      <c r="QA26" s="6" t="str">
        <f t="shared" si="1104"/>
        <v>M0</v>
      </c>
      <c r="QB26" s="6" t="str">
        <f t="shared" si="1104"/>
        <v>M0</v>
      </c>
      <c r="QC26" s="6" t="str">
        <f t="shared" si="1104"/>
        <v>M0</v>
      </c>
      <c r="QD26" s="6" t="str">
        <f t="shared" si="1104"/>
        <v>M0</v>
      </c>
      <c r="QE26" s="6" t="str">
        <f t="shared" si="1104"/>
        <v>M0</v>
      </c>
      <c r="QF26" s="6" t="str">
        <f t="shared" si="1104"/>
        <v>M0</v>
      </c>
      <c r="QG26" s="6" t="str">
        <f t="shared" si="1104"/>
        <v>M0</v>
      </c>
      <c r="QH26" s="6" t="str">
        <f t="shared" si="1104"/>
        <v>M0</v>
      </c>
      <c r="QI26" s="6" t="str">
        <f t="shared" si="1104"/>
        <v>M0</v>
      </c>
      <c r="QJ26" s="6" t="str">
        <f t="shared" si="1104"/>
        <v>M0</v>
      </c>
      <c r="QK26" s="6" t="str">
        <f t="shared" ref="QK26:SV26" si="1105">IF(QK$27="M0","M0", IF(QK$28="M1","M1", IF(QK$29="M2","M2", IF(QK$30="M3","M3", IF(QK$31="M4","M4", IF(QK$32="M5","M5", "!"))))))</f>
        <v>M0</v>
      </c>
      <c r="QL26" s="6" t="str">
        <f t="shared" si="1105"/>
        <v>M0</v>
      </c>
      <c r="QM26" s="6" t="str">
        <f t="shared" si="1105"/>
        <v>M0</v>
      </c>
      <c r="QN26" s="6" t="str">
        <f t="shared" si="1105"/>
        <v>M0</v>
      </c>
      <c r="QO26" s="6" t="str">
        <f t="shared" si="1105"/>
        <v>M0</v>
      </c>
      <c r="QP26" s="6" t="str">
        <f t="shared" si="1105"/>
        <v>M0</v>
      </c>
      <c r="QQ26" s="6" t="str">
        <f t="shared" si="1105"/>
        <v>M0</v>
      </c>
      <c r="QR26" s="6" t="str">
        <f t="shared" si="1105"/>
        <v>M0</v>
      </c>
      <c r="QS26" s="6" t="str">
        <f t="shared" si="1105"/>
        <v>M0</v>
      </c>
      <c r="QT26" s="6" t="str">
        <f t="shared" si="1105"/>
        <v>M0</v>
      </c>
      <c r="QU26" s="6" t="str">
        <f t="shared" si="1105"/>
        <v>M0</v>
      </c>
      <c r="QV26" s="6" t="str">
        <f t="shared" si="1105"/>
        <v>M0</v>
      </c>
      <c r="QW26" s="6" t="str">
        <f t="shared" si="1105"/>
        <v>M0</v>
      </c>
      <c r="QX26" s="6" t="str">
        <f t="shared" si="1105"/>
        <v>M0</v>
      </c>
      <c r="QY26" s="6" t="str">
        <f t="shared" si="1105"/>
        <v>M0</v>
      </c>
      <c r="QZ26" s="6" t="str">
        <f t="shared" si="1105"/>
        <v>M0</v>
      </c>
      <c r="RA26" s="6" t="str">
        <f t="shared" si="1105"/>
        <v>M0</v>
      </c>
      <c r="RB26" s="6" t="str">
        <f t="shared" si="1105"/>
        <v>M0</v>
      </c>
      <c r="RC26" s="6" t="str">
        <f t="shared" si="1105"/>
        <v>M0</v>
      </c>
      <c r="RD26" s="6" t="str">
        <f t="shared" si="1105"/>
        <v>M0</v>
      </c>
      <c r="RE26" s="6" t="str">
        <f t="shared" si="1105"/>
        <v>M0</v>
      </c>
      <c r="RF26" s="6" t="str">
        <f t="shared" si="1105"/>
        <v>M0</v>
      </c>
      <c r="RG26" s="6" t="str">
        <f t="shared" si="1105"/>
        <v>M0</v>
      </c>
      <c r="RH26" s="6" t="str">
        <f t="shared" si="1105"/>
        <v>M0</v>
      </c>
      <c r="RI26" s="6" t="str">
        <f t="shared" si="1105"/>
        <v>M0</v>
      </c>
      <c r="RJ26" s="6" t="str">
        <f t="shared" si="1105"/>
        <v>M0</v>
      </c>
      <c r="RK26" s="6" t="str">
        <f t="shared" si="1105"/>
        <v>M0</v>
      </c>
      <c r="RL26" s="6" t="str">
        <f t="shared" si="1105"/>
        <v>M0</v>
      </c>
      <c r="RM26" s="6" t="str">
        <f t="shared" si="1105"/>
        <v>M0</v>
      </c>
      <c r="RN26" s="6" t="str">
        <f t="shared" si="1105"/>
        <v>M0</v>
      </c>
      <c r="RO26" s="6" t="str">
        <f t="shared" si="1105"/>
        <v>M0</v>
      </c>
      <c r="RP26" s="6" t="str">
        <f t="shared" si="1105"/>
        <v>M0</v>
      </c>
      <c r="RQ26" s="6" t="str">
        <f t="shared" si="1105"/>
        <v>M0</v>
      </c>
      <c r="RR26" s="6" t="str">
        <f t="shared" si="1105"/>
        <v>M0</v>
      </c>
      <c r="RS26" s="6" t="str">
        <f t="shared" si="1105"/>
        <v>M0</v>
      </c>
      <c r="RT26" s="6" t="str">
        <f t="shared" si="1105"/>
        <v>M0</v>
      </c>
      <c r="RU26" s="6" t="str">
        <f t="shared" si="1105"/>
        <v>M0</v>
      </c>
      <c r="RV26" s="6" t="str">
        <f t="shared" si="1105"/>
        <v>M0</v>
      </c>
      <c r="RW26" s="6" t="str">
        <f t="shared" si="1105"/>
        <v>M0</v>
      </c>
      <c r="RX26" s="6" t="str">
        <f t="shared" si="1105"/>
        <v>M0</v>
      </c>
      <c r="RY26" s="6" t="str">
        <f t="shared" si="1105"/>
        <v>M0</v>
      </c>
      <c r="RZ26" s="6" t="str">
        <f t="shared" si="1105"/>
        <v>M0</v>
      </c>
      <c r="SA26" s="6" t="str">
        <f t="shared" si="1105"/>
        <v>M0</v>
      </c>
      <c r="SB26" s="6" t="str">
        <f t="shared" si="1105"/>
        <v>M0</v>
      </c>
      <c r="SC26" s="6" t="str">
        <f t="shared" si="1105"/>
        <v>M0</v>
      </c>
      <c r="SD26" s="6" t="str">
        <f t="shared" si="1105"/>
        <v>M0</v>
      </c>
      <c r="SE26" s="6" t="str">
        <f t="shared" si="1105"/>
        <v>M0</v>
      </c>
      <c r="SF26" s="6" t="str">
        <f t="shared" si="1105"/>
        <v>M0</v>
      </c>
      <c r="SG26" s="6" t="str">
        <f t="shared" si="1105"/>
        <v>M0</v>
      </c>
      <c r="SH26" s="6" t="str">
        <f t="shared" si="1105"/>
        <v>M0</v>
      </c>
      <c r="SI26" s="6" t="str">
        <f t="shared" si="1105"/>
        <v>M0</v>
      </c>
      <c r="SJ26" s="6" t="str">
        <f t="shared" si="1105"/>
        <v>M0</v>
      </c>
      <c r="SK26" s="6" t="str">
        <f t="shared" si="1105"/>
        <v>M0</v>
      </c>
      <c r="SL26" s="6" t="str">
        <f t="shared" si="1105"/>
        <v>M0</v>
      </c>
      <c r="SM26" s="6" t="str">
        <f t="shared" si="1105"/>
        <v>M0</v>
      </c>
      <c r="SN26" s="6" t="str">
        <f t="shared" si="1105"/>
        <v>M0</v>
      </c>
      <c r="SO26" s="6" t="str">
        <f t="shared" si="1105"/>
        <v>M0</v>
      </c>
      <c r="SP26" s="6" t="str">
        <f t="shared" si="1105"/>
        <v>M0</v>
      </c>
      <c r="SQ26" s="6" t="str">
        <f t="shared" si="1105"/>
        <v>M0</v>
      </c>
      <c r="SR26" s="6" t="str">
        <f t="shared" si="1105"/>
        <v>M0</v>
      </c>
      <c r="SS26" s="6" t="str">
        <f t="shared" si="1105"/>
        <v>M0</v>
      </c>
      <c r="ST26" s="6" t="str">
        <f t="shared" si="1105"/>
        <v>M0</v>
      </c>
      <c r="SU26" s="6" t="str">
        <f t="shared" si="1105"/>
        <v>M0</v>
      </c>
      <c r="SV26" s="6" t="str">
        <f t="shared" si="1105"/>
        <v>M0</v>
      </c>
      <c r="SW26" s="6" t="str">
        <f t="shared" ref="SW26:VH26" si="1106">IF(SW$27="M0","M0", IF(SW$28="M1","M1", IF(SW$29="M2","M2", IF(SW$30="M3","M3", IF(SW$31="M4","M4", IF(SW$32="M5","M5", "!"))))))</f>
        <v>M0</v>
      </c>
      <c r="SX26" s="6" t="str">
        <f t="shared" si="1106"/>
        <v>M0</v>
      </c>
      <c r="SY26" s="6" t="str">
        <f t="shared" si="1106"/>
        <v>M0</v>
      </c>
      <c r="SZ26" s="6" t="str">
        <f t="shared" si="1106"/>
        <v>M0</v>
      </c>
      <c r="TA26" s="6" t="str">
        <f t="shared" si="1106"/>
        <v>M0</v>
      </c>
      <c r="TB26" s="6" t="str">
        <f t="shared" si="1106"/>
        <v>M0</v>
      </c>
      <c r="TC26" s="6" t="str">
        <f t="shared" si="1106"/>
        <v>M0</v>
      </c>
      <c r="TD26" s="6" t="str">
        <f t="shared" si="1106"/>
        <v>M0</v>
      </c>
      <c r="TE26" s="6" t="str">
        <f t="shared" si="1106"/>
        <v>M0</v>
      </c>
      <c r="TF26" s="6" t="str">
        <f t="shared" si="1106"/>
        <v>M0</v>
      </c>
      <c r="TG26" s="6" t="str">
        <f t="shared" si="1106"/>
        <v>M0</v>
      </c>
      <c r="TH26" s="6" t="str">
        <f t="shared" si="1106"/>
        <v>M0</v>
      </c>
      <c r="TI26" s="6" t="str">
        <f t="shared" si="1106"/>
        <v>M0</v>
      </c>
      <c r="TJ26" s="6" t="str">
        <f t="shared" si="1106"/>
        <v>M0</v>
      </c>
      <c r="TK26" s="6" t="str">
        <f t="shared" si="1106"/>
        <v>M0</v>
      </c>
      <c r="TL26" s="6" t="str">
        <f t="shared" si="1106"/>
        <v>M0</v>
      </c>
      <c r="TM26" s="6" t="str">
        <f t="shared" si="1106"/>
        <v>M0</v>
      </c>
      <c r="TN26" s="6" t="str">
        <f t="shared" si="1106"/>
        <v>M0</v>
      </c>
      <c r="TO26" s="6" t="str">
        <f t="shared" si="1106"/>
        <v>M0</v>
      </c>
      <c r="TP26" s="6" t="str">
        <f t="shared" si="1106"/>
        <v>M0</v>
      </c>
      <c r="TQ26" s="6" t="str">
        <f t="shared" si="1106"/>
        <v>M0</v>
      </c>
      <c r="TR26" s="6" t="str">
        <f t="shared" si="1106"/>
        <v>M0</v>
      </c>
      <c r="TS26" s="6" t="str">
        <f t="shared" si="1106"/>
        <v>M0</v>
      </c>
      <c r="TT26" s="6" t="str">
        <f t="shared" si="1106"/>
        <v>M0</v>
      </c>
      <c r="TU26" s="6" t="str">
        <f t="shared" si="1106"/>
        <v>M0</v>
      </c>
      <c r="TV26" s="6" t="str">
        <f t="shared" si="1106"/>
        <v>M0</v>
      </c>
      <c r="TW26" s="6" t="str">
        <f t="shared" si="1106"/>
        <v>M0</v>
      </c>
      <c r="TX26" s="6" t="str">
        <f t="shared" si="1106"/>
        <v>M0</v>
      </c>
      <c r="TY26" s="6" t="str">
        <f t="shared" si="1106"/>
        <v>M0</v>
      </c>
      <c r="TZ26" s="6" t="str">
        <f t="shared" si="1106"/>
        <v>M0</v>
      </c>
      <c r="UA26" s="6" t="str">
        <f t="shared" si="1106"/>
        <v>M0</v>
      </c>
      <c r="UB26" s="6" t="str">
        <f t="shared" si="1106"/>
        <v>M0</v>
      </c>
      <c r="UC26" s="6" t="str">
        <f t="shared" si="1106"/>
        <v>M0</v>
      </c>
      <c r="UD26" s="6" t="str">
        <f t="shared" si="1106"/>
        <v>M0</v>
      </c>
      <c r="UE26" s="6" t="str">
        <f t="shared" si="1106"/>
        <v>M0</v>
      </c>
      <c r="UF26" s="6" t="str">
        <f t="shared" si="1106"/>
        <v>M0</v>
      </c>
      <c r="UG26" s="6" t="str">
        <f t="shared" si="1106"/>
        <v>M0</v>
      </c>
      <c r="UH26" s="6" t="str">
        <f t="shared" si="1106"/>
        <v>M0</v>
      </c>
      <c r="UI26" s="6" t="str">
        <f t="shared" si="1106"/>
        <v>M0</v>
      </c>
      <c r="UJ26" s="6" t="str">
        <f t="shared" si="1106"/>
        <v>M0</v>
      </c>
      <c r="UK26" s="6" t="str">
        <f t="shared" si="1106"/>
        <v>M0</v>
      </c>
      <c r="UL26" s="6" t="str">
        <f t="shared" si="1106"/>
        <v>M0</v>
      </c>
      <c r="UM26" s="6" t="str">
        <f t="shared" si="1106"/>
        <v>M0</v>
      </c>
      <c r="UN26" s="6" t="str">
        <f t="shared" si="1106"/>
        <v>M0</v>
      </c>
      <c r="UO26" s="6" t="str">
        <f t="shared" si="1106"/>
        <v>M0</v>
      </c>
      <c r="UP26" s="6" t="str">
        <f t="shared" si="1106"/>
        <v>M0</v>
      </c>
      <c r="UQ26" s="6" t="str">
        <f t="shared" si="1106"/>
        <v>M0</v>
      </c>
      <c r="UR26" s="6" t="str">
        <f t="shared" si="1106"/>
        <v>M0</v>
      </c>
      <c r="US26" s="6" t="str">
        <f t="shared" si="1106"/>
        <v>M0</v>
      </c>
      <c r="UT26" s="6" t="str">
        <f t="shared" si="1106"/>
        <v>M0</v>
      </c>
      <c r="UU26" s="6" t="str">
        <f t="shared" si="1106"/>
        <v>M0</v>
      </c>
      <c r="UV26" s="6" t="str">
        <f t="shared" si="1106"/>
        <v>M0</v>
      </c>
      <c r="UW26" s="6" t="str">
        <f t="shared" si="1106"/>
        <v>M0</v>
      </c>
      <c r="UX26" s="6" t="str">
        <f t="shared" si="1106"/>
        <v>M0</v>
      </c>
      <c r="UY26" s="6" t="str">
        <f t="shared" si="1106"/>
        <v>M0</v>
      </c>
      <c r="UZ26" s="6" t="str">
        <f t="shared" si="1106"/>
        <v>M0</v>
      </c>
      <c r="VA26" s="6" t="str">
        <f t="shared" si="1106"/>
        <v>M0</v>
      </c>
      <c r="VB26" s="6" t="str">
        <f t="shared" si="1106"/>
        <v>M0</v>
      </c>
      <c r="VC26" s="6" t="str">
        <f t="shared" si="1106"/>
        <v>M0</v>
      </c>
      <c r="VD26" s="6" t="str">
        <f t="shared" si="1106"/>
        <v>M0</v>
      </c>
      <c r="VE26" s="6" t="str">
        <f t="shared" si="1106"/>
        <v>M0</v>
      </c>
      <c r="VF26" s="6" t="str">
        <f t="shared" si="1106"/>
        <v>M0</v>
      </c>
      <c r="VG26" s="6" t="str">
        <f t="shared" si="1106"/>
        <v>M0</v>
      </c>
      <c r="VH26" s="6" t="str">
        <f t="shared" si="1106"/>
        <v>M0</v>
      </c>
      <c r="VI26" s="6" t="str">
        <f t="shared" ref="VI26:XT26" si="1107">IF(VI$27="M0","M0", IF(VI$28="M1","M1", IF(VI$29="M2","M2", IF(VI$30="M3","M3", IF(VI$31="M4","M4", IF(VI$32="M5","M5", "!"))))))</f>
        <v>M0</v>
      </c>
      <c r="VJ26" s="6" t="str">
        <f t="shared" si="1107"/>
        <v>M0</v>
      </c>
      <c r="VK26" s="6" t="str">
        <f t="shared" si="1107"/>
        <v>M0</v>
      </c>
      <c r="VL26" s="6" t="str">
        <f t="shared" si="1107"/>
        <v>M0</v>
      </c>
      <c r="VM26" s="6" t="str">
        <f t="shared" si="1107"/>
        <v>M0</v>
      </c>
      <c r="VN26" s="6" t="str">
        <f t="shared" si="1107"/>
        <v>M0</v>
      </c>
      <c r="VO26" s="6" t="str">
        <f t="shared" si="1107"/>
        <v>M0</v>
      </c>
      <c r="VP26" s="6" t="str">
        <f t="shared" si="1107"/>
        <v>M0</v>
      </c>
      <c r="VQ26" s="6" t="str">
        <f t="shared" si="1107"/>
        <v>M0</v>
      </c>
      <c r="VR26" s="6" t="str">
        <f t="shared" si="1107"/>
        <v>M0</v>
      </c>
      <c r="VS26" s="6" t="str">
        <f t="shared" si="1107"/>
        <v>M0</v>
      </c>
      <c r="VT26" s="6" t="str">
        <f t="shared" si="1107"/>
        <v>M0</v>
      </c>
      <c r="VU26" s="6" t="str">
        <f t="shared" si="1107"/>
        <v>M0</v>
      </c>
      <c r="VV26" s="6" t="str">
        <f t="shared" si="1107"/>
        <v>M0</v>
      </c>
      <c r="VW26" s="6" t="str">
        <f t="shared" si="1107"/>
        <v>M0</v>
      </c>
      <c r="VX26" s="6" t="str">
        <f t="shared" si="1107"/>
        <v>M0</v>
      </c>
      <c r="VY26" s="6" t="str">
        <f t="shared" si="1107"/>
        <v>M0</v>
      </c>
      <c r="VZ26" s="6" t="str">
        <f t="shared" si="1107"/>
        <v>M0</v>
      </c>
      <c r="WA26" s="6" t="str">
        <f t="shared" si="1107"/>
        <v>M0</v>
      </c>
      <c r="WB26" s="6" t="str">
        <f t="shared" si="1107"/>
        <v>M0</v>
      </c>
      <c r="WC26" s="6" t="str">
        <f t="shared" si="1107"/>
        <v>M0</v>
      </c>
      <c r="WD26" s="6" t="str">
        <f t="shared" si="1107"/>
        <v>M0</v>
      </c>
      <c r="WE26" s="6" t="str">
        <f t="shared" si="1107"/>
        <v>M0</v>
      </c>
      <c r="WF26" s="6" t="str">
        <f t="shared" si="1107"/>
        <v>M0</v>
      </c>
      <c r="WG26" s="6" t="str">
        <f t="shared" si="1107"/>
        <v>M0</v>
      </c>
      <c r="WH26" s="6" t="str">
        <f t="shared" si="1107"/>
        <v>M0</v>
      </c>
      <c r="WI26" s="6" t="str">
        <f t="shared" si="1107"/>
        <v>M0</v>
      </c>
      <c r="WJ26" s="6" t="str">
        <f t="shared" si="1107"/>
        <v>M0</v>
      </c>
      <c r="WK26" s="6" t="str">
        <f t="shared" si="1107"/>
        <v>M0</v>
      </c>
      <c r="WL26" s="6" t="str">
        <f t="shared" si="1107"/>
        <v>M0</v>
      </c>
      <c r="WM26" s="6" t="str">
        <f t="shared" si="1107"/>
        <v>M0</v>
      </c>
      <c r="WN26" s="6" t="str">
        <f t="shared" si="1107"/>
        <v>M0</v>
      </c>
      <c r="WO26" s="6" t="str">
        <f t="shared" si="1107"/>
        <v>M0</v>
      </c>
      <c r="WP26" s="6" t="str">
        <f t="shared" si="1107"/>
        <v>M0</v>
      </c>
      <c r="WQ26" s="6" t="str">
        <f t="shared" si="1107"/>
        <v>M0</v>
      </c>
      <c r="WR26" s="6" t="str">
        <f t="shared" si="1107"/>
        <v>M0</v>
      </c>
      <c r="WS26" s="6" t="str">
        <f t="shared" si="1107"/>
        <v>M0</v>
      </c>
      <c r="WT26" s="6" t="str">
        <f t="shared" si="1107"/>
        <v>M0</v>
      </c>
      <c r="WU26" s="6" t="str">
        <f t="shared" si="1107"/>
        <v>M0</v>
      </c>
      <c r="WV26" s="6" t="str">
        <f t="shared" si="1107"/>
        <v>M0</v>
      </c>
      <c r="WW26" s="6" t="str">
        <f t="shared" si="1107"/>
        <v>M0</v>
      </c>
      <c r="WX26" s="6" t="str">
        <f t="shared" si="1107"/>
        <v>M0</v>
      </c>
      <c r="WY26" s="6" t="str">
        <f t="shared" si="1107"/>
        <v>M0</v>
      </c>
      <c r="WZ26" s="6" t="str">
        <f t="shared" si="1107"/>
        <v>M0</v>
      </c>
      <c r="XA26" s="6" t="str">
        <f t="shared" si="1107"/>
        <v>M0</v>
      </c>
      <c r="XB26" s="6" t="str">
        <f t="shared" si="1107"/>
        <v>M0</v>
      </c>
      <c r="XC26" s="6" t="str">
        <f t="shared" si="1107"/>
        <v>M0</v>
      </c>
      <c r="XD26" s="6" t="str">
        <f t="shared" si="1107"/>
        <v>M0</v>
      </c>
      <c r="XE26" s="6" t="str">
        <f t="shared" si="1107"/>
        <v>M0</v>
      </c>
      <c r="XF26" s="6" t="str">
        <f t="shared" si="1107"/>
        <v>M0</v>
      </c>
      <c r="XG26" s="6" t="str">
        <f t="shared" si="1107"/>
        <v>M0</v>
      </c>
      <c r="XH26" s="6" t="str">
        <f t="shared" si="1107"/>
        <v>M0</v>
      </c>
      <c r="XI26" s="6" t="str">
        <f t="shared" si="1107"/>
        <v>M0</v>
      </c>
      <c r="XJ26" s="6" t="str">
        <f t="shared" si="1107"/>
        <v>M0</v>
      </c>
      <c r="XK26" s="6" t="str">
        <f t="shared" si="1107"/>
        <v>M0</v>
      </c>
      <c r="XL26" s="6" t="str">
        <f t="shared" si="1107"/>
        <v>M0</v>
      </c>
      <c r="XM26" s="6" t="str">
        <f t="shared" si="1107"/>
        <v>M0</v>
      </c>
      <c r="XN26" s="6" t="str">
        <f t="shared" si="1107"/>
        <v>M0</v>
      </c>
      <c r="XO26" s="6" t="str">
        <f t="shared" si="1107"/>
        <v>M0</v>
      </c>
      <c r="XP26" s="6" t="str">
        <f t="shared" si="1107"/>
        <v>M0</v>
      </c>
      <c r="XQ26" s="6" t="str">
        <f t="shared" si="1107"/>
        <v>M0</v>
      </c>
      <c r="XR26" s="6" t="str">
        <f t="shared" si="1107"/>
        <v>M0</v>
      </c>
      <c r="XS26" s="6" t="str">
        <f t="shared" si="1107"/>
        <v>M0</v>
      </c>
      <c r="XT26" s="6" t="str">
        <f t="shared" si="1107"/>
        <v>M0</v>
      </c>
      <c r="XU26" s="6" t="str">
        <f t="shared" ref="XU26:AAF26" si="1108">IF(XU$27="M0","M0", IF(XU$28="M1","M1", IF(XU$29="M2","M2", IF(XU$30="M3","M3", IF(XU$31="M4","M4", IF(XU$32="M5","M5", "!"))))))</f>
        <v>M0</v>
      </c>
      <c r="XV26" s="6" t="str">
        <f t="shared" si="1108"/>
        <v>M0</v>
      </c>
      <c r="XW26" s="6" t="str">
        <f t="shared" si="1108"/>
        <v>M0</v>
      </c>
      <c r="XX26" s="6" t="str">
        <f t="shared" si="1108"/>
        <v>M0</v>
      </c>
      <c r="XY26" s="6" t="str">
        <f t="shared" si="1108"/>
        <v>M0</v>
      </c>
      <c r="XZ26" s="6" t="str">
        <f t="shared" si="1108"/>
        <v>M0</v>
      </c>
      <c r="YA26" s="6" t="str">
        <f t="shared" si="1108"/>
        <v>M0</v>
      </c>
      <c r="YB26" s="6" t="str">
        <f t="shared" si="1108"/>
        <v>M0</v>
      </c>
      <c r="YC26" s="6" t="str">
        <f t="shared" si="1108"/>
        <v>M0</v>
      </c>
      <c r="YD26" s="6" t="str">
        <f t="shared" si="1108"/>
        <v>M0</v>
      </c>
      <c r="YE26" s="6" t="str">
        <f t="shared" si="1108"/>
        <v>M0</v>
      </c>
      <c r="YF26" s="6" t="str">
        <f t="shared" si="1108"/>
        <v>M0</v>
      </c>
      <c r="YG26" s="6" t="str">
        <f t="shared" si="1108"/>
        <v>M0</v>
      </c>
      <c r="YH26" s="6" t="str">
        <f t="shared" si="1108"/>
        <v>M0</v>
      </c>
      <c r="YI26" s="6" t="str">
        <f t="shared" si="1108"/>
        <v>M0</v>
      </c>
      <c r="YJ26" s="6" t="str">
        <f t="shared" si="1108"/>
        <v>M0</v>
      </c>
      <c r="YK26" s="6" t="str">
        <f t="shared" si="1108"/>
        <v>M0</v>
      </c>
      <c r="YL26" s="6" t="str">
        <f t="shared" si="1108"/>
        <v>M0</v>
      </c>
      <c r="YM26" s="6" t="str">
        <f t="shared" si="1108"/>
        <v>M0</v>
      </c>
      <c r="YN26" s="6" t="str">
        <f t="shared" si="1108"/>
        <v>M0</v>
      </c>
      <c r="YO26" s="6" t="str">
        <f t="shared" si="1108"/>
        <v>M0</v>
      </c>
      <c r="YP26" s="6" t="str">
        <f t="shared" si="1108"/>
        <v>M0</v>
      </c>
      <c r="YQ26" s="6" t="str">
        <f t="shared" si="1108"/>
        <v>M0</v>
      </c>
      <c r="YR26" s="6" t="str">
        <f t="shared" si="1108"/>
        <v>M0</v>
      </c>
      <c r="YS26" s="6" t="str">
        <f t="shared" si="1108"/>
        <v>M0</v>
      </c>
      <c r="YT26" s="6" t="str">
        <f t="shared" si="1108"/>
        <v>M0</v>
      </c>
      <c r="YU26" s="6" t="str">
        <f t="shared" si="1108"/>
        <v>M0</v>
      </c>
      <c r="YV26" s="6" t="str">
        <f t="shared" si="1108"/>
        <v>M0</v>
      </c>
      <c r="YW26" s="6" t="str">
        <f t="shared" si="1108"/>
        <v>M0</v>
      </c>
      <c r="YX26" s="6" t="str">
        <f t="shared" si="1108"/>
        <v>M0</v>
      </c>
      <c r="YY26" s="6" t="str">
        <f t="shared" si="1108"/>
        <v>M0</v>
      </c>
      <c r="YZ26" s="6" t="str">
        <f t="shared" si="1108"/>
        <v>M0</v>
      </c>
      <c r="ZA26" s="6" t="str">
        <f t="shared" si="1108"/>
        <v>M0</v>
      </c>
      <c r="ZB26" s="6" t="str">
        <f t="shared" si="1108"/>
        <v>M0</v>
      </c>
      <c r="ZC26" s="6" t="str">
        <f t="shared" si="1108"/>
        <v>M0</v>
      </c>
      <c r="ZD26" s="6" t="str">
        <f t="shared" si="1108"/>
        <v>M0</v>
      </c>
      <c r="ZE26" s="6" t="str">
        <f t="shared" si="1108"/>
        <v>M0</v>
      </c>
      <c r="ZF26" s="6" t="str">
        <f t="shared" si="1108"/>
        <v>M0</v>
      </c>
      <c r="ZG26" s="6" t="str">
        <f t="shared" si="1108"/>
        <v>M0</v>
      </c>
      <c r="ZH26" s="6" t="str">
        <f t="shared" si="1108"/>
        <v>M0</v>
      </c>
      <c r="ZI26" s="6" t="str">
        <f t="shared" si="1108"/>
        <v>M0</v>
      </c>
      <c r="ZJ26" s="6" t="str">
        <f t="shared" si="1108"/>
        <v>M0</v>
      </c>
      <c r="ZK26" s="6" t="str">
        <f t="shared" si="1108"/>
        <v>M0</v>
      </c>
      <c r="ZL26" s="6" t="str">
        <f t="shared" si="1108"/>
        <v>M0</v>
      </c>
      <c r="ZM26" s="6" t="str">
        <f t="shared" si="1108"/>
        <v>M0</v>
      </c>
      <c r="ZN26" s="6" t="str">
        <f t="shared" si="1108"/>
        <v>M0</v>
      </c>
      <c r="ZO26" s="6" t="str">
        <f t="shared" si="1108"/>
        <v>M0</v>
      </c>
      <c r="ZP26" s="6" t="str">
        <f t="shared" si="1108"/>
        <v>M0</v>
      </c>
      <c r="ZQ26" s="6" t="str">
        <f t="shared" si="1108"/>
        <v>M0</v>
      </c>
      <c r="ZR26" s="6" t="str">
        <f t="shared" si="1108"/>
        <v>M0</v>
      </c>
      <c r="ZS26" s="6" t="str">
        <f t="shared" si="1108"/>
        <v>M0</v>
      </c>
      <c r="ZT26" s="6" t="str">
        <f t="shared" si="1108"/>
        <v>M0</v>
      </c>
      <c r="ZU26" s="6" t="str">
        <f t="shared" si="1108"/>
        <v>M0</v>
      </c>
      <c r="ZV26" s="6" t="str">
        <f t="shared" si="1108"/>
        <v>M0</v>
      </c>
      <c r="ZW26" s="6" t="str">
        <f t="shared" si="1108"/>
        <v>M0</v>
      </c>
      <c r="ZX26" s="6" t="str">
        <f t="shared" si="1108"/>
        <v>M0</v>
      </c>
      <c r="ZY26" s="6" t="str">
        <f t="shared" si="1108"/>
        <v>M0</v>
      </c>
      <c r="ZZ26" s="6" t="str">
        <f t="shared" si="1108"/>
        <v>M0</v>
      </c>
      <c r="AAA26" s="6" t="str">
        <f t="shared" si="1108"/>
        <v>M0</v>
      </c>
      <c r="AAB26" s="6" t="str">
        <f t="shared" si="1108"/>
        <v>M0</v>
      </c>
      <c r="AAC26" s="6" t="str">
        <f t="shared" si="1108"/>
        <v>M0</v>
      </c>
      <c r="AAD26" s="6" t="str">
        <f t="shared" si="1108"/>
        <v>M0</v>
      </c>
      <c r="AAE26" s="6" t="str">
        <f t="shared" si="1108"/>
        <v>M0</v>
      </c>
      <c r="AAF26" s="6" t="str">
        <f t="shared" si="1108"/>
        <v>M0</v>
      </c>
      <c r="AAG26" s="6" t="str">
        <f t="shared" ref="AAG26:ACR26" si="1109">IF(AAG$27="M0","M0", IF(AAG$28="M1","M1", IF(AAG$29="M2","M2", IF(AAG$30="M3","M3", IF(AAG$31="M4","M4", IF(AAG$32="M5","M5", "!"))))))</f>
        <v>M0</v>
      </c>
      <c r="AAH26" s="6" t="str">
        <f t="shared" si="1109"/>
        <v>M0</v>
      </c>
      <c r="AAI26" s="6" t="str">
        <f t="shared" si="1109"/>
        <v>M0</v>
      </c>
      <c r="AAJ26" s="6" t="str">
        <f t="shared" si="1109"/>
        <v>M0</v>
      </c>
      <c r="AAK26" s="6" t="str">
        <f t="shared" si="1109"/>
        <v>M0</v>
      </c>
      <c r="AAL26" s="6" t="str">
        <f t="shared" si="1109"/>
        <v>M0</v>
      </c>
      <c r="AAM26" s="6" t="str">
        <f t="shared" si="1109"/>
        <v>M0</v>
      </c>
      <c r="AAN26" s="6" t="str">
        <f t="shared" si="1109"/>
        <v>M0</v>
      </c>
      <c r="AAO26" s="6" t="str">
        <f t="shared" si="1109"/>
        <v>M0</v>
      </c>
      <c r="AAP26" s="6" t="str">
        <f t="shared" si="1109"/>
        <v>M0</v>
      </c>
      <c r="AAQ26" s="6" t="str">
        <f t="shared" si="1109"/>
        <v>M0</v>
      </c>
      <c r="AAR26" s="6" t="str">
        <f t="shared" si="1109"/>
        <v>M0</v>
      </c>
      <c r="AAS26" s="6" t="str">
        <f t="shared" si="1109"/>
        <v>M0</v>
      </c>
      <c r="AAT26" s="6" t="str">
        <f t="shared" si="1109"/>
        <v>M0</v>
      </c>
      <c r="AAU26" s="6" t="str">
        <f t="shared" si="1109"/>
        <v>M0</v>
      </c>
      <c r="AAV26" s="6" t="str">
        <f t="shared" si="1109"/>
        <v>M0</v>
      </c>
      <c r="AAW26" s="6" t="str">
        <f t="shared" si="1109"/>
        <v>M0</v>
      </c>
      <c r="AAX26" s="6" t="str">
        <f t="shared" si="1109"/>
        <v>M0</v>
      </c>
      <c r="AAY26" s="6" t="str">
        <f t="shared" si="1109"/>
        <v>M0</v>
      </c>
      <c r="AAZ26" s="6" t="str">
        <f t="shared" si="1109"/>
        <v>M0</v>
      </c>
      <c r="ABA26" s="6" t="str">
        <f t="shared" si="1109"/>
        <v>M0</v>
      </c>
      <c r="ABB26" s="6" t="str">
        <f t="shared" si="1109"/>
        <v>M0</v>
      </c>
      <c r="ABC26" s="6" t="str">
        <f t="shared" si="1109"/>
        <v>M0</v>
      </c>
      <c r="ABD26" s="6" t="str">
        <f t="shared" si="1109"/>
        <v>M0</v>
      </c>
      <c r="ABE26" s="6" t="str">
        <f t="shared" si="1109"/>
        <v>M0</v>
      </c>
      <c r="ABF26" s="6" t="str">
        <f t="shared" si="1109"/>
        <v>M0</v>
      </c>
      <c r="ABG26" s="6" t="str">
        <f t="shared" si="1109"/>
        <v>M0</v>
      </c>
      <c r="ABH26" s="6" t="str">
        <f t="shared" si="1109"/>
        <v>M0</v>
      </c>
      <c r="ABI26" s="6" t="str">
        <f t="shared" si="1109"/>
        <v>M0</v>
      </c>
      <c r="ABJ26" s="6" t="str">
        <f t="shared" si="1109"/>
        <v>M0</v>
      </c>
      <c r="ABK26" s="6" t="str">
        <f t="shared" si="1109"/>
        <v>M0</v>
      </c>
      <c r="ABL26" s="6" t="str">
        <f t="shared" si="1109"/>
        <v>M0</v>
      </c>
      <c r="ABM26" s="6" t="str">
        <f t="shared" si="1109"/>
        <v>M0</v>
      </c>
      <c r="ABN26" s="6" t="str">
        <f t="shared" si="1109"/>
        <v>M0</v>
      </c>
      <c r="ABO26" s="6" t="str">
        <f t="shared" si="1109"/>
        <v>M0</v>
      </c>
      <c r="ABP26" s="6" t="str">
        <f t="shared" si="1109"/>
        <v>M0</v>
      </c>
      <c r="ABQ26" s="6" t="str">
        <f t="shared" si="1109"/>
        <v>M0</v>
      </c>
      <c r="ABR26" s="6" t="str">
        <f t="shared" si="1109"/>
        <v>M0</v>
      </c>
      <c r="ABS26" s="6" t="str">
        <f t="shared" si="1109"/>
        <v>M0</v>
      </c>
      <c r="ABT26" s="6" t="str">
        <f t="shared" si="1109"/>
        <v>M0</v>
      </c>
      <c r="ABU26" s="6" t="str">
        <f t="shared" si="1109"/>
        <v>M0</v>
      </c>
      <c r="ABV26" s="6" t="str">
        <f t="shared" si="1109"/>
        <v>M0</v>
      </c>
      <c r="ABW26" s="6" t="str">
        <f t="shared" si="1109"/>
        <v>M0</v>
      </c>
      <c r="ABX26" s="6" t="str">
        <f t="shared" si="1109"/>
        <v>M0</v>
      </c>
      <c r="ABY26" s="6" t="str">
        <f t="shared" si="1109"/>
        <v>M0</v>
      </c>
      <c r="ABZ26" s="6" t="str">
        <f t="shared" si="1109"/>
        <v>M0</v>
      </c>
      <c r="ACA26" s="6" t="str">
        <f t="shared" si="1109"/>
        <v>M0</v>
      </c>
      <c r="ACB26" s="6" t="str">
        <f t="shared" si="1109"/>
        <v>M0</v>
      </c>
      <c r="ACC26" s="6" t="str">
        <f t="shared" si="1109"/>
        <v>M0</v>
      </c>
      <c r="ACD26" s="6" t="str">
        <f t="shared" si="1109"/>
        <v>M0</v>
      </c>
      <c r="ACE26" s="6" t="str">
        <f t="shared" si="1109"/>
        <v>M0</v>
      </c>
      <c r="ACF26" s="6" t="str">
        <f t="shared" si="1109"/>
        <v>M0</v>
      </c>
      <c r="ACG26" s="6" t="str">
        <f t="shared" si="1109"/>
        <v>M0</v>
      </c>
      <c r="ACH26" s="6" t="str">
        <f t="shared" si="1109"/>
        <v>M0</v>
      </c>
      <c r="ACI26" s="6" t="str">
        <f t="shared" si="1109"/>
        <v>M0</v>
      </c>
      <c r="ACJ26" s="6" t="str">
        <f t="shared" si="1109"/>
        <v>M0</v>
      </c>
      <c r="ACK26" s="6" t="str">
        <f t="shared" si="1109"/>
        <v>M0</v>
      </c>
      <c r="ACL26" s="6" t="str">
        <f t="shared" si="1109"/>
        <v>M0</v>
      </c>
      <c r="ACM26" s="6" t="str">
        <f t="shared" si="1109"/>
        <v>M0</v>
      </c>
      <c r="ACN26" s="6" t="str">
        <f t="shared" si="1109"/>
        <v>M0</v>
      </c>
      <c r="ACO26" s="6" t="str">
        <f t="shared" si="1109"/>
        <v>M0</v>
      </c>
      <c r="ACP26" s="6" t="str">
        <f t="shared" si="1109"/>
        <v>M0</v>
      </c>
      <c r="ACQ26" s="6" t="str">
        <f t="shared" si="1109"/>
        <v>M0</v>
      </c>
      <c r="ACR26" s="6" t="str">
        <f t="shared" si="1109"/>
        <v>M0</v>
      </c>
      <c r="ACS26" s="6" t="str">
        <f t="shared" ref="ACS26:AFD26" si="1110">IF(ACS$27="M0","M0", IF(ACS$28="M1","M1", IF(ACS$29="M2","M2", IF(ACS$30="M3","M3", IF(ACS$31="M4","M4", IF(ACS$32="M5","M5", "!"))))))</f>
        <v>M0</v>
      </c>
      <c r="ACT26" s="6" t="str">
        <f t="shared" si="1110"/>
        <v>M0</v>
      </c>
      <c r="ACU26" s="6" t="str">
        <f t="shared" si="1110"/>
        <v>M0</v>
      </c>
      <c r="ACV26" s="6" t="str">
        <f t="shared" si="1110"/>
        <v>M0</v>
      </c>
      <c r="ACW26" s="6" t="str">
        <f t="shared" si="1110"/>
        <v>M0</v>
      </c>
      <c r="ACX26" s="6" t="str">
        <f t="shared" si="1110"/>
        <v>M0</v>
      </c>
      <c r="ACY26" s="6" t="str">
        <f t="shared" si="1110"/>
        <v>M0</v>
      </c>
      <c r="ACZ26" s="6" t="str">
        <f t="shared" si="1110"/>
        <v>M0</v>
      </c>
      <c r="ADA26" s="6" t="str">
        <f t="shared" si="1110"/>
        <v>M0</v>
      </c>
      <c r="ADB26" s="6" t="str">
        <f t="shared" si="1110"/>
        <v>M0</v>
      </c>
      <c r="ADC26" s="6" t="str">
        <f t="shared" si="1110"/>
        <v>M0</v>
      </c>
      <c r="ADD26" s="6" t="str">
        <f t="shared" si="1110"/>
        <v>M0</v>
      </c>
      <c r="ADE26" s="6" t="str">
        <f t="shared" si="1110"/>
        <v>M0</v>
      </c>
      <c r="ADF26" s="6" t="str">
        <f t="shared" si="1110"/>
        <v>M0</v>
      </c>
      <c r="ADG26" s="6" t="str">
        <f t="shared" si="1110"/>
        <v>M0</v>
      </c>
      <c r="ADH26" s="6" t="str">
        <f t="shared" si="1110"/>
        <v>M0</v>
      </c>
      <c r="ADI26" s="6" t="str">
        <f t="shared" si="1110"/>
        <v>M0</v>
      </c>
      <c r="ADJ26" s="6" t="str">
        <f t="shared" si="1110"/>
        <v>M0</v>
      </c>
      <c r="ADK26" s="6" t="str">
        <f t="shared" si="1110"/>
        <v>M0</v>
      </c>
      <c r="ADL26" s="6" t="str">
        <f t="shared" si="1110"/>
        <v>M0</v>
      </c>
      <c r="ADM26" s="6" t="str">
        <f t="shared" si="1110"/>
        <v>M0</v>
      </c>
      <c r="ADN26" s="6" t="str">
        <f t="shared" si="1110"/>
        <v>M0</v>
      </c>
      <c r="ADO26" s="6" t="str">
        <f t="shared" si="1110"/>
        <v>M0</v>
      </c>
      <c r="ADP26" s="6" t="str">
        <f t="shared" si="1110"/>
        <v>M0</v>
      </c>
      <c r="ADQ26" s="6" t="str">
        <f t="shared" si="1110"/>
        <v>M0</v>
      </c>
      <c r="ADR26" s="6" t="str">
        <f t="shared" si="1110"/>
        <v>M0</v>
      </c>
      <c r="ADS26" s="6" t="str">
        <f t="shared" si="1110"/>
        <v>M0</v>
      </c>
      <c r="ADT26" s="6" t="str">
        <f t="shared" si="1110"/>
        <v>M0</v>
      </c>
      <c r="ADU26" s="6" t="str">
        <f t="shared" si="1110"/>
        <v>M0</v>
      </c>
      <c r="ADV26" s="6" t="str">
        <f t="shared" si="1110"/>
        <v>M0</v>
      </c>
      <c r="ADW26" s="6" t="str">
        <f t="shared" si="1110"/>
        <v>M0</v>
      </c>
      <c r="ADX26" s="6" t="str">
        <f t="shared" si="1110"/>
        <v>M0</v>
      </c>
      <c r="ADY26" s="6" t="str">
        <f t="shared" si="1110"/>
        <v>M0</v>
      </c>
      <c r="ADZ26" s="6" t="str">
        <f t="shared" si="1110"/>
        <v>M0</v>
      </c>
      <c r="AEA26" s="6" t="str">
        <f t="shared" si="1110"/>
        <v>M0</v>
      </c>
      <c r="AEB26" s="6" t="str">
        <f t="shared" si="1110"/>
        <v>M0</v>
      </c>
      <c r="AEC26" s="6" t="str">
        <f t="shared" si="1110"/>
        <v>M0</v>
      </c>
      <c r="AED26" s="6" t="str">
        <f t="shared" si="1110"/>
        <v>M0</v>
      </c>
      <c r="AEE26" s="6" t="str">
        <f t="shared" si="1110"/>
        <v>M0</v>
      </c>
      <c r="AEF26" s="6" t="str">
        <f t="shared" si="1110"/>
        <v>M0</v>
      </c>
      <c r="AEG26" s="6" t="str">
        <f t="shared" si="1110"/>
        <v>M0</v>
      </c>
      <c r="AEH26" s="6" t="str">
        <f t="shared" si="1110"/>
        <v>M0</v>
      </c>
      <c r="AEI26" s="6" t="str">
        <f t="shared" si="1110"/>
        <v>M0</v>
      </c>
      <c r="AEJ26" s="6" t="str">
        <f t="shared" si="1110"/>
        <v>M0</v>
      </c>
      <c r="AEK26" s="6" t="str">
        <f t="shared" si="1110"/>
        <v>M0</v>
      </c>
      <c r="AEL26" s="6" t="str">
        <f t="shared" si="1110"/>
        <v>M0</v>
      </c>
      <c r="AEM26" s="6" t="str">
        <f t="shared" si="1110"/>
        <v>M0</v>
      </c>
      <c r="AEN26" s="6" t="str">
        <f t="shared" si="1110"/>
        <v>M0</v>
      </c>
      <c r="AEO26" s="6" t="str">
        <f t="shared" si="1110"/>
        <v>M0</v>
      </c>
      <c r="AEP26" s="6" t="str">
        <f t="shared" si="1110"/>
        <v>M0</v>
      </c>
      <c r="AEQ26" s="6" t="str">
        <f t="shared" si="1110"/>
        <v>M0</v>
      </c>
      <c r="AER26" s="6" t="str">
        <f t="shared" si="1110"/>
        <v>M0</v>
      </c>
      <c r="AES26" s="6" t="str">
        <f t="shared" si="1110"/>
        <v>M0</v>
      </c>
      <c r="AET26" s="6" t="str">
        <f t="shared" si="1110"/>
        <v>M0</v>
      </c>
      <c r="AEU26" s="6" t="str">
        <f t="shared" si="1110"/>
        <v>M0</v>
      </c>
      <c r="AEV26" s="6" t="str">
        <f t="shared" si="1110"/>
        <v>M0</v>
      </c>
      <c r="AEW26" s="6" t="str">
        <f t="shared" si="1110"/>
        <v>M0</v>
      </c>
      <c r="AEX26" s="6" t="str">
        <f t="shared" si="1110"/>
        <v>M0</v>
      </c>
      <c r="AEY26" s="6" t="str">
        <f t="shared" si="1110"/>
        <v>M0</v>
      </c>
      <c r="AEZ26" s="6" t="str">
        <f t="shared" si="1110"/>
        <v>M0</v>
      </c>
      <c r="AFA26" s="6" t="str">
        <f t="shared" si="1110"/>
        <v>M0</v>
      </c>
      <c r="AFB26" s="6" t="str">
        <f t="shared" si="1110"/>
        <v>M0</v>
      </c>
      <c r="AFC26" s="6" t="str">
        <f t="shared" si="1110"/>
        <v>M0</v>
      </c>
      <c r="AFD26" s="6" t="str">
        <f t="shared" si="1110"/>
        <v>M0</v>
      </c>
      <c r="AFE26" s="6" t="str">
        <f t="shared" ref="AFE26:AHP26" si="1111">IF(AFE$27="M0","M0", IF(AFE$28="M1","M1", IF(AFE$29="M2","M2", IF(AFE$30="M3","M3", IF(AFE$31="M4","M4", IF(AFE$32="M5","M5", "!"))))))</f>
        <v>M0</v>
      </c>
      <c r="AFF26" s="6" t="str">
        <f t="shared" si="1111"/>
        <v>M0</v>
      </c>
      <c r="AFG26" s="6" t="str">
        <f t="shared" si="1111"/>
        <v>M0</v>
      </c>
      <c r="AFH26" s="6" t="str">
        <f t="shared" si="1111"/>
        <v>M0</v>
      </c>
      <c r="AFI26" s="6" t="str">
        <f t="shared" si="1111"/>
        <v>M0</v>
      </c>
      <c r="AFJ26" s="6" t="str">
        <f t="shared" si="1111"/>
        <v>M0</v>
      </c>
      <c r="AFK26" s="6" t="str">
        <f t="shared" si="1111"/>
        <v>M0</v>
      </c>
      <c r="AFL26" s="6" t="str">
        <f t="shared" si="1111"/>
        <v>M0</v>
      </c>
      <c r="AFM26" s="6" t="str">
        <f t="shared" si="1111"/>
        <v>M0</v>
      </c>
      <c r="AFN26" s="6" t="str">
        <f t="shared" si="1111"/>
        <v>M0</v>
      </c>
      <c r="AFO26" s="6" t="str">
        <f t="shared" si="1111"/>
        <v>M0</v>
      </c>
      <c r="AFP26" s="6" t="str">
        <f t="shared" si="1111"/>
        <v>M0</v>
      </c>
      <c r="AFQ26" s="6" t="str">
        <f t="shared" si="1111"/>
        <v>M0</v>
      </c>
      <c r="AFR26" s="6" t="str">
        <f t="shared" si="1111"/>
        <v>M0</v>
      </c>
      <c r="AFS26" s="6" t="str">
        <f t="shared" si="1111"/>
        <v>M0</v>
      </c>
      <c r="AFT26" s="6" t="str">
        <f t="shared" si="1111"/>
        <v>M0</v>
      </c>
      <c r="AFU26" s="6" t="str">
        <f t="shared" si="1111"/>
        <v>M0</v>
      </c>
      <c r="AFV26" s="6" t="str">
        <f t="shared" si="1111"/>
        <v>M0</v>
      </c>
      <c r="AFW26" s="6" t="str">
        <f t="shared" si="1111"/>
        <v>M0</v>
      </c>
      <c r="AFX26" s="6" t="str">
        <f t="shared" si="1111"/>
        <v>M0</v>
      </c>
      <c r="AFY26" s="6" t="str">
        <f t="shared" si="1111"/>
        <v>M0</v>
      </c>
      <c r="AFZ26" s="6" t="str">
        <f t="shared" si="1111"/>
        <v>M0</v>
      </c>
      <c r="AGA26" s="6" t="str">
        <f t="shared" si="1111"/>
        <v>M0</v>
      </c>
      <c r="AGB26" s="6" t="str">
        <f t="shared" si="1111"/>
        <v>M0</v>
      </c>
      <c r="AGC26" s="6" t="str">
        <f t="shared" si="1111"/>
        <v>M0</v>
      </c>
      <c r="AGD26" s="6" t="str">
        <f t="shared" si="1111"/>
        <v>M0</v>
      </c>
      <c r="AGE26" s="6" t="str">
        <f t="shared" si="1111"/>
        <v>M0</v>
      </c>
      <c r="AGF26" s="6" t="str">
        <f t="shared" si="1111"/>
        <v>M0</v>
      </c>
      <c r="AGG26" s="6" t="str">
        <f t="shared" si="1111"/>
        <v>M0</v>
      </c>
      <c r="AGH26" s="6" t="str">
        <f t="shared" si="1111"/>
        <v>M0</v>
      </c>
      <c r="AGI26" s="6" t="str">
        <f t="shared" si="1111"/>
        <v>M0</v>
      </c>
      <c r="AGJ26" s="6" t="str">
        <f t="shared" si="1111"/>
        <v>M0</v>
      </c>
      <c r="AGK26" s="6" t="str">
        <f t="shared" si="1111"/>
        <v>M0</v>
      </c>
      <c r="AGL26" s="6" t="str">
        <f t="shared" si="1111"/>
        <v>M0</v>
      </c>
      <c r="AGM26" s="6" t="str">
        <f t="shared" si="1111"/>
        <v>M0</v>
      </c>
      <c r="AGN26" s="6" t="str">
        <f t="shared" si="1111"/>
        <v>M0</v>
      </c>
      <c r="AGO26" s="6" t="str">
        <f t="shared" si="1111"/>
        <v>M0</v>
      </c>
      <c r="AGP26" s="6" t="str">
        <f t="shared" si="1111"/>
        <v>M0</v>
      </c>
      <c r="AGQ26" s="6" t="str">
        <f t="shared" si="1111"/>
        <v>M0</v>
      </c>
      <c r="AGR26" s="6" t="str">
        <f t="shared" si="1111"/>
        <v>M0</v>
      </c>
      <c r="AGS26" s="6" t="str">
        <f t="shared" si="1111"/>
        <v>M0</v>
      </c>
      <c r="AGT26" s="6" t="str">
        <f t="shared" si="1111"/>
        <v>M0</v>
      </c>
      <c r="AGU26" s="6" t="str">
        <f t="shared" si="1111"/>
        <v>M0</v>
      </c>
      <c r="AGV26" s="6" t="str">
        <f t="shared" si="1111"/>
        <v>M0</v>
      </c>
      <c r="AGW26" s="6" t="str">
        <f t="shared" si="1111"/>
        <v>M0</v>
      </c>
      <c r="AGX26" s="6" t="str">
        <f t="shared" si="1111"/>
        <v>M0</v>
      </c>
      <c r="AGY26" s="6" t="str">
        <f t="shared" si="1111"/>
        <v>M0</v>
      </c>
      <c r="AGZ26" s="6" t="str">
        <f t="shared" si="1111"/>
        <v>M0</v>
      </c>
      <c r="AHA26" s="6" t="str">
        <f t="shared" si="1111"/>
        <v>M0</v>
      </c>
      <c r="AHB26" s="6" t="str">
        <f t="shared" si="1111"/>
        <v>M0</v>
      </c>
      <c r="AHC26" s="6" t="str">
        <f t="shared" si="1111"/>
        <v>M0</v>
      </c>
      <c r="AHD26" s="6" t="str">
        <f t="shared" si="1111"/>
        <v>M0</v>
      </c>
      <c r="AHE26" s="6" t="str">
        <f t="shared" si="1111"/>
        <v>M0</v>
      </c>
      <c r="AHF26" s="6" t="str">
        <f t="shared" si="1111"/>
        <v>M0</v>
      </c>
      <c r="AHG26" s="6" t="str">
        <f t="shared" si="1111"/>
        <v>M0</v>
      </c>
      <c r="AHH26" s="6" t="str">
        <f t="shared" si="1111"/>
        <v>M0</v>
      </c>
      <c r="AHI26" s="6" t="str">
        <f t="shared" si="1111"/>
        <v>M0</v>
      </c>
      <c r="AHJ26" s="6" t="str">
        <f t="shared" si="1111"/>
        <v>M0</v>
      </c>
      <c r="AHK26" s="6" t="str">
        <f t="shared" si="1111"/>
        <v>M0</v>
      </c>
      <c r="AHL26" s="6" t="str">
        <f t="shared" si="1111"/>
        <v>M0</v>
      </c>
      <c r="AHM26" s="6" t="str">
        <f t="shared" si="1111"/>
        <v>M0</v>
      </c>
      <c r="AHN26" s="6" t="str">
        <f t="shared" si="1111"/>
        <v>M0</v>
      </c>
      <c r="AHO26" s="6" t="str">
        <f t="shared" si="1111"/>
        <v>M0</v>
      </c>
      <c r="AHP26" s="6" t="str">
        <f t="shared" si="1111"/>
        <v>M0</v>
      </c>
      <c r="AHQ26" s="6" t="str">
        <f t="shared" ref="AHQ26:AKB26" si="1112">IF(AHQ$27="M0","M0", IF(AHQ$28="M1","M1", IF(AHQ$29="M2","M2", IF(AHQ$30="M3","M3", IF(AHQ$31="M4","M4", IF(AHQ$32="M5","M5", "!"))))))</f>
        <v>M0</v>
      </c>
      <c r="AHR26" s="6" t="str">
        <f t="shared" si="1112"/>
        <v>M0</v>
      </c>
      <c r="AHS26" s="6" t="str">
        <f t="shared" si="1112"/>
        <v>M0</v>
      </c>
      <c r="AHT26" s="6" t="str">
        <f t="shared" si="1112"/>
        <v>M0</v>
      </c>
      <c r="AHU26" s="6" t="str">
        <f t="shared" si="1112"/>
        <v>M0</v>
      </c>
      <c r="AHV26" s="6" t="str">
        <f t="shared" si="1112"/>
        <v>M0</v>
      </c>
      <c r="AHW26" s="6" t="str">
        <f t="shared" si="1112"/>
        <v>M0</v>
      </c>
      <c r="AHX26" s="6" t="str">
        <f t="shared" si="1112"/>
        <v>M0</v>
      </c>
      <c r="AHY26" s="6" t="str">
        <f t="shared" si="1112"/>
        <v>M0</v>
      </c>
      <c r="AHZ26" s="6" t="str">
        <f t="shared" si="1112"/>
        <v>M0</v>
      </c>
      <c r="AIA26" s="6" t="str">
        <f t="shared" si="1112"/>
        <v>M0</v>
      </c>
      <c r="AIB26" s="6" t="str">
        <f t="shared" si="1112"/>
        <v>M0</v>
      </c>
      <c r="AIC26" s="6" t="str">
        <f t="shared" si="1112"/>
        <v>M0</v>
      </c>
      <c r="AID26" s="6" t="str">
        <f t="shared" si="1112"/>
        <v>M0</v>
      </c>
      <c r="AIE26" s="6" t="str">
        <f t="shared" si="1112"/>
        <v>M0</v>
      </c>
      <c r="AIF26" s="6" t="str">
        <f t="shared" si="1112"/>
        <v>M0</v>
      </c>
      <c r="AIG26" s="6" t="str">
        <f t="shared" si="1112"/>
        <v>M0</v>
      </c>
      <c r="AIH26" s="6" t="str">
        <f t="shared" si="1112"/>
        <v>M0</v>
      </c>
      <c r="AII26" s="6" t="str">
        <f t="shared" si="1112"/>
        <v>M0</v>
      </c>
      <c r="AIJ26" s="6" t="str">
        <f t="shared" si="1112"/>
        <v>M0</v>
      </c>
      <c r="AIK26" s="6" t="str">
        <f t="shared" si="1112"/>
        <v>M0</v>
      </c>
      <c r="AIL26" s="6" t="str">
        <f t="shared" si="1112"/>
        <v>M0</v>
      </c>
      <c r="AIM26" s="6" t="str">
        <f t="shared" si="1112"/>
        <v>M0</v>
      </c>
      <c r="AIN26" s="6" t="str">
        <f t="shared" si="1112"/>
        <v>M0</v>
      </c>
      <c r="AIO26" s="6" t="str">
        <f t="shared" si="1112"/>
        <v>M0</v>
      </c>
      <c r="AIP26" s="6" t="str">
        <f t="shared" si="1112"/>
        <v>M0</v>
      </c>
      <c r="AIQ26" s="6" t="str">
        <f t="shared" si="1112"/>
        <v>M0</v>
      </c>
      <c r="AIR26" s="6" t="str">
        <f t="shared" si="1112"/>
        <v>M0</v>
      </c>
      <c r="AIS26" s="6" t="str">
        <f t="shared" si="1112"/>
        <v>M0</v>
      </c>
      <c r="AIT26" s="6" t="str">
        <f t="shared" si="1112"/>
        <v>M0</v>
      </c>
      <c r="AIU26" s="6" t="str">
        <f t="shared" si="1112"/>
        <v>M0</v>
      </c>
      <c r="AIV26" s="6" t="str">
        <f t="shared" si="1112"/>
        <v>M0</v>
      </c>
      <c r="AIW26" s="6" t="str">
        <f t="shared" si="1112"/>
        <v>M0</v>
      </c>
      <c r="AIX26" s="6" t="str">
        <f t="shared" si="1112"/>
        <v>M0</v>
      </c>
      <c r="AIY26" s="6" t="str">
        <f t="shared" si="1112"/>
        <v>M0</v>
      </c>
      <c r="AIZ26" s="6" t="str">
        <f t="shared" si="1112"/>
        <v>M0</v>
      </c>
      <c r="AJA26" s="6" t="str">
        <f t="shared" si="1112"/>
        <v>M0</v>
      </c>
      <c r="AJB26" s="6" t="str">
        <f t="shared" si="1112"/>
        <v>M0</v>
      </c>
      <c r="AJC26" s="6" t="str">
        <f t="shared" si="1112"/>
        <v>M0</v>
      </c>
      <c r="AJD26" s="6" t="str">
        <f t="shared" si="1112"/>
        <v>M0</v>
      </c>
      <c r="AJE26" s="6" t="str">
        <f t="shared" si="1112"/>
        <v>M0</v>
      </c>
      <c r="AJF26" s="6" t="str">
        <f t="shared" si="1112"/>
        <v>M0</v>
      </c>
      <c r="AJG26" s="6" t="str">
        <f t="shared" si="1112"/>
        <v>M0</v>
      </c>
      <c r="AJH26" s="6" t="str">
        <f t="shared" si="1112"/>
        <v>M0</v>
      </c>
      <c r="AJI26" s="6" t="str">
        <f t="shared" si="1112"/>
        <v>M0</v>
      </c>
      <c r="AJJ26" s="6" t="str">
        <f t="shared" si="1112"/>
        <v>M0</v>
      </c>
      <c r="AJK26" s="6" t="str">
        <f t="shared" si="1112"/>
        <v>M0</v>
      </c>
      <c r="AJL26" s="6" t="str">
        <f t="shared" si="1112"/>
        <v>M0</v>
      </c>
      <c r="AJM26" s="6" t="str">
        <f t="shared" si="1112"/>
        <v>M0</v>
      </c>
      <c r="AJN26" s="6" t="str">
        <f t="shared" si="1112"/>
        <v>M0</v>
      </c>
      <c r="AJO26" s="6" t="str">
        <f t="shared" si="1112"/>
        <v>M0</v>
      </c>
      <c r="AJP26" s="6" t="str">
        <f t="shared" si="1112"/>
        <v>M0</v>
      </c>
      <c r="AJQ26" s="6" t="str">
        <f t="shared" si="1112"/>
        <v>M0</v>
      </c>
      <c r="AJR26" s="6" t="str">
        <f t="shared" si="1112"/>
        <v>M0</v>
      </c>
      <c r="AJS26" s="6" t="str">
        <f t="shared" si="1112"/>
        <v>M0</v>
      </c>
      <c r="AJT26" s="6" t="str">
        <f t="shared" si="1112"/>
        <v>M0</v>
      </c>
      <c r="AJU26" s="6" t="str">
        <f t="shared" si="1112"/>
        <v>M0</v>
      </c>
      <c r="AJV26" s="6" t="str">
        <f t="shared" si="1112"/>
        <v>M0</v>
      </c>
      <c r="AJW26" s="6" t="str">
        <f t="shared" si="1112"/>
        <v>M0</v>
      </c>
      <c r="AJX26" s="6" t="str">
        <f t="shared" si="1112"/>
        <v>M0</v>
      </c>
      <c r="AJY26" s="6" t="str">
        <f t="shared" si="1112"/>
        <v>M0</v>
      </c>
      <c r="AJZ26" s="6" t="str">
        <f t="shared" si="1112"/>
        <v>M0</v>
      </c>
      <c r="AKA26" s="6" t="str">
        <f t="shared" si="1112"/>
        <v>M0</v>
      </c>
      <c r="AKB26" s="6" t="str">
        <f t="shared" si="1112"/>
        <v>M0</v>
      </c>
      <c r="AKC26" s="6" t="str">
        <f t="shared" ref="AKC26:ALW26" si="1113">IF(AKC$27="M0","M0", IF(AKC$28="M1","M1", IF(AKC$29="M2","M2", IF(AKC$30="M3","M3", IF(AKC$31="M4","M4", IF(AKC$32="M5","M5", "!"))))))</f>
        <v>M0</v>
      </c>
      <c r="AKD26" s="6" t="str">
        <f t="shared" si="1113"/>
        <v>M0</v>
      </c>
      <c r="AKE26" s="6" t="str">
        <f t="shared" si="1113"/>
        <v>M0</v>
      </c>
      <c r="AKF26" s="6" t="str">
        <f t="shared" si="1113"/>
        <v>M0</v>
      </c>
      <c r="AKG26" s="6" t="str">
        <f t="shared" si="1113"/>
        <v>M0</v>
      </c>
      <c r="AKH26" s="6" t="str">
        <f t="shared" si="1113"/>
        <v>M0</v>
      </c>
      <c r="AKI26" s="6" t="str">
        <f t="shared" si="1113"/>
        <v>M0</v>
      </c>
      <c r="AKJ26" s="6" t="str">
        <f t="shared" si="1113"/>
        <v>M0</v>
      </c>
      <c r="AKK26" s="6" t="str">
        <f t="shared" si="1113"/>
        <v>M0</v>
      </c>
      <c r="AKL26" s="6" t="str">
        <f t="shared" si="1113"/>
        <v>M0</v>
      </c>
      <c r="AKM26" s="6" t="str">
        <f t="shared" si="1113"/>
        <v>M0</v>
      </c>
      <c r="AKN26" s="6" t="str">
        <f t="shared" si="1113"/>
        <v>M0</v>
      </c>
      <c r="AKO26" s="6" t="str">
        <f t="shared" si="1113"/>
        <v>M0</v>
      </c>
      <c r="AKP26" s="6" t="str">
        <f t="shared" si="1113"/>
        <v>M0</v>
      </c>
      <c r="AKQ26" s="6" t="str">
        <f t="shared" si="1113"/>
        <v>M0</v>
      </c>
      <c r="AKR26" s="6" t="str">
        <f t="shared" si="1113"/>
        <v>M0</v>
      </c>
      <c r="AKS26" s="6" t="str">
        <f t="shared" si="1113"/>
        <v>M0</v>
      </c>
      <c r="AKT26" s="6" t="str">
        <f t="shared" si="1113"/>
        <v>M0</v>
      </c>
      <c r="AKU26" s="6" t="str">
        <f t="shared" si="1113"/>
        <v>M0</v>
      </c>
      <c r="AKV26" s="6" t="str">
        <f t="shared" si="1113"/>
        <v>M0</v>
      </c>
      <c r="AKW26" s="6" t="str">
        <f t="shared" si="1113"/>
        <v>M0</v>
      </c>
      <c r="AKX26" s="6" t="str">
        <f t="shared" si="1113"/>
        <v>M0</v>
      </c>
      <c r="AKY26" s="6" t="str">
        <f t="shared" si="1113"/>
        <v>M0</v>
      </c>
      <c r="AKZ26" s="6" t="str">
        <f t="shared" si="1113"/>
        <v>M0</v>
      </c>
      <c r="ALA26" s="6" t="str">
        <f t="shared" si="1113"/>
        <v>M0</v>
      </c>
      <c r="ALB26" s="6" t="str">
        <f t="shared" si="1113"/>
        <v>M0</v>
      </c>
      <c r="ALC26" s="6" t="str">
        <f t="shared" si="1113"/>
        <v>M0</v>
      </c>
      <c r="ALD26" s="6" t="str">
        <f t="shared" si="1113"/>
        <v>M0</v>
      </c>
      <c r="ALE26" s="6" t="str">
        <f t="shared" si="1113"/>
        <v>M0</v>
      </c>
      <c r="ALF26" s="6" t="str">
        <f t="shared" si="1113"/>
        <v>M0</v>
      </c>
      <c r="ALG26" s="6" t="str">
        <f t="shared" si="1113"/>
        <v>M0</v>
      </c>
      <c r="ALH26" s="6" t="str">
        <f t="shared" si="1113"/>
        <v>M0</v>
      </c>
      <c r="ALI26" s="6" t="str">
        <f t="shared" si="1113"/>
        <v>M0</v>
      </c>
      <c r="ALJ26" s="6" t="str">
        <f t="shared" si="1113"/>
        <v>M0</v>
      </c>
      <c r="ALK26" s="6" t="str">
        <f t="shared" si="1113"/>
        <v>M0</v>
      </c>
      <c r="ALL26" s="6" t="str">
        <f t="shared" si="1113"/>
        <v>M0</v>
      </c>
      <c r="ALM26" s="6" t="str">
        <f t="shared" si="1113"/>
        <v>M0</v>
      </c>
      <c r="ALN26" s="6" t="str">
        <f t="shared" si="1113"/>
        <v>M0</v>
      </c>
      <c r="ALO26" s="6" t="str">
        <f t="shared" si="1113"/>
        <v>M0</v>
      </c>
      <c r="ALP26" s="6" t="str">
        <f t="shared" si="1113"/>
        <v>M0</v>
      </c>
      <c r="ALQ26" s="6" t="str">
        <f t="shared" si="1113"/>
        <v>M0</v>
      </c>
      <c r="ALR26" s="6" t="str">
        <f t="shared" si="1113"/>
        <v>M0</v>
      </c>
      <c r="ALS26" s="6" t="str">
        <f t="shared" si="1113"/>
        <v>M0</v>
      </c>
      <c r="ALT26" s="6" t="str">
        <f t="shared" si="1113"/>
        <v>M0</v>
      </c>
      <c r="ALU26" s="6" t="str">
        <f t="shared" si="1113"/>
        <v>M0</v>
      </c>
      <c r="ALV26" s="6" t="str">
        <f t="shared" si="1113"/>
        <v>M0</v>
      </c>
      <c r="ALW26" s="6" t="str">
        <f t="shared" si="1113"/>
        <v>M0</v>
      </c>
    </row>
    <row r="27" spans="2:1011" outlineLevel="1" x14ac:dyDescent="0.25">
      <c r="B27" s="7"/>
      <c r="C27" s="5" t="s">
        <v>6</v>
      </c>
      <c r="D27" s="6" t="str">
        <f>IF(OR(D$28="M1", D29="M2",D30="M3",D31="M4",D32="M5"),"", "M0")</f>
        <v>M0</v>
      </c>
      <c r="E27" s="6" t="str">
        <f t="shared" ref="E27:BP27" si="1114">IF(OR(E$28="M1", E29="M2",E30="M3",E31="M4",E32="M5"),"", "M0")</f>
        <v>M0</v>
      </c>
      <c r="F27" s="6" t="str">
        <f t="shared" si="1114"/>
        <v>M0</v>
      </c>
      <c r="G27" s="6" t="str">
        <f t="shared" si="1114"/>
        <v>M0</v>
      </c>
      <c r="H27" s="6" t="str">
        <f t="shared" si="1114"/>
        <v>M0</v>
      </c>
      <c r="I27" s="6" t="str">
        <f t="shared" si="1114"/>
        <v>M0</v>
      </c>
      <c r="J27" s="6" t="str">
        <f t="shared" si="1114"/>
        <v>M0</v>
      </c>
      <c r="K27" s="6" t="str">
        <f t="shared" si="1114"/>
        <v>M0</v>
      </c>
      <c r="L27" s="6" t="str">
        <f t="shared" si="1114"/>
        <v>M0</v>
      </c>
      <c r="M27" s="6" t="str">
        <f t="shared" si="1114"/>
        <v>M0</v>
      </c>
      <c r="N27" s="6" t="str">
        <f t="shared" si="1114"/>
        <v>M0</v>
      </c>
      <c r="O27" s="6" t="str">
        <f t="shared" si="1114"/>
        <v>M0</v>
      </c>
      <c r="P27" s="6" t="str">
        <f t="shared" si="1114"/>
        <v>M0</v>
      </c>
      <c r="Q27" s="6" t="str">
        <f t="shared" si="1114"/>
        <v>M0</v>
      </c>
      <c r="R27" s="6" t="str">
        <f t="shared" si="1114"/>
        <v>M0</v>
      </c>
      <c r="S27" s="6" t="str">
        <f t="shared" si="1114"/>
        <v>M0</v>
      </c>
      <c r="T27" s="6" t="str">
        <f t="shared" si="1114"/>
        <v>M0</v>
      </c>
      <c r="U27" s="6" t="str">
        <f t="shared" si="1114"/>
        <v>M0</v>
      </c>
      <c r="V27" s="6" t="str">
        <f t="shared" si="1114"/>
        <v>M0</v>
      </c>
      <c r="W27" s="6" t="str">
        <f t="shared" si="1114"/>
        <v>M0</v>
      </c>
      <c r="X27" s="6" t="str">
        <f t="shared" si="1114"/>
        <v>M0</v>
      </c>
      <c r="Y27" s="6" t="str">
        <f t="shared" si="1114"/>
        <v>M0</v>
      </c>
      <c r="Z27" s="6" t="str">
        <f t="shared" si="1114"/>
        <v>M0</v>
      </c>
      <c r="AA27" s="6" t="str">
        <f t="shared" si="1114"/>
        <v>M0</v>
      </c>
      <c r="AB27" s="6" t="str">
        <f t="shared" si="1114"/>
        <v>M0</v>
      </c>
      <c r="AC27" s="6" t="str">
        <f t="shared" si="1114"/>
        <v>M0</v>
      </c>
      <c r="AD27" s="6" t="str">
        <f t="shared" si="1114"/>
        <v>M0</v>
      </c>
      <c r="AE27" s="6" t="str">
        <f t="shared" si="1114"/>
        <v>M0</v>
      </c>
      <c r="AF27" s="6" t="str">
        <f t="shared" si="1114"/>
        <v>M0</v>
      </c>
      <c r="AG27" s="6" t="str">
        <f t="shared" si="1114"/>
        <v>M0</v>
      </c>
      <c r="AH27" s="6" t="str">
        <f t="shared" si="1114"/>
        <v>M0</v>
      </c>
      <c r="AI27" s="6" t="str">
        <f t="shared" si="1114"/>
        <v>M0</v>
      </c>
      <c r="AJ27" s="6" t="str">
        <f t="shared" si="1114"/>
        <v>M0</v>
      </c>
      <c r="AK27" s="6" t="str">
        <f t="shared" si="1114"/>
        <v>M0</v>
      </c>
      <c r="AL27" s="6" t="str">
        <f t="shared" si="1114"/>
        <v>M0</v>
      </c>
      <c r="AM27" s="6" t="str">
        <f t="shared" si="1114"/>
        <v>M0</v>
      </c>
      <c r="AN27" s="6" t="str">
        <f t="shared" si="1114"/>
        <v>M0</v>
      </c>
      <c r="AO27" s="6" t="str">
        <f t="shared" si="1114"/>
        <v>M0</v>
      </c>
      <c r="AP27" s="6" t="str">
        <f t="shared" si="1114"/>
        <v>M0</v>
      </c>
      <c r="AQ27" s="6" t="str">
        <f t="shared" si="1114"/>
        <v>M0</v>
      </c>
      <c r="AR27" s="6" t="str">
        <f t="shared" si="1114"/>
        <v>M0</v>
      </c>
      <c r="AS27" s="6" t="str">
        <f t="shared" si="1114"/>
        <v>M0</v>
      </c>
      <c r="AT27" s="6" t="str">
        <f t="shared" si="1114"/>
        <v>M0</v>
      </c>
      <c r="AU27" s="6" t="str">
        <f t="shared" si="1114"/>
        <v>M0</v>
      </c>
      <c r="AV27" s="6" t="str">
        <f t="shared" si="1114"/>
        <v>M0</v>
      </c>
      <c r="AW27" s="6" t="str">
        <f t="shared" si="1114"/>
        <v>M0</v>
      </c>
      <c r="AX27" s="6" t="str">
        <f t="shared" si="1114"/>
        <v>M0</v>
      </c>
      <c r="AY27" s="6" t="str">
        <f t="shared" si="1114"/>
        <v>M0</v>
      </c>
      <c r="AZ27" s="6" t="str">
        <f t="shared" si="1114"/>
        <v>M0</v>
      </c>
      <c r="BA27" s="6" t="str">
        <f t="shared" si="1114"/>
        <v>M0</v>
      </c>
      <c r="BB27" s="6" t="str">
        <f t="shared" si="1114"/>
        <v>M0</v>
      </c>
      <c r="BC27" s="6" t="str">
        <f t="shared" si="1114"/>
        <v>M0</v>
      </c>
      <c r="BD27" s="6" t="str">
        <f t="shared" si="1114"/>
        <v>M0</v>
      </c>
      <c r="BE27" s="6" t="str">
        <f t="shared" si="1114"/>
        <v>M0</v>
      </c>
      <c r="BF27" s="6" t="str">
        <f t="shared" si="1114"/>
        <v>M0</v>
      </c>
      <c r="BG27" s="6" t="str">
        <f t="shared" si="1114"/>
        <v>M0</v>
      </c>
      <c r="BH27" s="6" t="str">
        <f t="shared" si="1114"/>
        <v>M0</v>
      </c>
      <c r="BI27" s="6" t="str">
        <f t="shared" si="1114"/>
        <v>M0</v>
      </c>
      <c r="BJ27" s="6" t="str">
        <f t="shared" si="1114"/>
        <v>M0</v>
      </c>
      <c r="BK27" s="6" t="str">
        <f t="shared" si="1114"/>
        <v>M0</v>
      </c>
      <c r="BL27" s="6" t="str">
        <f t="shared" si="1114"/>
        <v>M0</v>
      </c>
      <c r="BM27" s="6" t="str">
        <f t="shared" si="1114"/>
        <v>M0</v>
      </c>
      <c r="BN27" s="6" t="str">
        <f t="shared" si="1114"/>
        <v>M0</v>
      </c>
      <c r="BO27" s="6" t="str">
        <f t="shared" si="1114"/>
        <v>M0</v>
      </c>
      <c r="BP27" s="6" t="str">
        <f t="shared" si="1114"/>
        <v>M0</v>
      </c>
      <c r="BQ27" s="6" t="str">
        <f t="shared" ref="BQ27:EB27" si="1115">IF(OR(BQ$28="M1", BQ29="M2",BQ30="M3",BQ31="M4",BQ32="M5"),"", "M0")</f>
        <v>M0</v>
      </c>
      <c r="BR27" s="6" t="str">
        <f t="shared" si="1115"/>
        <v>M0</v>
      </c>
      <c r="BS27" s="6" t="str">
        <f t="shared" si="1115"/>
        <v>M0</v>
      </c>
      <c r="BT27" s="6" t="str">
        <f t="shared" si="1115"/>
        <v>M0</v>
      </c>
      <c r="BU27" s="6" t="str">
        <f t="shared" si="1115"/>
        <v>M0</v>
      </c>
      <c r="BV27" s="6" t="str">
        <f t="shared" si="1115"/>
        <v>M0</v>
      </c>
      <c r="BW27" s="6" t="str">
        <f t="shared" si="1115"/>
        <v>M0</v>
      </c>
      <c r="BX27" s="6" t="str">
        <f t="shared" si="1115"/>
        <v>M0</v>
      </c>
      <c r="BY27" s="6" t="str">
        <f t="shared" si="1115"/>
        <v>M0</v>
      </c>
      <c r="BZ27" s="6" t="str">
        <f t="shared" si="1115"/>
        <v>M0</v>
      </c>
      <c r="CA27" s="6" t="str">
        <f t="shared" si="1115"/>
        <v>M0</v>
      </c>
      <c r="CB27" s="6" t="str">
        <f t="shared" si="1115"/>
        <v>M0</v>
      </c>
      <c r="CC27" s="6" t="str">
        <f t="shared" si="1115"/>
        <v>M0</v>
      </c>
      <c r="CD27" s="6" t="str">
        <f t="shared" si="1115"/>
        <v>M0</v>
      </c>
      <c r="CE27" s="6" t="str">
        <f t="shared" si="1115"/>
        <v>M0</v>
      </c>
      <c r="CF27" s="6" t="str">
        <f t="shared" si="1115"/>
        <v>M0</v>
      </c>
      <c r="CG27" s="6" t="str">
        <f t="shared" si="1115"/>
        <v>M0</v>
      </c>
      <c r="CH27" s="6" t="str">
        <f t="shared" si="1115"/>
        <v>M0</v>
      </c>
      <c r="CI27" s="6" t="str">
        <f t="shared" si="1115"/>
        <v>M0</v>
      </c>
      <c r="CJ27" s="6" t="str">
        <f t="shared" si="1115"/>
        <v>M0</v>
      </c>
      <c r="CK27" s="6" t="str">
        <f t="shared" si="1115"/>
        <v>M0</v>
      </c>
      <c r="CL27" s="6" t="str">
        <f t="shared" si="1115"/>
        <v>M0</v>
      </c>
      <c r="CM27" s="6" t="str">
        <f t="shared" si="1115"/>
        <v>M0</v>
      </c>
      <c r="CN27" s="6" t="str">
        <f t="shared" si="1115"/>
        <v>M0</v>
      </c>
      <c r="CO27" s="6" t="str">
        <f t="shared" si="1115"/>
        <v>M0</v>
      </c>
      <c r="CP27" s="6" t="str">
        <f t="shared" si="1115"/>
        <v>M0</v>
      </c>
      <c r="CQ27" s="6" t="str">
        <f t="shared" si="1115"/>
        <v>M0</v>
      </c>
      <c r="CR27" s="6" t="str">
        <f t="shared" si="1115"/>
        <v>M0</v>
      </c>
      <c r="CS27" s="6" t="str">
        <f t="shared" si="1115"/>
        <v>M0</v>
      </c>
      <c r="CT27" s="6" t="str">
        <f t="shared" si="1115"/>
        <v>M0</v>
      </c>
      <c r="CU27" s="6" t="str">
        <f t="shared" si="1115"/>
        <v>M0</v>
      </c>
      <c r="CV27" s="6" t="str">
        <f t="shared" si="1115"/>
        <v>M0</v>
      </c>
      <c r="CW27" s="6" t="str">
        <f t="shared" si="1115"/>
        <v>M0</v>
      </c>
      <c r="CX27" s="6" t="str">
        <f t="shared" si="1115"/>
        <v>M0</v>
      </c>
      <c r="CY27" s="6" t="str">
        <f t="shared" si="1115"/>
        <v>M0</v>
      </c>
      <c r="CZ27" s="6" t="str">
        <f t="shared" si="1115"/>
        <v>M0</v>
      </c>
      <c r="DA27" s="6" t="str">
        <f t="shared" si="1115"/>
        <v>M0</v>
      </c>
      <c r="DB27" s="6" t="str">
        <f t="shared" si="1115"/>
        <v>M0</v>
      </c>
      <c r="DC27" s="6" t="str">
        <f t="shared" si="1115"/>
        <v>M0</v>
      </c>
      <c r="DD27" s="6" t="str">
        <f t="shared" si="1115"/>
        <v>M0</v>
      </c>
      <c r="DE27" s="6" t="str">
        <f t="shared" si="1115"/>
        <v>M0</v>
      </c>
      <c r="DF27" s="6" t="str">
        <f t="shared" si="1115"/>
        <v>M0</v>
      </c>
      <c r="DG27" s="6" t="str">
        <f t="shared" si="1115"/>
        <v>M0</v>
      </c>
      <c r="DH27" s="6" t="str">
        <f t="shared" si="1115"/>
        <v>M0</v>
      </c>
      <c r="DI27" s="6" t="str">
        <f t="shared" si="1115"/>
        <v>M0</v>
      </c>
      <c r="DJ27" s="6" t="str">
        <f t="shared" si="1115"/>
        <v>M0</v>
      </c>
      <c r="DK27" s="6" t="str">
        <f t="shared" si="1115"/>
        <v>M0</v>
      </c>
      <c r="DL27" s="6" t="str">
        <f t="shared" si="1115"/>
        <v>M0</v>
      </c>
      <c r="DM27" s="6" t="str">
        <f t="shared" si="1115"/>
        <v>M0</v>
      </c>
      <c r="DN27" s="6" t="str">
        <f t="shared" si="1115"/>
        <v>M0</v>
      </c>
      <c r="DO27" s="6" t="str">
        <f t="shared" si="1115"/>
        <v>M0</v>
      </c>
      <c r="DP27" s="6" t="str">
        <f t="shared" si="1115"/>
        <v>M0</v>
      </c>
      <c r="DQ27" s="6" t="str">
        <f t="shared" si="1115"/>
        <v>M0</v>
      </c>
      <c r="DR27" s="6" t="str">
        <f t="shared" si="1115"/>
        <v>M0</v>
      </c>
      <c r="DS27" s="6" t="str">
        <f t="shared" si="1115"/>
        <v>M0</v>
      </c>
      <c r="DT27" s="6" t="str">
        <f t="shared" si="1115"/>
        <v>M0</v>
      </c>
      <c r="DU27" s="6" t="str">
        <f t="shared" si="1115"/>
        <v>M0</v>
      </c>
      <c r="DV27" s="6" t="str">
        <f t="shared" si="1115"/>
        <v>M0</v>
      </c>
      <c r="DW27" s="6" t="str">
        <f t="shared" si="1115"/>
        <v>M0</v>
      </c>
      <c r="DX27" s="6" t="str">
        <f t="shared" si="1115"/>
        <v>M0</v>
      </c>
      <c r="DY27" s="6" t="str">
        <f t="shared" si="1115"/>
        <v>M0</v>
      </c>
      <c r="DZ27" s="6" t="str">
        <f t="shared" si="1115"/>
        <v>M0</v>
      </c>
      <c r="EA27" s="6" t="str">
        <f t="shared" si="1115"/>
        <v>M0</v>
      </c>
      <c r="EB27" s="6" t="str">
        <f t="shared" si="1115"/>
        <v>M0</v>
      </c>
      <c r="EC27" s="6" t="str">
        <f t="shared" ref="EC27:GN27" si="1116">IF(OR(EC$28="M1", EC29="M2",EC30="M3",EC31="M4",EC32="M5"),"", "M0")</f>
        <v>M0</v>
      </c>
      <c r="ED27" s="6" t="str">
        <f t="shared" si="1116"/>
        <v>M0</v>
      </c>
      <c r="EE27" s="6" t="str">
        <f t="shared" si="1116"/>
        <v>M0</v>
      </c>
      <c r="EF27" s="6" t="str">
        <f t="shared" si="1116"/>
        <v>M0</v>
      </c>
      <c r="EG27" s="6" t="str">
        <f t="shared" si="1116"/>
        <v>M0</v>
      </c>
      <c r="EH27" s="6" t="str">
        <f t="shared" si="1116"/>
        <v>M0</v>
      </c>
      <c r="EI27" s="6" t="str">
        <f t="shared" si="1116"/>
        <v>M0</v>
      </c>
      <c r="EJ27" s="6" t="str">
        <f t="shared" si="1116"/>
        <v>M0</v>
      </c>
      <c r="EK27" s="6" t="str">
        <f t="shared" si="1116"/>
        <v>M0</v>
      </c>
      <c r="EL27" s="6" t="str">
        <f t="shared" si="1116"/>
        <v>M0</v>
      </c>
      <c r="EM27" s="6" t="str">
        <f t="shared" si="1116"/>
        <v>M0</v>
      </c>
      <c r="EN27" s="6" t="str">
        <f t="shared" si="1116"/>
        <v>M0</v>
      </c>
      <c r="EO27" s="6" t="str">
        <f t="shared" si="1116"/>
        <v>M0</v>
      </c>
      <c r="EP27" s="6" t="str">
        <f t="shared" si="1116"/>
        <v>M0</v>
      </c>
      <c r="EQ27" s="6" t="str">
        <f t="shared" si="1116"/>
        <v>M0</v>
      </c>
      <c r="ER27" s="6" t="str">
        <f t="shared" si="1116"/>
        <v/>
      </c>
      <c r="ES27" s="6" t="str">
        <f t="shared" si="1116"/>
        <v/>
      </c>
      <c r="ET27" s="6" t="str">
        <f t="shared" si="1116"/>
        <v/>
      </c>
      <c r="EU27" s="6" t="str">
        <f t="shared" si="1116"/>
        <v/>
      </c>
      <c r="EV27" s="6" t="str">
        <f t="shared" si="1116"/>
        <v/>
      </c>
      <c r="EW27" s="6" t="str">
        <f t="shared" si="1116"/>
        <v/>
      </c>
      <c r="EX27" s="6" t="str">
        <f t="shared" si="1116"/>
        <v/>
      </c>
      <c r="EY27" s="6" t="str">
        <f t="shared" si="1116"/>
        <v/>
      </c>
      <c r="EZ27" s="6" t="str">
        <f t="shared" si="1116"/>
        <v/>
      </c>
      <c r="FA27" s="6" t="str">
        <f t="shared" si="1116"/>
        <v/>
      </c>
      <c r="FB27" s="6" t="str">
        <f t="shared" si="1116"/>
        <v/>
      </c>
      <c r="FC27" s="6" t="str">
        <f t="shared" si="1116"/>
        <v/>
      </c>
      <c r="FD27" s="6" t="str">
        <f t="shared" si="1116"/>
        <v/>
      </c>
      <c r="FE27" s="6" t="str">
        <f t="shared" si="1116"/>
        <v/>
      </c>
      <c r="FF27" s="6" t="str">
        <f t="shared" si="1116"/>
        <v/>
      </c>
      <c r="FG27" s="6" t="str">
        <f t="shared" si="1116"/>
        <v/>
      </c>
      <c r="FH27" s="6" t="str">
        <f t="shared" si="1116"/>
        <v/>
      </c>
      <c r="FI27" s="6" t="str">
        <f t="shared" si="1116"/>
        <v/>
      </c>
      <c r="FJ27" s="6" t="str">
        <f t="shared" si="1116"/>
        <v/>
      </c>
      <c r="FK27" s="6" t="str">
        <f t="shared" si="1116"/>
        <v/>
      </c>
      <c r="FL27" s="6" t="str">
        <f t="shared" si="1116"/>
        <v/>
      </c>
      <c r="FM27" s="6" t="str">
        <f t="shared" si="1116"/>
        <v/>
      </c>
      <c r="FN27" s="6" t="str">
        <f t="shared" si="1116"/>
        <v/>
      </c>
      <c r="FO27" s="6" t="str">
        <f t="shared" si="1116"/>
        <v/>
      </c>
      <c r="FP27" s="6" t="str">
        <f t="shared" si="1116"/>
        <v/>
      </c>
      <c r="FQ27" s="6" t="str">
        <f t="shared" si="1116"/>
        <v/>
      </c>
      <c r="FR27" s="6" t="str">
        <f t="shared" si="1116"/>
        <v/>
      </c>
      <c r="FS27" s="6" t="str">
        <f t="shared" si="1116"/>
        <v/>
      </c>
      <c r="FT27" s="6" t="str">
        <f t="shared" si="1116"/>
        <v/>
      </c>
      <c r="FU27" s="6" t="str">
        <f t="shared" si="1116"/>
        <v/>
      </c>
      <c r="FV27" s="6" t="str">
        <f t="shared" si="1116"/>
        <v/>
      </c>
      <c r="FW27" s="6" t="str">
        <f t="shared" si="1116"/>
        <v/>
      </c>
      <c r="FX27" s="6" t="str">
        <f t="shared" si="1116"/>
        <v/>
      </c>
      <c r="FY27" s="6" t="str">
        <f t="shared" si="1116"/>
        <v/>
      </c>
      <c r="FZ27" s="6" t="str">
        <f t="shared" si="1116"/>
        <v/>
      </c>
      <c r="GA27" s="6" t="str">
        <f t="shared" si="1116"/>
        <v/>
      </c>
      <c r="GB27" s="6" t="str">
        <f t="shared" si="1116"/>
        <v/>
      </c>
      <c r="GC27" s="6" t="str">
        <f t="shared" si="1116"/>
        <v/>
      </c>
      <c r="GD27" s="6" t="str">
        <f t="shared" si="1116"/>
        <v/>
      </c>
      <c r="GE27" s="6" t="str">
        <f t="shared" si="1116"/>
        <v/>
      </c>
      <c r="GF27" s="6" t="str">
        <f t="shared" si="1116"/>
        <v/>
      </c>
      <c r="GG27" s="6" t="str">
        <f t="shared" si="1116"/>
        <v/>
      </c>
      <c r="GH27" s="6" t="str">
        <f t="shared" si="1116"/>
        <v/>
      </c>
      <c r="GI27" s="6" t="str">
        <f t="shared" si="1116"/>
        <v/>
      </c>
      <c r="GJ27" s="6" t="str">
        <f t="shared" si="1116"/>
        <v/>
      </c>
      <c r="GK27" s="6" t="str">
        <f t="shared" si="1116"/>
        <v/>
      </c>
      <c r="GL27" s="6" t="str">
        <f t="shared" si="1116"/>
        <v/>
      </c>
      <c r="GM27" s="6" t="str">
        <f t="shared" si="1116"/>
        <v/>
      </c>
      <c r="GN27" s="6" t="str">
        <f t="shared" si="1116"/>
        <v/>
      </c>
      <c r="GO27" s="6" t="str">
        <f t="shared" ref="GO27:IZ27" si="1117">IF(OR(GO$28="M1", GO29="M2",GO30="M3",GO31="M4",GO32="M5"),"", "M0")</f>
        <v/>
      </c>
      <c r="GP27" s="6" t="str">
        <f t="shared" si="1117"/>
        <v/>
      </c>
      <c r="GQ27" s="6" t="str">
        <f t="shared" si="1117"/>
        <v/>
      </c>
      <c r="GR27" s="6" t="str">
        <f t="shared" si="1117"/>
        <v/>
      </c>
      <c r="GS27" s="6" t="str">
        <f t="shared" si="1117"/>
        <v/>
      </c>
      <c r="GT27" s="6" t="str">
        <f t="shared" si="1117"/>
        <v/>
      </c>
      <c r="GU27" s="6" t="str">
        <f t="shared" si="1117"/>
        <v/>
      </c>
      <c r="GV27" s="6" t="str">
        <f t="shared" si="1117"/>
        <v/>
      </c>
      <c r="GW27" s="6" t="str">
        <f t="shared" si="1117"/>
        <v/>
      </c>
      <c r="GX27" s="6" t="str">
        <f t="shared" si="1117"/>
        <v/>
      </c>
      <c r="GY27" s="6" t="str">
        <f t="shared" si="1117"/>
        <v/>
      </c>
      <c r="GZ27" s="6" t="str">
        <f t="shared" si="1117"/>
        <v/>
      </c>
      <c r="HA27" s="6" t="str">
        <f t="shared" si="1117"/>
        <v/>
      </c>
      <c r="HB27" s="6" t="str">
        <f t="shared" si="1117"/>
        <v/>
      </c>
      <c r="HC27" s="6" t="str">
        <f t="shared" si="1117"/>
        <v/>
      </c>
      <c r="HD27" s="6" t="str">
        <f t="shared" si="1117"/>
        <v/>
      </c>
      <c r="HE27" s="6" t="str">
        <f t="shared" si="1117"/>
        <v/>
      </c>
      <c r="HF27" s="6" t="str">
        <f t="shared" si="1117"/>
        <v/>
      </c>
      <c r="HG27" s="6" t="str">
        <f t="shared" si="1117"/>
        <v/>
      </c>
      <c r="HH27" s="6" t="str">
        <f t="shared" si="1117"/>
        <v/>
      </c>
      <c r="HI27" s="6" t="str">
        <f t="shared" si="1117"/>
        <v/>
      </c>
      <c r="HJ27" s="6" t="str">
        <f t="shared" si="1117"/>
        <v/>
      </c>
      <c r="HK27" s="6" t="str">
        <f t="shared" si="1117"/>
        <v/>
      </c>
      <c r="HL27" s="6" t="str">
        <f t="shared" si="1117"/>
        <v/>
      </c>
      <c r="HM27" s="6" t="str">
        <f t="shared" si="1117"/>
        <v/>
      </c>
      <c r="HN27" s="6" t="str">
        <f t="shared" si="1117"/>
        <v/>
      </c>
      <c r="HO27" s="6" t="str">
        <f t="shared" si="1117"/>
        <v/>
      </c>
      <c r="HP27" s="6" t="str">
        <f t="shared" si="1117"/>
        <v/>
      </c>
      <c r="HQ27" s="6" t="str">
        <f t="shared" si="1117"/>
        <v/>
      </c>
      <c r="HR27" s="6" t="str">
        <f t="shared" si="1117"/>
        <v/>
      </c>
      <c r="HS27" s="6" t="str">
        <f t="shared" si="1117"/>
        <v/>
      </c>
      <c r="HT27" s="6" t="str">
        <f t="shared" si="1117"/>
        <v/>
      </c>
      <c r="HU27" s="6" t="str">
        <f t="shared" si="1117"/>
        <v/>
      </c>
      <c r="HV27" s="6" t="str">
        <f t="shared" si="1117"/>
        <v/>
      </c>
      <c r="HW27" s="6" t="str">
        <f t="shared" si="1117"/>
        <v/>
      </c>
      <c r="HX27" s="6" t="str">
        <f t="shared" si="1117"/>
        <v/>
      </c>
      <c r="HY27" s="6" t="str">
        <f t="shared" si="1117"/>
        <v/>
      </c>
      <c r="HZ27" s="6" t="str">
        <f t="shared" si="1117"/>
        <v/>
      </c>
      <c r="IA27" s="6" t="str">
        <f t="shared" si="1117"/>
        <v/>
      </c>
      <c r="IB27" s="6" t="str">
        <f t="shared" si="1117"/>
        <v/>
      </c>
      <c r="IC27" s="6" t="str">
        <f t="shared" si="1117"/>
        <v/>
      </c>
      <c r="ID27" s="6" t="str">
        <f t="shared" si="1117"/>
        <v/>
      </c>
      <c r="IE27" s="6" t="str">
        <f t="shared" si="1117"/>
        <v/>
      </c>
      <c r="IF27" s="6" t="str">
        <f t="shared" si="1117"/>
        <v/>
      </c>
      <c r="IG27" s="6" t="str">
        <f t="shared" si="1117"/>
        <v/>
      </c>
      <c r="IH27" s="6" t="str">
        <f t="shared" si="1117"/>
        <v/>
      </c>
      <c r="II27" s="6" t="str">
        <f t="shared" si="1117"/>
        <v/>
      </c>
      <c r="IJ27" s="6" t="str">
        <f t="shared" si="1117"/>
        <v/>
      </c>
      <c r="IK27" s="6" t="str">
        <f t="shared" si="1117"/>
        <v/>
      </c>
      <c r="IL27" s="6" t="str">
        <f t="shared" si="1117"/>
        <v/>
      </c>
      <c r="IM27" s="6" t="str">
        <f t="shared" si="1117"/>
        <v/>
      </c>
      <c r="IN27" s="6" t="str">
        <f t="shared" si="1117"/>
        <v/>
      </c>
      <c r="IO27" s="6" t="str">
        <f t="shared" si="1117"/>
        <v/>
      </c>
      <c r="IP27" s="6" t="str">
        <f t="shared" si="1117"/>
        <v/>
      </c>
      <c r="IQ27" s="6" t="str">
        <f t="shared" si="1117"/>
        <v/>
      </c>
      <c r="IR27" s="6" t="str">
        <f t="shared" si="1117"/>
        <v/>
      </c>
      <c r="IS27" s="6" t="str">
        <f t="shared" si="1117"/>
        <v/>
      </c>
      <c r="IT27" s="6" t="str">
        <f t="shared" si="1117"/>
        <v/>
      </c>
      <c r="IU27" s="6" t="str">
        <f t="shared" si="1117"/>
        <v/>
      </c>
      <c r="IV27" s="6" t="str">
        <f t="shared" si="1117"/>
        <v/>
      </c>
      <c r="IW27" s="6" t="str">
        <f t="shared" si="1117"/>
        <v/>
      </c>
      <c r="IX27" s="6" t="str">
        <f t="shared" si="1117"/>
        <v/>
      </c>
      <c r="IY27" s="6" t="str">
        <f t="shared" si="1117"/>
        <v/>
      </c>
      <c r="IZ27" s="6" t="str">
        <f t="shared" si="1117"/>
        <v/>
      </c>
      <c r="JA27" s="6" t="str">
        <f t="shared" ref="JA27:LL27" si="1118">IF(OR(JA$28="M1", JA29="M2",JA30="M3",JA31="M4",JA32="M5"),"", "M0")</f>
        <v/>
      </c>
      <c r="JB27" s="6" t="str">
        <f t="shared" si="1118"/>
        <v/>
      </c>
      <c r="JC27" s="6" t="str">
        <f t="shared" si="1118"/>
        <v/>
      </c>
      <c r="JD27" s="6" t="str">
        <f t="shared" si="1118"/>
        <v/>
      </c>
      <c r="JE27" s="6" t="str">
        <f t="shared" si="1118"/>
        <v/>
      </c>
      <c r="JF27" s="6" t="str">
        <f t="shared" si="1118"/>
        <v/>
      </c>
      <c r="JG27" s="6" t="str">
        <f t="shared" si="1118"/>
        <v/>
      </c>
      <c r="JH27" s="6" t="str">
        <f t="shared" si="1118"/>
        <v/>
      </c>
      <c r="JI27" s="6" t="str">
        <f t="shared" si="1118"/>
        <v/>
      </c>
      <c r="JJ27" s="6" t="str">
        <f t="shared" si="1118"/>
        <v/>
      </c>
      <c r="JK27" s="6" t="str">
        <f t="shared" si="1118"/>
        <v/>
      </c>
      <c r="JL27" s="6" t="str">
        <f t="shared" si="1118"/>
        <v/>
      </c>
      <c r="JM27" s="6" t="str">
        <f t="shared" si="1118"/>
        <v/>
      </c>
      <c r="JN27" s="6" t="str">
        <f t="shared" si="1118"/>
        <v/>
      </c>
      <c r="JO27" s="6" t="str">
        <f t="shared" si="1118"/>
        <v/>
      </c>
      <c r="JP27" s="6" t="str">
        <f t="shared" si="1118"/>
        <v/>
      </c>
      <c r="JQ27" s="6" t="str">
        <f t="shared" si="1118"/>
        <v/>
      </c>
      <c r="JR27" s="6" t="str">
        <f t="shared" si="1118"/>
        <v/>
      </c>
      <c r="JS27" s="6" t="str">
        <f t="shared" si="1118"/>
        <v/>
      </c>
      <c r="JT27" s="6" t="str">
        <f t="shared" si="1118"/>
        <v/>
      </c>
      <c r="JU27" s="6" t="str">
        <f t="shared" si="1118"/>
        <v/>
      </c>
      <c r="JV27" s="6" t="str">
        <f t="shared" si="1118"/>
        <v/>
      </c>
      <c r="JW27" s="6" t="str">
        <f t="shared" si="1118"/>
        <v/>
      </c>
      <c r="JX27" s="6" t="str">
        <f t="shared" si="1118"/>
        <v/>
      </c>
      <c r="JY27" s="6" t="str">
        <f t="shared" si="1118"/>
        <v/>
      </c>
      <c r="JZ27" s="6" t="str">
        <f t="shared" si="1118"/>
        <v/>
      </c>
      <c r="KA27" s="6" t="str">
        <f t="shared" si="1118"/>
        <v/>
      </c>
      <c r="KB27" s="6" t="str">
        <f t="shared" si="1118"/>
        <v/>
      </c>
      <c r="KC27" s="6" t="str">
        <f t="shared" si="1118"/>
        <v/>
      </c>
      <c r="KD27" s="6" t="str">
        <f t="shared" si="1118"/>
        <v/>
      </c>
      <c r="KE27" s="6" t="str">
        <f t="shared" si="1118"/>
        <v/>
      </c>
      <c r="KF27" s="6" t="str">
        <f t="shared" si="1118"/>
        <v>M0</v>
      </c>
      <c r="KG27" s="6" t="str">
        <f t="shared" si="1118"/>
        <v>M0</v>
      </c>
      <c r="KH27" s="6" t="str">
        <f t="shared" si="1118"/>
        <v>M0</v>
      </c>
      <c r="KI27" s="6" t="str">
        <f t="shared" si="1118"/>
        <v>M0</v>
      </c>
      <c r="KJ27" s="6" t="str">
        <f t="shared" si="1118"/>
        <v>M0</v>
      </c>
      <c r="KK27" s="6" t="str">
        <f t="shared" si="1118"/>
        <v>M0</v>
      </c>
      <c r="KL27" s="6" t="str">
        <f t="shared" si="1118"/>
        <v>M0</v>
      </c>
      <c r="KM27" s="6" t="str">
        <f t="shared" si="1118"/>
        <v>M0</v>
      </c>
      <c r="KN27" s="6" t="str">
        <f t="shared" si="1118"/>
        <v>M0</v>
      </c>
      <c r="KO27" s="6" t="str">
        <f t="shared" si="1118"/>
        <v>M0</v>
      </c>
      <c r="KP27" s="6" t="str">
        <f t="shared" si="1118"/>
        <v>M0</v>
      </c>
      <c r="KQ27" s="6" t="str">
        <f t="shared" si="1118"/>
        <v>M0</v>
      </c>
      <c r="KR27" s="6" t="str">
        <f t="shared" si="1118"/>
        <v>M0</v>
      </c>
      <c r="KS27" s="6" t="str">
        <f t="shared" si="1118"/>
        <v>M0</v>
      </c>
      <c r="KT27" s="6" t="str">
        <f t="shared" si="1118"/>
        <v>M0</v>
      </c>
      <c r="KU27" s="6" t="str">
        <f t="shared" si="1118"/>
        <v>M0</v>
      </c>
      <c r="KV27" s="6" t="str">
        <f t="shared" si="1118"/>
        <v>M0</v>
      </c>
      <c r="KW27" s="6" t="str">
        <f t="shared" si="1118"/>
        <v>M0</v>
      </c>
      <c r="KX27" s="6" t="str">
        <f t="shared" si="1118"/>
        <v>M0</v>
      </c>
      <c r="KY27" s="6" t="str">
        <f t="shared" si="1118"/>
        <v>M0</v>
      </c>
      <c r="KZ27" s="6" t="str">
        <f t="shared" si="1118"/>
        <v>M0</v>
      </c>
      <c r="LA27" s="6" t="str">
        <f t="shared" si="1118"/>
        <v>M0</v>
      </c>
      <c r="LB27" s="6" t="str">
        <f t="shared" si="1118"/>
        <v>M0</v>
      </c>
      <c r="LC27" s="6" t="str">
        <f t="shared" si="1118"/>
        <v>M0</v>
      </c>
      <c r="LD27" s="6" t="str">
        <f t="shared" si="1118"/>
        <v>M0</v>
      </c>
      <c r="LE27" s="6" t="str">
        <f t="shared" si="1118"/>
        <v>M0</v>
      </c>
      <c r="LF27" s="6" t="str">
        <f t="shared" si="1118"/>
        <v>M0</v>
      </c>
      <c r="LG27" s="6" t="str">
        <f t="shared" si="1118"/>
        <v>M0</v>
      </c>
      <c r="LH27" s="6" t="str">
        <f t="shared" si="1118"/>
        <v>M0</v>
      </c>
      <c r="LI27" s="6" t="str">
        <f t="shared" si="1118"/>
        <v>M0</v>
      </c>
      <c r="LJ27" s="6" t="str">
        <f t="shared" si="1118"/>
        <v>M0</v>
      </c>
      <c r="LK27" s="6" t="str">
        <f t="shared" si="1118"/>
        <v>M0</v>
      </c>
      <c r="LL27" s="6" t="str">
        <f t="shared" si="1118"/>
        <v>M0</v>
      </c>
      <c r="LM27" s="6" t="str">
        <f t="shared" ref="LM27:NX27" si="1119">IF(OR(LM$28="M1", LM29="M2",LM30="M3",LM31="M4",LM32="M5"),"", "M0")</f>
        <v>M0</v>
      </c>
      <c r="LN27" s="6" t="str">
        <f t="shared" si="1119"/>
        <v>M0</v>
      </c>
      <c r="LO27" s="6" t="str">
        <f t="shared" si="1119"/>
        <v>M0</v>
      </c>
      <c r="LP27" s="6" t="str">
        <f t="shared" si="1119"/>
        <v>M0</v>
      </c>
      <c r="LQ27" s="6" t="str">
        <f t="shared" si="1119"/>
        <v>M0</v>
      </c>
      <c r="LR27" s="6" t="str">
        <f t="shared" si="1119"/>
        <v>M0</v>
      </c>
      <c r="LS27" s="6" t="str">
        <f t="shared" si="1119"/>
        <v>M0</v>
      </c>
      <c r="LT27" s="6" t="str">
        <f t="shared" si="1119"/>
        <v>M0</v>
      </c>
      <c r="LU27" s="6" t="str">
        <f t="shared" si="1119"/>
        <v>M0</v>
      </c>
      <c r="LV27" s="6" t="str">
        <f t="shared" si="1119"/>
        <v>M0</v>
      </c>
      <c r="LW27" s="6" t="str">
        <f t="shared" si="1119"/>
        <v>M0</v>
      </c>
      <c r="LX27" s="6" t="str">
        <f t="shared" si="1119"/>
        <v>M0</v>
      </c>
      <c r="LY27" s="6" t="str">
        <f t="shared" si="1119"/>
        <v>M0</v>
      </c>
      <c r="LZ27" s="6" t="str">
        <f t="shared" si="1119"/>
        <v>M0</v>
      </c>
      <c r="MA27" s="6" t="str">
        <f t="shared" si="1119"/>
        <v>M0</v>
      </c>
      <c r="MB27" s="6" t="str">
        <f t="shared" si="1119"/>
        <v>M0</v>
      </c>
      <c r="MC27" s="6" t="str">
        <f t="shared" si="1119"/>
        <v>M0</v>
      </c>
      <c r="MD27" s="6" t="str">
        <f t="shared" si="1119"/>
        <v>M0</v>
      </c>
      <c r="ME27" s="6" t="str">
        <f t="shared" si="1119"/>
        <v>M0</v>
      </c>
      <c r="MF27" s="6" t="str">
        <f t="shared" si="1119"/>
        <v>M0</v>
      </c>
      <c r="MG27" s="6" t="str">
        <f t="shared" si="1119"/>
        <v>M0</v>
      </c>
      <c r="MH27" s="6" t="str">
        <f t="shared" si="1119"/>
        <v>M0</v>
      </c>
      <c r="MI27" s="6" t="str">
        <f t="shared" si="1119"/>
        <v>M0</v>
      </c>
      <c r="MJ27" s="6" t="str">
        <f t="shared" si="1119"/>
        <v>M0</v>
      </c>
      <c r="MK27" s="6" t="str">
        <f t="shared" si="1119"/>
        <v>M0</v>
      </c>
      <c r="ML27" s="6" t="str">
        <f t="shared" si="1119"/>
        <v>M0</v>
      </c>
      <c r="MM27" s="6" t="str">
        <f t="shared" si="1119"/>
        <v>M0</v>
      </c>
      <c r="MN27" s="6" t="str">
        <f t="shared" si="1119"/>
        <v>M0</v>
      </c>
      <c r="MO27" s="6" t="str">
        <f t="shared" si="1119"/>
        <v>M0</v>
      </c>
      <c r="MP27" s="6" t="str">
        <f t="shared" si="1119"/>
        <v>M0</v>
      </c>
      <c r="MQ27" s="6" t="str">
        <f t="shared" si="1119"/>
        <v>M0</v>
      </c>
      <c r="MR27" s="6" t="str">
        <f t="shared" si="1119"/>
        <v>M0</v>
      </c>
      <c r="MS27" s="6" t="str">
        <f t="shared" si="1119"/>
        <v>M0</v>
      </c>
      <c r="MT27" s="6" t="str">
        <f t="shared" si="1119"/>
        <v>M0</v>
      </c>
      <c r="MU27" s="6" t="str">
        <f t="shared" si="1119"/>
        <v>M0</v>
      </c>
      <c r="MV27" s="6" t="str">
        <f t="shared" si="1119"/>
        <v>M0</v>
      </c>
      <c r="MW27" s="6" t="str">
        <f t="shared" si="1119"/>
        <v>M0</v>
      </c>
      <c r="MX27" s="6" t="str">
        <f t="shared" si="1119"/>
        <v>M0</v>
      </c>
      <c r="MY27" s="6" t="str">
        <f t="shared" si="1119"/>
        <v>M0</v>
      </c>
      <c r="MZ27" s="6" t="str">
        <f t="shared" si="1119"/>
        <v>M0</v>
      </c>
      <c r="NA27" s="6" t="str">
        <f t="shared" si="1119"/>
        <v>M0</v>
      </c>
      <c r="NB27" s="6" t="str">
        <f t="shared" si="1119"/>
        <v>M0</v>
      </c>
      <c r="NC27" s="6" t="str">
        <f t="shared" si="1119"/>
        <v>M0</v>
      </c>
      <c r="ND27" s="6" t="str">
        <f t="shared" si="1119"/>
        <v>M0</v>
      </c>
      <c r="NE27" s="6" t="str">
        <f t="shared" si="1119"/>
        <v>M0</v>
      </c>
      <c r="NF27" s="6" t="str">
        <f t="shared" si="1119"/>
        <v>M0</v>
      </c>
      <c r="NG27" s="6" t="str">
        <f t="shared" si="1119"/>
        <v>M0</v>
      </c>
      <c r="NH27" s="6" t="str">
        <f t="shared" si="1119"/>
        <v>M0</v>
      </c>
      <c r="NI27" s="6" t="str">
        <f t="shared" si="1119"/>
        <v>M0</v>
      </c>
      <c r="NJ27" s="6" t="str">
        <f t="shared" si="1119"/>
        <v>M0</v>
      </c>
      <c r="NK27" s="6" t="str">
        <f t="shared" si="1119"/>
        <v>M0</v>
      </c>
      <c r="NL27" s="6" t="str">
        <f t="shared" si="1119"/>
        <v>M0</v>
      </c>
      <c r="NM27" s="6" t="str">
        <f t="shared" si="1119"/>
        <v>M0</v>
      </c>
      <c r="NN27" s="6" t="str">
        <f t="shared" si="1119"/>
        <v>M0</v>
      </c>
      <c r="NO27" s="6" t="str">
        <f t="shared" si="1119"/>
        <v>M0</v>
      </c>
      <c r="NP27" s="6" t="str">
        <f t="shared" si="1119"/>
        <v>M0</v>
      </c>
      <c r="NQ27" s="6" t="str">
        <f t="shared" si="1119"/>
        <v>M0</v>
      </c>
      <c r="NR27" s="6" t="str">
        <f t="shared" si="1119"/>
        <v>M0</v>
      </c>
      <c r="NS27" s="6" t="str">
        <f t="shared" si="1119"/>
        <v>M0</v>
      </c>
      <c r="NT27" s="6" t="str">
        <f t="shared" si="1119"/>
        <v>M0</v>
      </c>
      <c r="NU27" s="6" t="str">
        <f t="shared" si="1119"/>
        <v>M0</v>
      </c>
      <c r="NV27" s="6" t="str">
        <f t="shared" si="1119"/>
        <v>M0</v>
      </c>
      <c r="NW27" s="6" t="str">
        <f t="shared" si="1119"/>
        <v>M0</v>
      </c>
      <c r="NX27" s="6" t="str">
        <f t="shared" si="1119"/>
        <v>M0</v>
      </c>
      <c r="NY27" s="6" t="str">
        <f t="shared" ref="NY27:QJ27" si="1120">IF(OR(NY$28="M1", NY29="M2",NY30="M3",NY31="M4",NY32="M5"),"", "M0")</f>
        <v>M0</v>
      </c>
      <c r="NZ27" s="6" t="str">
        <f t="shared" si="1120"/>
        <v>M0</v>
      </c>
      <c r="OA27" s="6" t="str">
        <f t="shared" si="1120"/>
        <v>M0</v>
      </c>
      <c r="OB27" s="6" t="str">
        <f t="shared" si="1120"/>
        <v>M0</v>
      </c>
      <c r="OC27" s="6" t="str">
        <f t="shared" si="1120"/>
        <v>M0</v>
      </c>
      <c r="OD27" s="6" t="str">
        <f t="shared" si="1120"/>
        <v>M0</v>
      </c>
      <c r="OE27" s="6" t="str">
        <f t="shared" si="1120"/>
        <v>M0</v>
      </c>
      <c r="OF27" s="6" t="str">
        <f t="shared" si="1120"/>
        <v>M0</v>
      </c>
      <c r="OG27" s="6" t="str">
        <f t="shared" si="1120"/>
        <v>M0</v>
      </c>
      <c r="OH27" s="6" t="str">
        <f t="shared" si="1120"/>
        <v>M0</v>
      </c>
      <c r="OI27" s="6" t="str">
        <f t="shared" si="1120"/>
        <v>M0</v>
      </c>
      <c r="OJ27" s="6" t="str">
        <f t="shared" si="1120"/>
        <v>M0</v>
      </c>
      <c r="OK27" s="6" t="str">
        <f t="shared" si="1120"/>
        <v>M0</v>
      </c>
      <c r="OL27" s="6" t="str">
        <f t="shared" si="1120"/>
        <v>M0</v>
      </c>
      <c r="OM27" s="6" t="str">
        <f t="shared" si="1120"/>
        <v>M0</v>
      </c>
      <c r="ON27" s="6" t="str">
        <f t="shared" si="1120"/>
        <v>M0</v>
      </c>
      <c r="OO27" s="6" t="str">
        <f t="shared" si="1120"/>
        <v>M0</v>
      </c>
      <c r="OP27" s="6" t="str">
        <f t="shared" si="1120"/>
        <v>M0</v>
      </c>
      <c r="OQ27" s="6" t="str">
        <f t="shared" si="1120"/>
        <v>M0</v>
      </c>
      <c r="OR27" s="6" t="str">
        <f t="shared" si="1120"/>
        <v>M0</v>
      </c>
      <c r="OS27" s="6" t="str">
        <f t="shared" si="1120"/>
        <v>M0</v>
      </c>
      <c r="OT27" s="6" t="str">
        <f t="shared" si="1120"/>
        <v>M0</v>
      </c>
      <c r="OU27" s="6" t="str">
        <f t="shared" si="1120"/>
        <v>M0</v>
      </c>
      <c r="OV27" s="6" t="str">
        <f t="shared" si="1120"/>
        <v>M0</v>
      </c>
      <c r="OW27" s="6" t="str">
        <f t="shared" si="1120"/>
        <v>M0</v>
      </c>
      <c r="OX27" s="6" t="str">
        <f t="shared" si="1120"/>
        <v>M0</v>
      </c>
      <c r="OY27" s="6" t="str">
        <f t="shared" si="1120"/>
        <v>M0</v>
      </c>
      <c r="OZ27" s="6" t="str">
        <f t="shared" si="1120"/>
        <v>M0</v>
      </c>
      <c r="PA27" s="6" t="str">
        <f t="shared" si="1120"/>
        <v>M0</v>
      </c>
      <c r="PB27" s="6" t="str">
        <f t="shared" si="1120"/>
        <v>M0</v>
      </c>
      <c r="PC27" s="6" t="str">
        <f t="shared" si="1120"/>
        <v>M0</v>
      </c>
      <c r="PD27" s="6" t="str">
        <f t="shared" si="1120"/>
        <v>M0</v>
      </c>
      <c r="PE27" s="6" t="str">
        <f t="shared" si="1120"/>
        <v>M0</v>
      </c>
      <c r="PF27" s="6" t="str">
        <f t="shared" si="1120"/>
        <v>M0</v>
      </c>
      <c r="PG27" s="6" t="str">
        <f t="shared" si="1120"/>
        <v>M0</v>
      </c>
      <c r="PH27" s="6" t="str">
        <f t="shared" si="1120"/>
        <v>M0</v>
      </c>
      <c r="PI27" s="6" t="str">
        <f t="shared" si="1120"/>
        <v>M0</v>
      </c>
      <c r="PJ27" s="6" t="str">
        <f t="shared" si="1120"/>
        <v>M0</v>
      </c>
      <c r="PK27" s="6" t="str">
        <f t="shared" si="1120"/>
        <v>M0</v>
      </c>
      <c r="PL27" s="6" t="str">
        <f t="shared" si="1120"/>
        <v>M0</v>
      </c>
      <c r="PM27" s="6" t="str">
        <f t="shared" si="1120"/>
        <v>M0</v>
      </c>
      <c r="PN27" s="6" t="str">
        <f t="shared" si="1120"/>
        <v>M0</v>
      </c>
      <c r="PO27" s="6" t="str">
        <f t="shared" si="1120"/>
        <v>M0</v>
      </c>
      <c r="PP27" s="6" t="str">
        <f t="shared" si="1120"/>
        <v>M0</v>
      </c>
      <c r="PQ27" s="6" t="str">
        <f t="shared" si="1120"/>
        <v>M0</v>
      </c>
      <c r="PR27" s="6" t="str">
        <f t="shared" si="1120"/>
        <v>M0</v>
      </c>
      <c r="PS27" s="6" t="str">
        <f t="shared" si="1120"/>
        <v>M0</v>
      </c>
      <c r="PT27" s="6" t="str">
        <f t="shared" si="1120"/>
        <v>M0</v>
      </c>
      <c r="PU27" s="6" t="str">
        <f t="shared" si="1120"/>
        <v>M0</v>
      </c>
      <c r="PV27" s="6" t="str">
        <f t="shared" si="1120"/>
        <v>M0</v>
      </c>
      <c r="PW27" s="6" t="str">
        <f t="shared" si="1120"/>
        <v>M0</v>
      </c>
      <c r="PX27" s="6" t="str">
        <f t="shared" si="1120"/>
        <v>M0</v>
      </c>
      <c r="PY27" s="6" t="str">
        <f t="shared" si="1120"/>
        <v>M0</v>
      </c>
      <c r="PZ27" s="6" t="str">
        <f t="shared" si="1120"/>
        <v>M0</v>
      </c>
      <c r="QA27" s="6" t="str">
        <f t="shared" si="1120"/>
        <v>M0</v>
      </c>
      <c r="QB27" s="6" t="str">
        <f t="shared" si="1120"/>
        <v>M0</v>
      </c>
      <c r="QC27" s="6" t="str">
        <f t="shared" si="1120"/>
        <v>M0</v>
      </c>
      <c r="QD27" s="6" t="str">
        <f t="shared" si="1120"/>
        <v>M0</v>
      </c>
      <c r="QE27" s="6" t="str">
        <f t="shared" si="1120"/>
        <v>M0</v>
      </c>
      <c r="QF27" s="6" t="str">
        <f t="shared" si="1120"/>
        <v>M0</v>
      </c>
      <c r="QG27" s="6" t="str">
        <f t="shared" si="1120"/>
        <v>M0</v>
      </c>
      <c r="QH27" s="6" t="str">
        <f t="shared" si="1120"/>
        <v>M0</v>
      </c>
      <c r="QI27" s="6" t="str">
        <f t="shared" si="1120"/>
        <v>M0</v>
      </c>
      <c r="QJ27" s="6" t="str">
        <f t="shared" si="1120"/>
        <v>M0</v>
      </c>
      <c r="QK27" s="6" t="str">
        <f t="shared" ref="QK27:SV27" si="1121">IF(OR(QK$28="M1", QK29="M2",QK30="M3",QK31="M4",QK32="M5"),"", "M0")</f>
        <v>M0</v>
      </c>
      <c r="QL27" s="6" t="str">
        <f t="shared" si="1121"/>
        <v>M0</v>
      </c>
      <c r="QM27" s="6" t="str">
        <f t="shared" si="1121"/>
        <v>M0</v>
      </c>
      <c r="QN27" s="6" t="str">
        <f t="shared" si="1121"/>
        <v>M0</v>
      </c>
      <c r="QO27" s="6" t="str">
        <f t="shared" si="1121"/>
        <v>M0</v>
      </c>
      <c r="QP27" s="6" t="str">
        <f t="shared" si="1121"/>
        <v>M0</v>
      </c>
      <c r="QQ27" s="6" t="str">
        <f t="shared" si="1121"/>
        <v>M0</v>
      </c>
      <c r="QR27" s="6" t="str">
        <f t="shared" si="1121"/>
        <v>M0</v>
      </c>
      <c r="QS27" s="6" t="str">
        <f t="shared" si="1121"/>
        <v>M0</v>
      </c>
      <c r="QT27" s="6" t="str">
        <f t="shared" si="1121"/>
        <v>M0</v>
      </c>
      <c r="QU27" s="6" t="str">
        <f t="shared" si="1121"/>
        <v>M0</v>
      </c>
      <c r="QV27" s="6" t="str">
        <f t="shared" si="1121"/>
        <v>M0</v>
      </c>
      <c r="QW27" s="6" t="str">
        <f t="shared" si="1121"/>
        <v>M0</v>
      </c>
      <c r="QX27" s="6" t="str">
        <f t="shared" si="1121"/>
        <v>M0</v>
      </c>
      <c r="QY27" s="6" t="str">
        <f t="shared" si="1121"/>
        <v>M0</v>
      </c>
      <c r="QZ27" s="6" t="str">
        <f t="shared" si="1121"/>
        <v>M0</v>
      </c>
      <c r="RA27" s="6" t="str">
        <f t="shared" si="1121"/>
        <v>M0</v>
      </c>
      <c r="RB27" s="6" t="str">
        <f t="shared" si="1121"/>
        <v>M0</v>
      </c>
      <c r="RC27" s="6" t="str">
        <f t="shared" si="1121"/>
        <v>M0</v>
      </c>
      <c r="RD27" s="6" t="str">
        <f t="shared" si="1121"/>
        <v>M0</v>
      </c>
      <c r="RE27" s="6" t="str">
        <f t="shared" si="1121"/>
        <v>M0</v>
      </c>
      <c r="RF27" s="6" t="str">
        <f t="shared" si="1121"/>
        <v>M0</v>
      </c>
      <c r="RG27" s="6" t="str">
        <f t="shared" si="1121"/>
        <v>M0</v>
      </c>
      <c r="RH27" s="6" t="str">
        <f t="shared" si="1121"/>
        <v>M0</v>
      </c>
      <c r="RI27" s="6" t="str">
        <f t="shared" si="1121"/>
        <v>M0</v>
      </c>
      <c r="RJ27" s="6" t="str">
        <f t="shared" si="1121"/>
        <v>M0</v>
      </c>
      <c r="RK27" s="6" t="str">
        <f t="shared" si="1121"/>
        <v>M0</v>
      </c>
      <c r="RL27" s="6" t="str">
        <f t="shared" si="1121"/>
        <v>M0</v>
      </c>
      <c r="RM27" s="6" t="str">
        <f t="shared" si="1121"/>
        <v>M0</v>
      </c>
      <c r="RN27" s="6" t="str">
        <f t="shared" si="1121"/>
        <v>M0</v>
      </c>
      <c r="RO27" s="6" t="str">
        <f t="shared" si="1121"/>
        <v>M0</v>
      </c>
      <c r="RP27" s="6" t="str">
        <f t="shared" si="1121"/>
        <v>M0</v>
      </c>
      <c r="RQ27" s="6" t="str">
        <f t="shared" si="1121"/>
        <v>M0</v>
      </c>
      <c r="RR27" s="6" t="str">
        <f t="shared" si="1121"/>
        <v>M0</v>
      </c>
      <c r="RS27" s="6" t="str">
        <f t="shared" si="1121"/>
        <v>M0</v>
      </c>
      <c r="RT27" s="6" t="str">
        <f t="shared" si="1121"/>
        <v>M0</v>
      </c>
      <c r="RU27" s="6" t="str">
        <f t="shared" si="1121"/>
        <v>M0</v>
      </c>
      <c r="RV27" s="6" t="str">
        <f t="shared" si="1121"/>
        <v>M0</v>
      </c>
      <c r="RW27" s="6" t="str">
        <f t="shared" si="1121"/>
        <v>M0</v>
      </c>
      <c r="RX27" s="6" t="str">
        <f t="shared" si="1121"/>
        <v>M0</v>
      </c>
      <c r="RY27" s="6" t="str">
        <f t="shared" si="1121"/>
        <v>M0</v>
      </c>
      <c r="RZ27" s="6" t="str">
        <f t="shared" si="1121"/>
        <v>M0</v>
      </c>
      <c r="SA27" s="6" t="str">
        <f t="shared" si="1121"/>
        <v>M0</v>
      </c>
      <c r="SB27" s="6" t="str">
        <f t="shared" si="1121"/>
        <v>M0</v>
      </c>
      <c r="SC27" s="6" t="str">
        <f t="shared" si="1121"/>
        <v>M0</v>
      </c>
      <c r="SD27" s="6" t="str">
        <f t="shared" si="1121"/>
        <v>M0</v>
      </c>
      <c r="SE27" s="6" t="str">
        <f t="shared" si="1121"/>
        <v>M0</v>
      </c>
      <c r="SF27" s="6" t="str">
        <f t="shared" si="1121"/>
        <v>M0</v>
      </c>
      <c r="SG27" s="6" t="str">
        <f t="shared" si="1121"/>
        <v>M0</v>
      </c>
      <c r="SH27" s="6" t="str">
        <f t="shared" si="1121"/>
        <v>M0</v>
      </c>
      <c r="SI27" s="6" t="str">
        <f t="shared" si="1121"/>
        <v>M0</v>
      </c>
      <c r="SJ27" s="6" t="str">
        <f t="shared" si="1121"/>
        <v>M0</v>
      </c>
      <c r="SK27" s="6" t="str">
        <f t="shared" si="1121"/>
        <v>M0</v>
      </c>
      <c r="SL27" s="6" t="str">
        <f t="shared" si="1121"/>
        <v>M0</v>
      </c>
      <c r="SM27" s="6" t="str">
        <f t="shared" si="1121"/>
        <v>M0</v>
      </c>
      <c r="SN27" s="6" t="str">
        <f t="shared" si="1121"/>
        <v>M0</v>
      </c>
      <c r="SO27" s="6" t="str">
        <f t="shared" si="1121"/>
        <v>M0</v>
      </c>
      <c r="SP27" s="6" t="str">
        <f t="shared" si="1121"/>
        <v>M0</v>
      </c>
      <c r="SQ27" s="6" t="str">
        <f t="shared" si="1121"/>
        <v>M0</v>
      </c>
      <c r="SR27" s="6" t="str">
        <f t="shared" si="1121"/>
        <v>M0</v>
      </c>
      <c r="SS27" s="6" t="str">
        <f t="shared" si="1121"/>
        <v>M0</v>
      </c>
      <c r="ST27" s="6" t="str">
        <f t="shared" si="1121"/>
        <v>M0</v>
      </c>
      <c r="SU27" s="6" t="str">
        <f t="shared" si="1121"/>
        <v>M0</v>
      </c>
      <c r="SV27" s="6" t="str">
        <f t="shared" si="1121"/>
        <v>M0</v>
      </c>
      <c r="SW27" s="6" t="str">
        <f t="shared" ref="SW27:VH27" si="1122">IF(OR(SW$28="M1", SW29="M2",SW30="M3",SW31="M4",SW32="M5"),"", "M0")</f>
        <v>M0</v>
      </c>
      <c r="SX27" s="6" t="str">
        <f t="shared" si="1122"/>
        <v>M0</v>
      </c>
      <c r="SY27" s="6" t="str">
        <f t="shared" si="1122"/>
        <v>M0</v>
      </c>
      <c r="SZ27" s="6" t="str">
        <f t="shared" si="1122"/>
        <v>M0</v>
      </c>
      <c r="TA27" s="6" t="str">
        <f t="shared" si="1122"/>
        <v>M0</v>
      </c>
      <c r="TB27" s="6" t="str">
        <f t="shared" si="1122"/>
        <v>M0</v>
      </c>
      <c r="TC27" s="6" t="str">
        <f t="shared" si="1122"/>
        <v>M0</v>
      </c>
      <c r="TD27" s="6" t="str">
        <f t="shared" si="1122"/>
        <v>M0</v>
      </c>
      <c r="TE27" s="6" t="str">
        <f t="shared" si="1122"/>
        <v>M0</v>
      </c>
      <c r="TF27" s="6" t="str">
        <f t="shared" si="1122"/>
        <v>M0</v>
      </c>
      <c r="TG27" s="6" t="str">
        <f t="shared" si="1122"/>
        <v>M0</v>
      </c>
      <c r="TH27" s="6" t="str">
        <f t="shared" si="1122"/>
        <v>M0</v>
      </c>
      <c r="TI27" s="6" t="str">
        <f t="shared" si="1122"/>
        <v>M0</v>
      </c>
      <c r="TJ27" s="6" t="str">
        <f t="shared" si="1122"/>
        <v>M0</v>
      </c>
      <c r="TK27" s="6" t="str">
        <f t="shared" si="1122"/>
        <v>M0</v>
      </c>
      <c r="TL27" s="6" t="str">
        <f t="shared" si="1122"/>
        <v>M0</v>
      </c>
      <c r="TM27" s="6" t="str">
        <f t="shared" si="1122"/>
        <v>M0</v>
      </c>
      <c r="TN27" s="6" t="str">
        <f t="shared" si="1122"/>
        <v>M0</v>
      </c>
      <c r="TO27" s="6" t="str">
        <f t="shared" si="1122"/>
        <v>M0</v>
      </c>
      <c r="TP27" s="6" t="str">
        <f t="shared" si="1122"/>
        <v>M0</v>
      </c>
      <c r="TQ27" s="6" t="str">
        <f t="shared" si="1122"/>
        <v>M0</v>
      </c>
      <c r="TR27" s="6" t="str">
        <f t="shared" si="1122"/>
        <v>M0</v>
      </c>
      <c r="TS27" s="6" t="str">
        <f t="shared" si="1122"/>
        <v>M0</v>
      </c>
      <c r="TT27" s="6" t="str">
        <f t="shared" si="1122"/>
        <v>M0</v>
      </c>
      <c r="TU27" s="6" t="str">
        <f t="shared" si="1122"/>
        <v>M0</v>
      </c>
      <c r="TV27" s="6" t="str">
        <f t="shared" si="1122"/>
        <v>M0</v>
      </c>
      <c r="TW27" s="6" t="str">
        <f t="shared" si="1122"/>
        <v>M0</v>
      </c>
      <c r="TX27" s="6" t="str">
        <f t="shared" si="1122"/>
        <v>M0</v>
      </c>
      <c r="TY27" s="6" t="str">
        <f t="shared" si="1122"/>
        <v>M0</v>
      </c>
      <c r="TZ27" s="6" t="str">
        <f t="shared" si="1122"/>
        <v>M0</v>
      </c>
      <c r="UA27" s="6" t="str">
        <f t="shared" si="1122"/>
        <v>M0</v>
      </c>
      <c r="UB27" s="6" t="str">
        <f t="shared" si="1122"/>
        <v>M0</v>
      </c>
      <c r="UC27" s="6" t="str">
        <f t="shared" si="1122"/>
        <v>M0</v>
      </c>
      <c r="UD27" s="6" t="str">
        <f t="shared" si="1122"/>
        <v>M0</v>
      </c>
      <c r="UE27" s="6" t="str">
        <f t="shared" si="1122"/>
        <v>M0</v>
      </c>
      <c r="UF27" s="6" t="str">
        <f t="shared" si="1122"/>
        <v>M0</v>
      </c>
      <c r="UG27" s="6" t="str">
        <f t="shared" si="1122"/>
        <v>M0</v>
      </c>
      <c r="UH27" s="6" t="str">
        <f t="shared" si="1122"/>
        <v>M0</v>
      </c>
      <c r="UI27" s="6" t="str">
        <f t="shared" si="1122"/>
        <v>M0</v>
      </c>
      <c r="UJ27" s="6" t="str">
        <f t="shared" si="1122"/>
        <v>M0</v>
      </c>
      <c r="UK27" s="6" t="str">
        <f t="shared" si="1122"/>
        <v>M0</v>
      </c>
      <c r="UL27" s="6" t="str">
        <f t="shared" si="1122"/>
        <v>M0</v>
      </c>
      <c r="UM27" s="6" t="str">
        <f t="shared" si="1122"/>
        <v>M0</v>
      </c>
      <c r="UN27" s="6" t="str">
        <f t="shared" si="1122"/>
        <v>M0</v>
      </c>
      <c r="UO27" s="6" t="str">
        <f t="shared" si="1122"/>
        <v>M0</v>
      </c>
      <c r="UP27" s="6" t="str">
        <f t="shared" si="1122"/>
        <v>M0</v>
      </c>
      <c r="UQ27" s="6" t="str">
        <f t="shared" si="1122"/>
        <v>M0</v>
      </c>
      <c r="UR27" s="6" t="str">
        <f t="shared" si="1122"/>
        <v>M0</v>
      </c>
      <c r="US27" s="6" t="str">
        <f t="shared" si="1122"/>
        <v>M0</v>
      </c>
      <c r="UT27" s="6" t="str">
        <f t="shared" si="1122"/>
        <v>M0</v>
      </c>
      <c r="UU27" s="6" t="str">
        <f t="shared" si="1122"/>
        <v>M0</v>
      </c>
      <c r="UV27" s="6" t="str">
        <f t="shared" si="1122"/>
        <v>M0</v>
      </c>
      <c r="UW27" s="6" t="str">
        <f t="shared" si="1122"/>
        <v>M0</v>
      </c>
      <c r="UX27" s="6" t="str">
        <f t="shared" si="1122"/>
        <v>M0</v>
      </c>
      <c r="UY27" s="6" t="str">
        <f t="shared" si="1122"/>
        <v>M0</v>
      </c>
      <c r="UZ27" s="6" t="str">
        <f t="shared" si="1122"/>
        <v>M0</v>
      </c>
      <c r="VA27" s="6" t="str">
        <f t="shared" si="1122"/>
        <v>M0</v>
      </c>
      <c r="VB27" s="6" t="str">
        <f t="shared" si="1122"/>
        <v>M0</v>
      </c>
      <c r="VC27" s="6" t="str">
        <f t="shared" si="1122"/>
        <v>M0</v>
      </c>
      <c r="VD27" s="6" t="str">
        <f t="shared" si="1122"/>
        <v>M0</v>
      </c>
      <c r="VE27" s="6" t="str">
        <f t="shared" si="1122"/>
        <v>M0</v>
      </c>
      <c r="VF27" s="6" t="str">
        <f t="shared" si="1122"/>
        <v>M0</v>
      </c>
      <c r="VG27" s="6" t="str">
        <f t="shared" si="1122"/>
        <v>M0</v>
      </c>
      <c r="VH27" s="6" t="str">
        <f t="shared" si="1122"/>
        <v>M0</v>
      </c>
      <c r="VI27" s="6" t="str">
        <f t="shared" ref="VI27:XT27" si="1123">IF(OR(VI$28="M1", VI29="M2",VI30="M3",VI31="M4",VI32="M5"),"", "M0")</f>
        <v>M0</v>
      </c>
      <c r="VJ27" s="6" t="str">
        <f t="shared" si="1123"/>
        <v>M0</v>
      </c>
      <c r="VK27" s="6" t="str">
        <f t="shared" si="1123"/>
        <v>M0</v>
      </c>
      <c r="VL27" s="6" t="str">
        <f t="shared" si="1123"/>
        <v>M0</v>
      </c>
      <c r="VM27" s="6" t="str">
        <f t="shared" si="1123"/>
        <v>M0</v>
      </c>
      <c r="VN27" s="6" t="str">
        <f t="shared" si="1123"/>
        <v>M0</v>
      </c>
      <c r="VO27" s="6" t="str">
        <f t="shared" si="1123"/>
        <v>M0</v>
      </c>
      <c r="VP27" s="6" t="str">
        <f t="shared" si="1123"/>
        <v>M0</v>
      </c>
      <c r="VQ27" s="6" t="str">
        <f t="shared" si="1123"/>
        <v>M0</v>
      </c>
      <c r="VR27" s="6" t="str">
        <f t="shared" si="1123"/>
        <v>M0</v>
      </c>
      <c r="VS27" s="6" t="str">
        <f t="shared" si="1123"/>
        <v>M0</v>
      </c>
      <c r="VT27" s="6" t="str">
        <f t="shared" si="1123"/>
        <v>M0</v>
      </c>
      <c r="VU27" s="6" t="str">
        <f t="shared" si="1123"/>
        <v>M0</v>
      </c>
      <c r="VV27" s="6" t="str">
        <f t="shared" si="1123"/>
        <v>M0</v>
      </c>
      <c r="VW27" s="6" t="str">
        <f t="shared" si="1123"/>
        <v>M0</v>
      </c>
      <c r="VX27" s="6" t="str">
        <f t="shared" si="1123"/>
        <v>M0</v>
      </c>
      <c r="VY27" s="6" t="str">
        <f t="shared" si="1123"/>
        <v>M0</v>
      </c>
      <c r="VZ27" s="6" t="str">
        <f t="shared" si="1123"/>
        <v>M0</v>
      </c>
      <c r="WA27" s="6" t="str">
        <f t="shared" si="1123"/>
        <v>M0</v>
      </c>
      <c r="WB27" s="6" t="str">
        <f t="shared" si="1123"/>
        <v>M0</v>
      </c>
      <c r="WC27" s="6" t="str">
        <f t="shared" si="1123"/>
        <v>M0</v>
      </c>
      <c r="WD27" s="6" t="str">
        <f t="shared" si="1123"/>
        <v>M0</v>
      </c>
      <c r="WE27" s="6" t="str">
        <f t="shared" si="1123"/>
        <v>M0</v>
      </c>
      <c r="WF27" s="6" t="str">
        <f t="shared" si="1123"/>
        <v>M0</v>
      </c>
      <c r="WG27" s="6" t="str">
        <f t="shared" si="1123"/>
        <v>M0</v>
      </c>
      <c r="WH27" s="6" t="str">
        <f t="shared" si="1123"/>
        <v>M0</v>
      </c>
      <c r="WI27" s="6" t="str">
        <f t="shared" si="1123"/>
        <v>M0</v>
      </c>
      <c r="WJ27" s="6" t="str">
        <f t="shared" si="1123"/>
        <v>M0</v>
      </c>
      <c r="WK27" s="6" t="str">
        <f t="shared" si="1123"/>
        <v>M0</v>
      </c>
      <c r="WL27" s="6" t="str">
        <f t="shared" si="1123"/>
        <v>M0</v>
      </c>
      <c r="WM27" s="6" t="str">
        <f t="shared" si="1123"/>
        <v>M0</v>
      </c>
      <c r="WN27" s="6" t="str">
        <f t="shared" si="1123"/>
        <v>M0</v>
      </c>
      <c r="WO27" s="6" t="str">
        <f t="shared" si="1123"/>
        <v>M0</v>
      </c>
      <c r="WP27" s="6" t="str">
        <f t="shared" si="1123"/>
        <v>M0</v>
      </c>
      <c r="WQ27" s="6" t="str">
        <f t="shared" si="1123"/>
        <v>M0</v>
      </c>
      <c r="WR27" s="6" t="str">
        <f t="shared" si="1123"/>
        <v>M0</v>
      </c>
      <c r="WS27" s="6" t="str">
        <f t="shared" si="1123"/>
        <v>M0</v>
      </c>
      <c r="WT27" s="6" t="str">
        <f t="shared" si="1123"/>
        <v>M0</v>
      </c>
      <c r="WU27" s="6" t="str">
        <f t="shared" si="1123"/>
        <v>M0</v>
      </c>
      <c r="WV27" s="6" t="str">
        <f t="shared" si="1123"/>
        <v>M0</v>
      </c>
      <c r="WW27" s="6" t="str">
        <f t="shared" si="1123"/>
        <v>M0</v>
      </c>
      <c r="WX27" s="6" t="str">
        <f t="shared" si="1123"/>
        <v>M0</v>
      </c>
      <c r="WY27" s="6" t="str">
        <f t="shared" si="1123"/>
        <v>M0</v>
      </c>
      <c r="WZ27" s="6" t="str">
        <f t="shared" si="1123"/>
        <v>M0</v>
      </c>
      <c r="XA27" s="6" t="str">
        <f t="shared" si="1123"/>
        <v>M0</v>
      </c>
      <c r="XB27" s="6" t="str">
        <f t="shared" si="1123"/>
        <v>M0</v>
      </c>
      <c r="XC27" s="6" t="str">
        <f t="shared" si="1123"/>
        <v>M0</v>
      </c>
      <c r="XD27" s="6" t="str">
        <f t="shared" si="1123"/>
        <v>M0</v>
      </c>
      <c r="XE27" s="6" t="str">
        <f t="shared" si="1123"/>
        <v>M0</v>
      </c>
      <c r="XF27" s="6" t="str">
        <f t="shared" si="1123"/>
        <v>M0</v>
      </c>
      <c r="XG27" s="6" t="str">
        <f t="shared" si="1123"/>
        <v>M0</v>
      </c>
      <c r="XH27" s="6" t="str">
        <f t="shared" si="1123"/>
        <v>M0</v>
      </c>
      <c r="XI27" s="6" t="str">
        <f t="shared" si="1123"/>
        <v>M0</v>
      </c>
      <c r="XJ27" s="6" t="str">
        <f t="shared" si="1123"/>
        <v>M0</v>
      </c>
      <c r="XK27" s="6" t="str">
        <f t="shared" si="1123"/>
        <v>M0</v>
      </c>
      <c r="XL27" s="6" t="str">
        <f t="shared" si="1123"/>
        <v>M0</v>
      </c>
      <c r="XM27" s="6" t="str">
        <f t="shared" si="1123"/>
        <v>M0</v>
      </c>
      <c r="XN27" s="6" t="str">
        <f t="shared" si="1123"/>
        <v>M0</v>
      </c>
      <c r="XO27" s="6" t="str">
        <f t="shared" si="1123"/>
        <v>M0</v>
      </c>
      <c r="XP27" s="6" t="str">
        <f t="shared" si="1123"/>
        <v>M0</v>
      </c>
      <c r="XQ27" s="6" t="str">
        <f t="shared" si="1123"/>
        <v>M0</v>
      </c>
      <c r="XR27" s="6" t="str">
        <f t="shared" si="1123"/>
        <v>M0</v>
      </c>
      <c r="XS27" s="6" t="str">
        <f t="shared" si="1123"/>
        <v>M0</v>
      </c>
      <c r="XT27" s="6" t="str">
        <f t="shared" si="1123"/>
        <v>M0</v>
      </c>
      <c r="XU27" s="6" t="str">
        <f t="shared" ref="XU27:AAF27" si="1124">IF(OR(XU$28="M1", XU29="M2",XU30="M3",XU31="M4",XU32="M5"),"", "M0")</f>
        <v>M0</v>
      </c>
      <c r="XV27" s="6" t="str">
        <f t="shared" si="1124"/>
        <v>M0</v>
      </c>
      <c r="XW27" s="6" t="str">
        <f t="shared" si="1124"/>
        <v>M0</v>
      </c>
      <c r="XX27" s="6" t="str">
        <f t="shared" si="1124"/>
        <v>M0</v>
      </c>
      <c r="XY27" s="6" t="str">
        <f t="shared" si="1124"/>
        <v>M0</v>
      </c>
      <c r="XZ27" s="6" t="str">
        <f t="shared" si="1124"/>
        <v>M0</v>
      </c>
      <c r="YA27" s="6" t="str">
        <f t="shared" si="1124"/>
        <v>M0</v>
      </c>
      <c r="YB27" s="6" t="str">
        <f t="shared" si="1124"/>
        <v>M0</v>
      </c>
      <c r="YC27" s="6" t="str">
        <f t="shared" si="1124"/>
        <v>M0</v>
      </c>
      <c r="YD27" s="6" t="str">
        <f t="shared" si="1124"/>
        <v>M0</v>
      </c>
      <c r="YE27" s="6" t="str">
        <f t="shared" si="1124"/>
        <v>M0</v>
      </c>
      <c r="YF27" s="6" t="str">
        <f t="shared" si="1124"/>
        <v>M0</v>
      </c>
      <c r="YG27" s="6" t="str">
        <f t="shared" si="1124"/>
        <v>M0</v>
      </c>
      <c r="YH27" s="6" t="str">
        <f t="shared" si="1124"/>
        <v>M0</v>
      </c>
      <c r="YI27" s="6" t="str">
        <f t="shared" si="1124"/>
        <v>M0</v>
      </c>
      <c r="YJ27" s="6" t="str">
        <f t="shared" si="1124"/>
        <v>M0</v>
      </c>
      <c r="YK27" s="6" t="str">
        <f t="shared" si="1124"/>
        <v>M0</v>
      </c>
      <c r="YL27" s="6" t="str">
        <f t="shared" si="1124"/>
        <v>M0</v>
      </c>
      <c r="YM27" s="6" t="str">
        <f t="shared" si="1124"/>
        <v>M0</v>
      </c>
      <c r="YN27" s="6" t="str">
        <f t="shared" si="1124"/>
        <v>M0</v>
      </c>
      <c r="YO27" s="6" t="str">
        <f t="shared" si="1124"/>
        <v>M0</v>
      </c>
      <c r="YP27" s="6" t="str">
        <f t="shared" si="1124"/>
        <v>M0</v>
      </c>
      <c r="YQ27" s="6" t="str">
        <f t="shared" si="1124"/>
        <v>M0</v>
      </c>
      <c r="YR27" s="6" t="str">
        <f t="shared" si="1124"/>
        <v>M0</v>
      </c>
      <c r="YS27" s="6" t="str">
        <f t="shared" si="1124"/>
        <v>M0</v>
      </c>
      <c r="YT27" s="6" t="str">
        <f t="shared" si="1124"/>
        <v>M0</v>
      </c>
      <c r="YU27" s="6" t="str">
        <f t="shared" si="1124"/>
        <v>M0</v>
      </c>
      <c r="YV27" s="6" t="str">
        <f t="shared" si="1124"/>
        <v>M0</v>
      </c>
      <c r="YW27" s="6" t="str">
        <f t="shared" si="1124"/>
        <v>M0</v>
      </c>
      <c r="YX27" s="6" t="str">
        <f t="shared" si="1124"/>
        <v>M0</v>
      </c>
      <c r="YY27" s="6" t="str">
        <f t="shared" si="1124"/>
        <v>M0</v>
      </c>
      <c r="YZ27" s="6" t="str">
        <f t="shared" si="1124"/>
        <v>M0</v>
      </c>
      <c r="ZA27" s="6" t="str">
        <f t="shared" si="1124"/>
        <v>M0</v>
      </c>
      <c r="ZB27" s="6" t="str">
        <f t="shared" si="1124"/>
        <v>M0</v>
      </c>
      <c r="ZC27" s="6" t="str">
        <f t="shared" si="1124"/>
        <v>M0</v>
      </c>
      <c r="ZD27" s="6" t="str">
        <f t="shared" si="1124"/>
        <v>M0</v>
      </c>
      <c r="ZE27" s="6" t="str">
        <f t="shared" si="1124"/>
        <v>M0</v>
      </c>
      <c r="ZF27" s="6" t="str">
        <f t="shared" si="1124"/>
        <v>M0</v>
      </c>
      <c r="ZG27" s="6" t="str">
        <f t="shared" si="1124"/>
        <v>M0</v>
      </c>
      <c r="ZH27" s="6" t="str">
        <f t="shared" si="1124"/>
        <v>M0</v>
      </c>
      <c r="ZI27" s="6" t="str">
        <f t="shared" si="1124"/>
        <v>M0</v>
      </c>
      <c r="ZJ27" s="6" t="str">
        <f t="shared" si="1124"/>
        <v>M0</v>
      </c>
      <c r="ZK27" s="6" t="str">
        <f t="shared" si="1124"/>
        <v>M0</v>
      </c>
      <c r="ZL27" s="6" t="str">
        <f t="shared" si="1124"/>
        <v>M0</v>
      </c>
      <c r="ZM27" s="6" t="str">
        <f t="shared" si="1124"/>
        <v>M0</v>
      </c>
      <c r="ZN27" s="6" t="str">
        <f t="shared" si="1124"/>
        <v>M0</v>
      </c>
      <c r="ZO27" s="6" t="str">
        <f t="shared" si="1124"/>
        <v>M0</v>
      </c>
      <c r="ZP27" s="6" t="str">
        <f t="shared" si="1124"/>
        <v>M0</v>
      </c>
      <c r="ZQ27" s="6" t="str">
        <f t="shared" si="1124"/>
        <v>M0</v>
      </c>
      <c r="ZR27" s="6" t="str">
        <f t="shared" si="1124"/>
        <v>M0</v>
      </c>
      <c r="ZS27" s="6" t="str">
        <f t="shared" si="1124"/>
        <v>M0</v>
      </c>
      <c r="ZT27" s="6" t="str">
        <f t="shared" si="1124"/>
        <v>M0</v>
      </c>
      <c r="ZU27" s="6" t="str">
        <f t="shared" si="1124"/>
        <v>M0</v>
      </c>
      <c r="ZV27" s="6" t="str">
        <f t="shared" si="1124"/>
        <v>M0</v>
      </c>
      <c r="ZW27" s="6" t="str">
        <f t="shared" si="1124"/>
        <v>M0</v>
      </c>
      <c r="ZX27" s="6" t="str">
        <f t="shared" si="1124"/>
        <v>M0</v>
      </c>
      <c r="ZY27" s="6" t="str">
        <f t="shared" si="1124"/>
        <v>M0</v>
      </c>
      <c r="ZZ27" s="6" t="str">
        <f t="shared" si="1124"/>
        <v>M0</v>
      </c>
      <c r="AAA27" s="6" t="str">
        <f t="shared" si="1124"/>
        <v>M0</v>
      </c>
      <c r="AAB27" s="6" t="str">
        <f t="shared" si="1124"/>
        <v>M0</v>
      </c>
      <c r="AAC27" s="6" t="str">
        <f t="shared" si="1124"/>
        <v>M0</v>
      </c>
      <c r="AAD27" s="6" t="str">
        <f t="shared" si="1124"/>
        <v>M0</v>
      </c>
      <c r="AAE27" s="6" t="str">
        <f t="shared" si="1124"/>
        <v>M0</v>
      </c>
      <c r="AAF27" s="6" t="str">
        <f t="shared" si="1124"/>
        <v>M0</v>
      </c>
      <c r="AAG27" s="6" t="str">
        <f t="shared" ref="AAG27:ACR27" si="1125">IF(OR(AAG$28="M1", AAG29="M2",AAG30="M3",AAG31="M4",AAG32="M5"),"", "M0")</f>
        <v>M0</v>
      </c>
      <c r="AAH27" s="6" t="str">
        <f t="shared" si="1125"/>
        <v>M0</v>
      </c>
      <c r="AAI27" s="6" t="str">
        <f t="shared" si="1125"/>
        <v>M0</v>
      </c>
      <c r="AAJ27" s="6" t="str">
        <f t="shared" si="1125"/>
        <v>M0</v>
      </c>
      <c r="AAK27" s="6" t="str">
        <f t="shared" si="1125"/>
        <v>M0</v>
      </c>
      <c r="AAL27" s="6" t="str">
        <f t="shared" si="1125"/>
        <v>M0</v>
      </c>
      <c r="AAM27" s="6" t="str">
        <f t="shared" si="1125"/>
        <v>M0</v>
      </c>
      <c r="AAN27" s="6" t="str">
        <f t="shared" si="1125"/>
        <v>M0</v>
      </c>
      <c r="AAO27" s="6" t="str">
        <f t="shared" si="1125"/>
        <v>M0</v>
      </c>
      <c r="AAP27" s="6" t="str">
        <f t="shared" si="1125"/>
        <v>M0</v>
      </c>
      <c r="AAQ27" s="6" t="str">
        <f t="shared" si="1125"/>
        <v>M0</v>
      </c>
      <c r="AAR27" s="6" t="str">
        <f t="shared" si="1125"/>
        <v>M0</v>
      </c>
      <c r="AAS27" s="6" t="str">
        <f t="shared" si="1125"/>
        <v>M0</v>
      </c>
      <c r="AAT27" s="6" t="str">
        <f t="shared" si="1125"/>
        <v>M0</v>
      </c>
      <c r="AAU27" s="6" t="str">
        <f t="shared" si="1125"/>
        <v>M0</v>
      </c>
      <c r="AAV27" s="6" t="str">
        <f t="shared" si="1125"/>
        <v>M0</v>
      </c>
      <c r="AAW27" s="6" t="str">
        <f t="shared" si="1125"/>
        <v>M0</v>
      </c>
      <c r="AAX27" s="6" t="str">
        <f t="shared" si="1125"/>
        <v>M0</v>
      </c>
      <c r="AAY27" s="6" t="str">
        <f t="shared" si="1125"/>
        <v>M0</v>
      </c>
      <c r="AAZ27" s="6" t="str">
        <f t="shared" si="1125"/>
        <v>M0</v>
      </c>
      <c r="ABA27" s="6" t="str">
        <f t="shared" si="1125"/>
        <v>M0</v>
      </c>
      <c r="ABB27" s="6" t="str">
        <f t="shared" si="1125"/>
        <v>M0</v>
      </c>
      <c r="ABC27" s="6" t="str">
        <f t="shared" si="1125"/>
        <v>M0</v>
      </c>
      <c r="ABD27" s="6" t="str">
        <f t="shared" si="1125"/>
        <v>M0</v>
      </c>
      <c r="ABE27" s="6" t="str">
        <f t="shared" si="1125"/>
        <v>M0</v>
      </c>
      <c r="ABF27" s="6" t="str">
        <f t="shared" si="1125"/>
        <v>M0</v>
      </c>
      <c r="ABG27" s="6" t="str">
        <f t="shared" si="1125"/>
        <v>M0</v>
      </c>
      <c r="ABH27" s="6" t="str">
        <f t="shared" si="1125"/>
        <v>M0</v>
      </c>
      <c r="ABI27" s="6" t="str">
        <f t="shared" si="1125"/>
        <v>M0</v>
      </c>
      <c r="ABJ27" s="6" t="str">
        <f t="shared" si="1125"/>
        <v>M0</v>
      </c>
      <c r="ABK27" s="6" t="str">
        <f t="shared" si="1125"/>
        <v>M0</v>
      </c>
      <c r="ABL27" s="6" t="str">
        <f t="shared" si="1125"/>
        <v>M0</v>
      </c>
      <c r="ABM27" s="6" t="str">
        <f t="shared" si="1125"/>
        <v>M0</v>
      </c>
      <c r="ABN27" s="6" t="str">
        <f t="shared" si="1125"/>
        <v>M0</v>
      </c>
      <c r="ABO27" s="6" t="str">
        <f t="shared" si="1125"/>
        <v>M0</v>
      </c>
      <c r="ABP27" s="6" t="str">
        <f t="shared" si="1125"/>
        <v>M0</v>
      </c>
      <c r="ABQ27" s="6" t="str">
        <f t="shared" si="1125"/>
        <v>M0</v>
      </c>
      <c r="ABR27" s="6" t="str">
        <f t="shared" si="1125"/>
        <v>M0</v>
      </c>
      <c r="ABS27" s="6" t="str">
        <f t="shared" si="1125"/>
        <v>M0</v>
      </c>
      <c r="ABT27" s="6" t="str">
        <f t="shared" si="1125"/>
        <v>M0</v>
      </c>
      <c r="ABU27" s="6" t="str">
        <f t="shared" si="1125"/>
        <v>M0</v>
      </c>
      <c r="ABV27" s="6" t="str">
        <f t="shared" si="1125"/>
        <v>M0</v>
      </c>
      <c r="ABW27" s="6" t="str">
        <f t="shared" si="1125"/>
        <v>M0</v>
      </c>
      <c r="ABX27" s="6" t="str">
        <f t="shared" si="1125"/>
        <v>M0</v>
      </c>
      <c r="ABY27" s="6" t="str">
        <f t="shared" si="1125"/>
        <v>M0</v>
      </c>
      <c r="ABZ27" s="6" t="str">
        <f t="shared" si="1125"/>
        <v>M0</v>
      </c>
      <c r="ACA27" s="6" t="str">
        <f t="shared" si="1125"/>
        <v>M0</v>
      </c>
      <c r="ACB27" s="6" t="str">
        <f t="shared" si="1125"/>
        <v>M0</v>
      </c>
      <c r="ACC27" s="6" t="str">
        <f t="shared" si="1125"/>
        <v>M0</v>
      </c>
      <c r="ACD27" s="6" t="str">
        <f t="shared" si="1125"/>
        <v>M0</v>
      </c>
      <c r="ACE27" s="6" t="str">
        <f t="shared" si="1125"/>
        <v>M0</v>
      </c>
      <c r="ACF27" s="6" t="str">
        <f t="shared" si="1125"/>
        <v>M0</v>
      </c>
      <c r="ACG27" s="6" t="str">
        <f t="shared" si="1125"/>
        <v>M0</v>
      </c>
      <c r="ACH27" s="6" t="str">
        <f t="shared" si="1125"/>
        <v>M0</v>
      </c>
      <c r="ACI27" s="6" t="str">
        <f t="shared" si="1125"/>
        <v>M0</v>
      </c>
      <c r="ACJ27" s="6" t="str">
        <f t="shared" si="1125"/>
        <v>M0</v>
      </c>
      <c r="ACK27" s="6" t="str">
        <f t="shared" si="1125"/>
        <v>M0</v>
      </c>
      <c r="ACL27" s="6" t="str">
        <f t="shared" si="1125"/>
        <v>M0</v>
      </c>
      <c r="ACM27" s="6" t="str">
        <f t="shared" si="1125"/>
        <v>M0</v>
      </c>
      <c r="ACN27" s="6" t="str">
        <f t="shared" si="1125"/>
        <v>M0</v>
      </c>
      <c r="ACO27" s="6" t="str">
        <f t="shared" si="1125"/>
        <v>M0</v>
      </c>
      <c r="ACP27" s="6" t="str">
        <f t="shared" si="1125"/>
        <v>M0</v>
      </c>
      <c r="ACQ27" s="6" t="str">
        <f t="shared" si="1125"/>
        <v>M0</v>
      </c>
      <c r="ACR27" s="6" t="str">
        <f t="shared" si="1125"/>
        <v>M0</v>
      </c>
      <c r="ACS27" s="6" t="str">
        <f t="shared" ref="ACS27:AFD27" si="1126">IF(OR(ACS$28="M1", ACS29="M2",ACS30="M3",ACS31="M4",ACS32="M5"),"", "M0")</f>
        <v>M0</v>
      </c>
      <c r="ACT27" s="6" t="str">
        <f t="shared" si="1126"/>
        <v>M0</v>
      </c>
      <c r="ACU27" s="6" t="str">
        <f t="shared" si="1126"/>
        <v>M0</v>
      </c>
      <c r="ACV27" s="6" t="str">
        <f t="shared" si="1126"/>
        <v>M0</v>
      </c>
      <c r="ACW27" s="6" t="str">
        <f t="shared" si="1126"/>
        <v>M0</v>
      </c>
      <c r="ACX27" s="6" t="str">
        <f t="shared" si="1126"/>
        <v>M0</v>
      </c>
      <c r="ACY27" s="6" t="str">
        <f t="shared" si="1126"/>
        <v>M0</v>
      </c>
      <c r="ACZ27" s="6" t="str">
        <f t="shared" si="1126"/>
        <v>M0</v>
      </c>
      <c r="ADA27" s="6" t="str">
        <f t="shared" si="1126"/>
        <v>M0</v>
      </c>
      <c r="ADB27" s="6" t="str">
        <f t="shared" si="1126"/>
        <v>M0</v>
      </c>
      <c r="ADC27" s="6" t="str">
        <f t="shared" si="1126"/>
        <v>M0</v>
      </c>
      <c r="ADD27" s="6" t="str">
        <f t="shared" si="1126"/>
        <v>M0</v>
      </c>
      <c r="ADE27" s="6" t="str">
        <f t="shared" si="1126"/>
        <v>M0</v>
      </c>
      <c r="ADF27" s="6" t="str">
        <f t="shared" si="1126"/>
        <v>M0</v>
      </c>
      <c r="ADG27" s="6" t="str">
        <f t="shared" si="1126"/>
        <v>M0</v>
      </c>
      <c r="ADH27" s="6" t="str">
        <f t="shared" si="1126"/>
        <v>M0</v>
      </c>
      <c r="ADI27" s="6" t="str">
        <f t="shared" si="1126"/>
        <v>M0</v>
      </c>
      <c r="ADJ27" s="6" t="str">
        <f t="shared" si="1126"/>
        <v>M0</v>
      </c>
      <c r="ADK27" s="6" t="str">
        <f t="shared" si="1126"/>
        <v>M0</v>
      </c>
      <c r="ADL27" s="6" t="str">
        <f t="shared" si="1126"/>
        <v>M0</v>
      </c>
      <c r="ADM27" s="6" t="str">
        <f t="shared" si="1126"/>
        <v>M0</v>
      </c>
      <c r="ADN27" s="6" t="str">
        <f t="shared" si="1126"/>
        <v>M0</v>
      </c>
      <c r="ADO27" s="6" t="str">
        <f t="shared" si="1126"/>
        <v>M0</v>
      </c>
      <c r="ADP27" s="6" t="str">
        <f t="shared" si="1126"/>
        <v>M0</v>
      </c>
      <c r="ADQ27" s="6" t="str">
        <f t="shared" si="1126"/>
        <v>M0</v>
      </c>
      <c r="ADR27" s="6" t="str">
        <f t="shared" si="1126"/>
        <v>M0</v>
      </c>
      <c r="ADS27" s="6" t="str">
        <f t="shared" si="1126"/>
        <v>M0</v>
      </c>
      <c r="ADT27" s="6" t="str">
        <f t="shared" si="1126"/>
        <v>M0</v>
      </c>
      <c r="ADU27" s="6" t="str">
        <f t="shared" si="1126"/>
        <v>M0</v>
      </c>
      <c r="ADV27" s="6" t="str">
        <f t="shared" si="1126"/>
        <v>M0</v>
      </c>
      <c r="ADW27" s="6" t="str">
        <f t="shared" si="1126"/>
        <v>M0</v>
      </c>
      <c r="ADX27" s="6" t="str">
        <f t="shared" si="1126"/>
        <v>M0</v>
      </c>
      <c r="ADY27" s="6" t="str">
        <f t="shared" si="1126"/>
        <v>M0</v>
      </c>
      <c r="ADZ27" s="6" t="str">
        <f t="shared" si="1126"/>
        <v>M0</v>
      </c>
      <c r="AEA27" s="6" t="str">
        <f t="shared" si="1126"/>
        <v>M0</v>
      </c>
      <c r="AEB27" s="6" t="str">
        <f t="shared" si="1126"/>
        <v>M0</v>
      </c>
      <c r="AEC27" s="6" t="str">
        <f t="shared" si="1126"/>
        <v>M0</v>
      </c>
      <c r="AED27" s="6" t="str">
        <f t="shared" si="1126"/>
        <v>M0</v>
      </c>
      <c r="AEE27" s="6" t="str">
        <f t="shared" si="1126"/>
        <v>M0</v>
      </c>
      <c r="AEF27" s="6" t="str">
        <f t="shared" si="1126"/>
        <v>M0</v>
      </c>
      <c r="AEG27" s="6" t="str">
        <f t="shared" si="1126"/>
        <v>M0</v>
      </c>
      <c r="AEH27" s="6" t="str">
        <f t="shared" si="1126"/>
        <v>M0</v>
      </c>
      <c r="AEI27" s="6" t="str">
        <f t="shared" si="1126"/>
        <v>M0</v>
      </c>
      <c r="AEJ27" s="6" t="str">
        <f t="shared" si="1126"/>
        <v>M0</v>
      </c>
      <c r="AEK27" s="6" t="str">
        <f t="shared" si="1126"/>
        <v>M0</v>
      </c>
      <c r="AEL27" s="6" t="str">
        <f t="shared" si="1126"/>
        <v>M0</v>
      </c>
      <c r="AEM27" s="6" t="str">
        <f t="shared" si="1126"/>
        <v>M0</v>
      </c>
      <c r="AEN27" s="6" t="str">
        <f t="shared" si="1126"/>
        <v>M0</v>
      </c>
      <c r="AEO27" s="6" t="str">
        <f t="shared" si="1126"/>
        <v>M0</v>
      </c>
      <c r="AEP27" s="6" t="str">
        <f t="shared" si="1126"/>
        <v>M0</v>
      </c>
      <c r="AEQ27" s="6" t="str">
        <f t="shared" si="1126"/>
        <v>M0</v>
      </c>
      <c r="AER27" s="6" t="str">
        <f t="shared" si="1126"/>
        <v>M0</v>
      </c>
      <c r="AES27" s="6" t="str">
        <f t="shared" si="1126"/>
        <v>M0</v>
      </c>
      <c r="AET27" s="6" t="str">
        <f t="shared" si="1126"/>
        <v>M0</v>
      </c>
      <c r="AEU27" s="6" t="str">
        <f t="shared" si="1126"/>
        <v>M0</v>
      </c>
      <c r="AEV27" s="6" t="str">
        <f t="shared" si="1126"/>
        <v>M0</v>
      </c>
      <c r="AEW27" s="6" t="str">
        <f t="shared" si="1126"/>
        <v>M0</v>
      </c>
      <c r="AEX27" s="6" t="str">
        <f t="shared" si="1126"/>
        <v>M0</v>
      </c>
      <c r="AEY27" s="6" t="str">
        <f t="shared" si="1126"/>
        <v>M0</v>
      </c>
      <c r="AEZ27" s="6" t="str">
        <f t="shared" si="1126"/>
        <v>M0</v>
      </c>
      <c r="AFA27" s="6" t="str">
        <f t="shared" si="1126"/>
        <v>M0</v>
      </c>
      <c r="AFB27" s="6" t="str">
        <f t="shared" si="1126"/>
        <v>M0</v>
      </c>
      <c r="AFC27" s="6" t="str">
        <f t="shared" si="1126"/>
        <v>M0</v>
      </c>
      <c r="AFD27" s="6" t="str">
        <f t="shared" si="1126"/>
        <v>M0</v>
      </c>
      <c r="AFE27" s="6" t="str">
        <f t="shared" ref="AFE27:AHP27" si="1127">IF(OR(AFE$28="M1", AFE29="M2",AFE30="M3",AFE31="M4",AFE32="M5"),"", "M0")</f>
        <v>M0</v>
      </c>
      <c r="AFF27" s="6" t="str">
        <f t="shared" si="1127"/>
        <v>M0</v>
      </c>
      <c r="AFG27" s="6" t="str">
        <f t="shared" si="1127"/>
        <v>M0</v>
      </c>
      <c r="AFH27" s="6" t="str">
        <f t="shared" si="1127"/>
        <v>M0</v>
      </c>
      <c r="AFI27" s="6" t="str">
        <f t="shared" si="1127"/>
        <v>M0</v>
      </c>
      <c r="AFJ27" s="6" t="str">
        <f t="shared" si="1127"/>
        <v>M0</v>
      </c>
      <c r="AFK27" s="6" t="str">
        <f t="shared" si="1127"/>
        <v>M0</v>
      </c>
      <c r="AFL27" s="6" t="str">
        <f t="shared" si="1127"/>
        <v>M0</v>
      </c>
      <c r="AFM27" s="6" t="str">
        <f t="shared" si="1127"/>
        <v>M0</v>
      </c>
      <c r="AFN27" s="6" t="str">
        <f t="shared" si="1127"/>
        <v>M0</v>
      </c>
      <c r="AFO27" s="6" t="str">
        <f t="shared" si="1127"/>
        <v>M0</v>
      </c>
      <c r="AFP27" s="6" t="str">
        <f t="shared" si="1127"/>
        <v>M0</v>
      </c>
      <c r="AFQ27" s="6" t="str">
        <f t="shared" si="1127"/>
        <v>M0</v>
      </c>
      <c r="AFR27" s="6" t="str">
        <f t="shared" si="1127"/>
        <v>M0</v>
      </c>
      <c r="AFS27" s="6" t="str">
        <f t="shared" si="1127"/>
        <v>M0</v>
      </c>
      <c r="AFT27" s="6" t="str">
        <f t="shared" si="1127"/>
        <v>M0</v>
      </c>
      <c r="AFU27" s="6" t="str">
        <f t="shared" si="1127"/>
        <v>M0</v>
      </c>
      <c r="AFV27" s="6" t="str">
        <f t="shared" si="1127"/>
        <v>M0</v>
      </c>
      <c r="AFW27" s="6" t="str">
        <f t="shared" si="1127"/>
        <v>M0</v>
      </c>
      <c r="AFX27" s="6" t="str">
        <f t="shared" si="1127"/>
        <v>M0</v>
      </c>
      <c r="AFY27" s="6" t="str">
        <f t="shared" si="1127"/>
        <v>M0</v>
      </c>
      <c r="AFZ27" s="6" t="str">
        <f t="shared" si="1127"/>
        <v>M0</v>
      </c>
      <c r="AGA27" s="6" t="str">
        <f t="shared" si="1127"/>
        <v>M0</v>
      </c>
      <c r="AGB27" s="6" t="str">
        <f t="shared" si="1127"/>
        <v>M0</v>
      </c>
      <c r="AGC27" s="6" t="str">
        <f t="shared" si="1127"/>
        <v>M0</v>
      </c>
      <c r="AGD27" s="6" t="str">
        <f t="shared" si="1127"/>
        <v>M0</v>
      </c>
      <c r="AGE27" s="6" t="str">
        <f t="shared" si="1127"/>
        <v>M0</v>
      </c>
      <c r="AGF27" s="6" t="str">
        <f t="shared" si="1127"/>
        <v>M0</v>
      </c>
      <c r="AGG27" s="6" t="str">
        <f t="shared" si="1127"/>
        <v>M0</v>
      </c>
      <c r="AGH27" s="6" t="str">
        <f t="shared" si="1127"/>
        <v>M0</v>
      </c>
      <c r="AGI27" s="6" t="str">
        <f t="shared" si="1127"/>
        <v>M0</v>
      </c>
      <c r="AGJ27" s="6" t="str">
        <f t="shared" si="1127"/>
        <v>M0</v>
      </c>
      <c r="AGK27" s="6" t="str">
        <f t="shared" si="1127"/>
        <v>M0</v>
      </c>
      <c r="AGL27" s="6" t="str">
        <f t="shared" si="1127"/>
        <v>M0</v>
      </c>
      <c r="AGM27" s="6" t="str">
        <f t="shared" si="1127"/>
        <v>M0</v>
      </c>
      <c r="AGN27" s="6" t="str">
        <f t="shared" si="1127"/>
        <v>M0</v>
      </c>
      <c r="AGO27" s="6" t="str">
        <f t="shared" si="1127"/>
        <v>M0</v>
      </c>
      <c r="AGP27" s="6" t="str">
        <f t="shared" si="1127"/>
        <v>M0</v>
      </c>
      <c r="AGQ27" s="6" t="str">
        <f t="shared" si="1127"/>
        <v>M0</v>
      </c>
      <c r="AGR27" s="6" t="str">
        <f t="shared" si="1127"/>
        <v>M0</v>
      </c>
      <c r="AGS27" s="6" t="str">
        <f t="shared" si="1127"/>
        <v>M0</v>
      </c>
      <c r="AGT27" s="6" t="str">
        <f t="shared" si="1127"/>
        <v>M0</v>
      </c>
      <c r="AGU27" s="6" t="str">
        <f t="shared" si="1127"/>
        <v>M0</v>
      </c>
      <c r="AGV27" s="6" t="str">
        <f t="shared" si="1127"/>
        <v>M0</v>
      </c>
      <c r="AGW27" s="6" t="str">
        <f t="shared" si="1127"/>
        <v>M0</v>
      </c>
      <c r="AGX27" s="6" t="str">
        <f t="shared" si="1127"/>
        <v>M0</v>
      </c>
      <c r="AGY27" s="6" t="str">
        <f t="shared" si="1127"/>
        <v>M0</v>
      </c>
      <c r="AGZ27" s="6" t="str">
        <f t="shared" si="1127"/>
        <v>M0</v>
      </c>
      <c r="AHA27" s="6" t="str">
        <f t="shared" si="1127"/>
        <v>M0</v>
      </c>
      <c r="AHB27" s="6" t="str">
        <f t="shared" si="1127"/>
        <v>M0</v>
      </c>
      <c r="AHC27" s="6" t="str">
        <f t="shared" si="1127"/>
        <v>M0</v>
      </c>
      <c r="AHD27" s="6" t="str">
        <f t="shared" si="1127"/>
        <v>M0</v>
      </c>
      <c r="AHE27" s="6" t="str">
        <f t="shared" si="1127"/>
        <v>M0</v>
      </c>
      <c r="AHF27" s="6" t="str">
        <f t="shared" si="1127"/>
        <v>M0</v>
      </c>
      <c r="AHG27" s="6" t="str">
        <f t="shared" si="1127"/>
        <v>M0</v>
      </c>
      <c r="AHH27" s="6" t="str">
        <f t="shared" si="1127"/>
        <v>M0</v>
      </c>
      <c r="AHI27" s="6" t="str">
        <f t="shared" si="1127"/>
        <v>M0</v>
      </c>
      <c r="AHJ27" s="6" t="str">
        <f t="shared" si="1127"/>
        <v>M0</v>
      </c>
      <c r="AHK27" s="6" t="str">
        <f t="shared" si="1127"/>
        <v>M0</v>
      </c>
      <c r="AHL27" s="6" t="str">
        <f t="shared" si="1127"/>
        <v>M0</v>
      </c>
      <c r="AHM27" s="6" t="str">
        <f t="shared" si="1127"/>
        <v>M0</v>
      </c>
      <c r="AHN27" s="6" t="str">
        <f t="shared" si="1127"/>
        <v>M0</v>
      </c>
      <c r="AHO27" s="6" t="str">
        <f t="shared" si="1127"/>
        <v>M0</v>
      </c>
      <c r="AHP27" s="6" t="str">
        <f t="shared" si="1127"/>
        <v>M0</v>
      </c>
      <c r="AHQ27" s="6" t="str">
        <f t="shared" ref="AHQ27:AKB27" si="1128">IF(OR(AHQ$28="M1", AHQ29="M2",AHQ30="M3",AHQ31="M4",AHQ32="M5"),"", "M0")</f>
        <v>M0</v>
      </c>
      <c r="AHR27" s="6" t="str">
        <f t="shared" si="1128"/>
        <v>M0</v>
      </c>
      <c r="AHS27" s="6" t="str">
        <f t="shared" si="1128"/>
        <v>M0</v>
      </c>
      <c r="AHT27" s="6" t="str">
        <f t="shared" si="1128"/>
        <v>M0</v>
      </c>
      <c r="AHU27" s="6" t="str">
        <f t="shared" si="1128"/>
        <v>M0</v>
      </c>
      <c r="AHV27" s="6" t="str">
        <f t="shared" si="1128"/>
        <v>M0</v>
      </c>
      <c r="AHW27" s="6" t="str">
        <f t="shared" si="1128"/>
        <v>M0</v>
      </c>
      <c r="AHX27" s="6" t="str">
        <f t="shared" si="1128"/>
        <v>M0</v>
      </c>
      <c r="AHY27" s="6" t="str">
        <f t="shared" si="1128"/>
        <v>M0</v>
      </c>
      <c r="AHZ27" s="6" t="str">
        <f t="shared" si="1128"/>
        <v>M0</v>
      </c>
      <c r="AIA27" s="6" t="str">
        <f t="shared" si="1128"/>
        <v>M0</v>
      </c>
      <c r="AIB27" s="6" t="str">
        <f t="shared" si="1128"/>
        <v>M0</v>
      </c>
      <c r="AIC27" s="6" t="str">
        <f t="shared" si="1128"/>
        <v>M0</v>
      </c>
      <c r="AID27" s="6" t="str">
        <f t="shared" si="1128"/>
        <v>M0</v>
      </c>
      <c r="AIE27" s="6" t="str">
        <f t="shared" si="1128"/>
        <v>M0</v>
      </c>
      <c r="AIF27" s="6" t="str">
        <f t="shared" si="1128"/>
        <v>M0</v>
      </c>
      <c r="AIG27" s="6" t="str">
        <f t="shared" si="1128"/>
        <v>M0</v>
      </c>
      <c r="AIH27" s="6" t="str">
        <f t="shared" si="1128"/>
        <v>M0</v>
      </c>
      <c r="AII27" s="6" t="str">
        <f t="shared" si="1128"/>
        <v>M0</v>
      </c>
      <c r="AIJ27" s="6" t="str">
        <f t="shared" si="1128"/>
        <v>M0</v>
      </c>
      <c r="AIK27" s="6" t="str">
        <f t="shared" si="1128"/>
        <v>M0</v>
      </c>
      <c r="AIL27" s="6" t="str">
        <f t="shared" si="1128"/>
        <v>M0</v>
      </c>
      <c r="AIM27" s="6" t="str">
        <f t="shared" si="1128"/>
        <v>M0</v>
      </c>
      <c r="AIN27" s="6" t="str">
        <f t="shared" si="1128"/>
        <v>M0</v>
      </c>
      <c r="AIO27" s="6" t="str">
        <f t="shared" si="1128"/>
        <v>M0</v>
      </c>
      <c r="AIP27" s="6" t="str">
        <f t="shared" si="1128"/>
        <v>M0</v>
      </c>
      <c r="AIQ27" s="6" t="str">
        <f t="shared" si="1128"/>
        <v>M0</v>
      </c>
      <c r="AIR27" s="6" t="str">
        <f t="shared" si="1128"/>
        <v>M0</v>
      </c>
      <c r="AIS27" s="6" t="str">
        <f t="shared" si="1128"/>
        <v>M0</v>
      </c>
      <c r="AIT27" s="6" t="str">
        <f t="shared" si="1128"/>
        <v>M0</v>
      </c>
      <c r="AIU27" s="6" t="str">
        <f t="shared" si="1128"/>
        <v>M0</v>
      </c>
      <c r="AIV27" s="6" t="str">
        <f t="shared" si="1128"/>
        <v>M0</v>
      </c>
      <c r="AIW27" s="6" t="str">
        <f t="shared" si="1128"/>
        <v>M0</v>
      </c>
      <c r="AIX27" s="6" t="str">
        <f t="shared" si="1128"/>
        <v>M0</v>
      </c>
      <c r="AIY27" s="6" t="str">
        <f t="shared" si="1128"/>
        <v>M0</v>
      </c>
      <c r="AIZ27" s="6" t="str">
        <f t="shared" si="1128"/>
        <v>M0</v>
      </c>
      <c r="AJA27" s="6" t="str">
        <f t="shared" si="1128"/>
        <v>M0</v>
      </c>
      <c r="AJB27" s="6" t="str">
        <f t="shared" si="1128"/>
        <v>M0</v>
      </c>
      <c r="AJC27" s="6" t="str">
        <f t="shared" si="1128"/>
        <v>M0</v>
      </c>
      <c r="AJD27" s="6" t="str">
        <f t="shared" si="1128"/>
        <v>M0</v>
      </c>
      <c r="AJE27" s="6" t="str">
        <f t="shared" si="1128"/>
        <v>M0</v>
      </c>
      <c r="AJF27" s="6" t="str">
        <f t="shared" si="1128"/>
        <v>M0</v>
      </c>
      <c r="AJG27" s="6" t="str">
        <f t="shared" si="1128"/>
        <v>M0</v>
      </c>
      <c r="AJH27" s="6" t="str">
        <f t="shared" si="1128"/>
        <v>M0</v>
      </c>
      <c r="AJI27" s="6" t="str">
        <f t="shared" si="1128"/>
        <v>M0</v>
      </c>
      <c r="AJJ27" s="6" t="str">
        <f t="shared" si="1128"/>
        <v>M0</v>
      </c>
      <c r="AJK27" s="6" t="str">
        <f t="shared" si="1128"/>
        <v>M0</v>
      </c>
      <c r="AJL27" s="6" t="str">
        <f t="shared" si="1128"/>
        <v>M0</v>
      </c>
      <c r="AJM27" s="6" t="str">
        <f t="shared" si="1128"/>
        <v>M0</v>
      </c>
      <c r="AJN27" s="6" t="str">
        <f t="shared" si="1128"/>
        <v>M0</v>
      </c>
      <c r="AJO27" s="6" t="str">
        <f t="shared" si="1128"/>
        <v>M0</v>
      </c>
      <c r="AJP27" s="6" t="str">
        <f t="shared" si="1128"/>
        <v>M0</v>
      </c>
      <c r="AJQ27" s="6" t="str">
        <f t="shared" si="1128"/>
        <v>M0</v>
      </c>
      <c r="AJR27" s="6" t="str">
        <f t="shared" si="1128"/>
        <v>M0</v>
      </c>
      <c r="AJS27" s="6" t="str">
        <f t="shared" si="1128"/>
        <v>M0</v>
      </c>
      <c r="AJT27" s="6" t="str">
        <f t="shared" si="1128"/>
        <v>M0</v>
      </c>
      <c r="AJU27" s="6" t="str">
        <f t="shared" si="1128"/>
        <v>M0</v>
      </c>
      <c r="AJV27" s="6" t="str">
        <f t="shared" si="1128"/>
        <v>M0</v>
      </c>
      <c r="AJW27" s="6" t="str">
        <f t="shared" si="1128"/>
        <v>M0</v>
      </c>
      <c r="AJX27" s="6" t="str">
        <f t="shared" si="1128"/>
        <v>M0</v>
      </c>
      <c r="AJY27" s="6" t="str">
        <f t="shared" si="1128"/>
        <v>M0</v>
      </c>
      <c r="AJZ27" s="6" t="str">
        <f t="shared" si="1128"/>
        <v>M0</v>
      </c>
      <c r="AKA27" s="6" t="str">
        <f t="shared" si="1128"/>
        <v>M0</v>
      </c>
      <c r="AKB27" s="6" t="str">
        <f t="shared" si="1128"/>
        <v>M0</v>
      </c>
      <c r="AKC27" s="6" t="str">
        <f t="shared" ref="AKC27:ALW27" si="1129">IF(OR(AKC$28="M1", AKC29="M2",AKC30="M3",AKC31="M4",AKC32="M5"),"", "M0")</f>
        <v>M0</v>
      </c>
      <c r="AKD27" s="6" t="str">
        <f t="shared" si="1129"/>
        <v>M0</v>
      </c>
      <c r="AKE27" s="6" t="str">
        <f t="shared" si="1129"/>
        <v>M0</v>
      </c>
      <c r="AKF27" s="6" t="str">
        <f t="shared" si="1129"/>
        <v>M0</v>
      </c>
      <c r="AKG27" s="6" t="str">
        <f t="shared" si="1129"/>
        <v>M0</v>
      </c>
      <c r="AKH27" s="6" t="str">
        <f t="shared" si="1129"/>
        <v>M0</v>
      </c>
      <c r="AKI27" s="6" t="str">
        <f t="shared" si="1129"/>
        <v>M0</v>
      </c>
      <c r="AKJ27" s="6" t="str">
        <f t="shared" si="1129"/>
        <v>M0</v>
      </c>
      <c r="AKK27" s="6" t="str">
        <f t="shared" si="1129"/>
        <v>M0</v>
      </c>
      <c r="AKL27" s="6" t="str">
        <f t="shared" si="1129"/>
        <v>M0</v>
      </c>
      <c r="AKM27" s="6" t="str">
        <f t="shared" si="1129"/>
        <v>M0</v>
      </c>
      <c r="AKN27" s="6" t="str">
        <f t="shared" si="1129"/>
        <v>M0</v>
      </c>
      <c r="AKO27" s="6" t="str">
        <f t="shared" si="1129"/>
        <v>M0</v>
      </c>
      <c r="AKP27" s="6" t="str">
        <f t="shared" si="1129"/>
        <v>M0</v>
      </c>
      <c r="AKQ27" s="6" t="str">
        <f t="shared" si="1129"/>
        <v>M0</v>
      </c>
      <c r="AKR27" s="6" t="str">
        <f t="shared" si="1129"/>
        <v>M0</v>
      </c>
      <c r="AKS27" s="6" t="str">
        <f t="shared" si="1129"/>
        <v>M0</v>
      </c>
      <c r="AKT27" s="6" t="str">
        <f t="shared" si="1129"/>
        <v>M0</v>
      </c>
      <c r="AKU27" s="6" t="str">
        <f t="shared" si="1129"/>
        <v>M0</v>
      </c>
      <c r="AKV27" s="6" t="str">
        <f t="shared" si="1129"/>
        <v>M0</v>
      </c>
      <c r="AKW27" s="6" t="str">
        <f t="shared" si="1129"/>
        <v>M0</v>
      </c>
      <c r="AKX27" s="6" t="str">
        <f t="shared" si="1129"/>
        <v>M0</v>
      </c>
      <c r="AKY27" s="6" t="str">
        <f t="shared" si="1129"/>
        <v>M0</v>
      </c>
      <c r="AKZ27" s="6" t="str">
        <f t="shared" si="1129"/>
        <v>M0</v>
      </c>
      <c r="ALA27" s="6" t="str">
        <f t="shared" si="1129"/>
        <v>M0</v>
      </c>
      <c r="ALB27" s="6" t="str">
        <f t="shared" si="1129"/>
        <v>M0</v>
      </c>
      <c r="ALC27" s="6" t="str">
        <f t="shared" si="1129"/>
        <v>M0</v>
      </c>
      <c r="ALD27" s="6" t="str">
        <f t="shared" si="1129"/>
        <v>M0</v>
      </c>
      <c r="ALE27" s="6" t="str">
        <f t="shared" si="1129"/>
        <v>M0</v>
      </c>
      <c r="ALF27" s="6" t="str">
        <f t="shared" si="1129"/>
        <v>M0</v>
      </c>
      <c r="ALG27" s="6" t="str">
        <f t="shared" si="1129"/>
        <v>M0</v>
      </c>
      <c r="ALH27" s="6" t="str">
        <f t="shared" si="1129"/>
        <v>M0</v>
      </c>
      <c r="ALI27" s="6" t="str">
        <f t="shared" si="1129"/>
        <v>M0</v>
      </c>
      <c r="ALJ27" s="6" t="str">
        <f t="shared" si="1129"/>
        <v>M0</v>
      </c>
      <c r="ALK27" s="6" t="str">
        <f t="shared" si="1129"/>
        <v>M0</v>
      </c>
      <c r="ALL27" s="6" t="str">
        <f t="shared" si="1129"/>
        <v>M0</v>
      </c>
      <c r="ALM27" s="6" t="str">
        <f t="shared" si="1129"/>
        <v>M0</v>
      </c>
      <c r="ALN27" s="6" t="str">
        <f t="shared" si="1129"/>
        <v>M0</v>
      </c>
      <c r="ALO27" s="6" t="str">
        <f t="shared" si="1129"/>
        <v>M0</v>
      </c>
      <c r="ALP27" s="6" t="str">
        <f t="shared" si="1129"/>
        <v>M0</v>
      </c>
      <c r="ALQ27" s="6" t="str">
        <f t="shared" si="1129"/>
        <v>M0</v>
      </c>
      <c r="ALR27" s="6" t="str">
        <f t="shared" si="1129"/>
        <v>M0</v>
      </c>
      <c r="ALS27" s="6" t="str">
        <f t="shared" si="1129"/>
        <v>M0</v>
      </c>
      <c r="ALT27" s="6" t="str">
        <f t="shared" si="1129"/>
        <v>M0</v>
      </c>
      <c r="ALU27" s="6" t="str">
        <f t="shared" si="1129"/>
        <v>M0</v>
      </c>
      <c r="ALV27" s="6" t="str">
        <f t="shared" si="1129"/>
        <v>M0</v>
      </c>
      <c r="ALW27" s="6" t="str">
        <f t="shared" si="1129"/>
        <v>M0</v>
      </c>
    </row>
    <row r="28" spans="2:1011" outlineLevel="1" x14ac:dyDescent="0.25">
      <c r="C28" s="5" t="s">
        <v>4</v>
      </c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IB28" s="6"/>
      <c r="IC28" s="6"/>
      <c r="ID28" s="6"/>
      <c r="IE28" s="6"/>
      <c r="IF28" s="6"/>
      <c r="IG28" s="6"/>
      <c r="IH28" s="6"/>
      <c r="II28" s="6"/>
      <c r="IJ28" s="6"/>
      <c r="IK28" s="6"/>
      <c r="IL28" s="6"/>
      <c r="IM28" s="6"/>
      <c r="IN28" s="6"/>
      <c r="IO28" s="6"/>
      <c r="IP28" s="6"/>
      <c r="IQ28" s="6"/>
      <c r="IR28" s="6"/>
      <c r="IS28" s="6"/>
      <c r="IT28" s="6"/>
      <c r="IU28" s="6"/>
      <c r="IV28" s="6"/>
      <c r="IW28" s="6"/>
      <c r="IX28" s="6"/>
      <c r="IY28" s="6"/>
      <c r="IZ28" s="6"/>
      <c r="JA28" s="6"/>
      <c r="JB28" s="6"/>
      <c r="JC28" s="6"/>
      <c r="JD28" s="6"/>
      <c r="JE28" s="6"/>
      <c r="JF28" s="6"/>
      <c r="JG28" s="6"/>
      <c r="JH28" s="6"/>
      <c r="JI28" s="6"/>
      <c r="JJ28" s="6"/>
      <c r="JK28" s="6"/>
      <c r="JL28" s="6"/>
      <c r="JM28" s="6"/>
      <c r="JN28" s="6"/>
      <c r="JO28" s="6"/>
      <c r="JP28" s="6"/>
      <c r="JQ28" s="6"/>
      <c r="JR28" s="6"/>
      <c r="JS28" s="6"/>
      <c r="JT28" s="6"/>
      <c r="JU28" s="6"/>
      <c r="JV28" s="6"/>
      <c r="JW28" s="6"/>
      <c r="JX28" s="6"/>
      <c r="JY28" s="6"/>
      <c r="JZ28" s="6"/>
      <c r="KA28" s="6"/>
      <c r="KB28" s="6"/>
      <c r="KC28" s="6"/>
      <c r="KD28" s="6"/>
      <c r="KE28" s="6"/>
      <c r="KF28" s="6"/>
      <c r="KG28" s="6"/>
      <c r="KH28" s="6"/>
      <c r="KI28" s="6"/>
      <c r="KJ28" s="6"/>
      <c r="KK28" s="6"/>
      <c r="KL28" s="6"/>
      <c r="KM28" s="6"/>
      <c r="KN28" s="6"/>
      <c r="KO28" s="6"/>
      <c r="KP28" s="6"/>
      <c r="KQ28" s="6"/>
      <c r="KR28" s="6"/>
      <c r="KS28" s="6"/>
      <c r="KT28" s="6"/>
      <c r="KU28" s="6"/>
      <c r="KV28" s="6"/>
      <c r="KW28" s="6"/>
      <c r="KX28" s="6"/>
      <c r="KY28" s="6"/>
      <c r="KZ28" s="6"/>
      <c r="LA28" s="6"/>
      <c r="LB28" s="6"/>
      <c r="LC28" s="6"/>
      <c r="LD28" s="6"/>
      <c r="LE28" s="6"/>
      <c r="LF28" s="6"/>
      <c r="LG28" s="6"/>
      <c r="LH28" s="6"/>
      <c r="LI28" s="6"/>
      <c r="LJ28" s="6"/>
      <c r="LK28" s="6"/>
      <c r="LL28" s="6"/>
      <c r="LM28" s="6"/>
      <c r="LN28" s="6"/>
      <c r="LO28" s="6"/>
      <c r="LP28" s="6"/>
      <c r="LQ28" s="6"/>
      <c r="LR28" s="6"/>
      <c r="LS28" s="6"/>
      <c r="LT28" s="6"/>
      <c r="LU28" s="6"/>
      <c r="LV28" s="6"/>
      <c r="LW28" s="6"/>
      <c r="LX28" s="6"/>
      <c r="LY28" s="6"/>
      <c r="LZ28" s="6"/>
      <c r="MA28" s="6"/>
      <c r="MB28" s="6"/>
      <c r="MC28" s="6"/>
      <c r="MD28" s="6"/>
      <c r="ME28" s="6"/>
      <c r="MF28" s="6"/>
      <c r="MG28" s="6"/>
      <c r="MH28" s="6"/>
      <c r="MI28" s="6"/>
      <c r="MJ28" s="6"/>
      <c r="MK28" s="6"/>
      <c r="ML28" s="6"/>
      <c r="MM28" s="6"/>
      <c r="MN28" s="6"/>
      <c r="MO28" s="6"/>
      <c r="MP28" s="6"/>
      <c r="MQ28" s="6"/>
      <c r="MR28" s="6"/>
      <c r="MS28" s="6"/>
      <c r="MT28" s="6"/>
      <c r="MU28" s="6"/>
      <c r="MV28" s="6"/>
      <c r="MW28" s="6"/>
      <c r="MX28" s="6"/>
      <c r="MY28" s="6"/>
      <c r="MZ28" s="6"/>
      <c r="NA28" s="6"/>
      <c r="NB28" s="6"/>
      <c r="NC28" s="6"/>
      <c r="ND28" s="6"/>
      <c r="NE28" s="6"/>
      <c r="NF28" s="6"/>
      <c r="NG28" s="6"/>
      <c r="NH28" s="6"/>
      <c r="NI28" s="6"/>
      <c r="NJ28" s="6"/>
      <c r="NK28" s="6"/>
      <c r="NL28" s="6"/>
      <c r="NM28" s="6"/>
      <c r="NN28" s="6"/>
      <c r="NO28" s="6"/>
      <c r="NP28" s="6"/>
      <c r="NQ28" s="6"/>
      <c r="NR28" s="6"/>
      <c r="NS28" s="6"/>
      <c r="NT28" s="6"/>
      <c r="NU28" s="6"/>
      <c r="NV28" s="6"/>
      <c r="NW28" s="6"/>
      <c r="NX28" s="6"/>
      <c r="NY28" s="6"/>
      <c r="NZ28" s="6"/>
      <c r="OA28" s="6"/>
      <c r="OB28" s="6"/>
      <c r="OC28" s="6"/>
      <c r="OD28" s="6"/>
      <c r="OE28" s="6"/>
      <c r="OF28" s="6"/>
      <c r="OG28" s="6"/>
      <c r="OH28" s="6"/>
      <c r="OI28" s="6"/>
      <c r="OJ28" s="6"/>
      <c r="OK28" s="6"/>
      <c r="OL28" s="6"/>
      <c r="OM28" s="6"/>
      <c r="ON28" s="6"/>
      <c r="OO28" s="6"/>
      <c r="OP28" s="6"/>
      <c r="OQ28" s="6"/>
      <c r="OR28" s="6"/>
      <c r="OS28" s="6"/>
      <c r="OT28" s="6"/>
      <c r="OU28" s="6"/>
      <c r="OV28" s="6"/>
      <c r="OW28" s="6"/>
      <c r="OX28" s="6"/>
      <c r="OY28" s="6"/>
      <c r="OZ28" s="6"/>
      <c r="PA28" s="6"/>
      <c r="PB28" s="6"/>
      <c r="PC28" s="6"/>
      <c r="PD28" s="6"/>
      <c r="PE28" s="6"/>
      <c r="PF28" s="6"/>
      <c r="PG28" s="6"/>
      <c r="PH28" s="6"/>
      <c r="PI28" s="6"/>
      <c r="PJ28" s="6"/>
      <c r="PK28" s="6"/>
      <c r="PL28" s="6"/>
      <c r="PM28" s="6"/>
      <c r="PN28" s="6"/>
      <c r="PO28" s="6"/>
      <c r="PP28" s="6"/>
      <c r="PQ28" s="6"/>
      <c r="PR28" s="6"/>
      <c r="PS28" s="6"/>
      <c r="PT28" s="6"/>
      <c r="PU28" s="6"/>
      <c r="PV28" s="6"/>
      <c r="PW28" s="6"/>
      <c r="PX28" s="6"/>
      <c r="PY28" s="6"/>
      <c r="PZ28" s="6"/>
      <c r="QA28" s="6"/>
      <c r="QB28" s="6"/>
      <c r="QC28" s="6"/>
      <c r="QD28" s="6"/>
      <c r="QE28" s="6"/>
      <c r="QF28" s="6"/>
      <c r="QG28" s="6"/>
      <c r="QH28" s="6"/>
      <c r="QI28" s="6"/>
      <c r="QJ28" s="6"/>
      <c r="QK28" s="6"/>
      <c r="QL28" s="6"/>
      <c r="QM28" s="6"/>
      <c r="QN28" s="6"/>
      <c r="QO28" s="6"/>
      <c r="QP28" s="6"/>
      <c r="QQ28" s="6"/>
      <c r="QR28" s="6"/>
      <c r="QS28" s="6"/>
      <c r="QT28" s="6"/>
      <c r="QU28" s="6"/>
      <c r="QV28" s="6"/>
      <c r="QW28" s="6"/>
      <c r="QX28" s="6"/>
      <c r="QY28" s="6"/>
      <c r="QZ28" s="6"/>
      <c r="RA28" s="6"/>
      <c r="RB28" s="6"/>
      <c r="RC28" s="6"/>
      <c r="RD28" s="6"/>
      <c r="RE28" s="6"/>
      <c r="RF28" s="6"/>
      <c r="RG28" s="6"/>
      <c r="RH28" s="6"/>
      <c r="RI28" s="6"/>
      <c r="RJ28" s="6"/>
      <c r="RK28" s="6"/>
      <c r="RL28" s="6"/>
      <c r="RM28" s="6"/>
      <c r="RN28" s="6"/>
      <c r="RO28" s="6"/>
      <c r="RP28" s="6"/>
      <c r="RQ28" s="6"/>
      <c r="RR28" s="6"/>
      <c r="RS28" s="6"/>
      <c r="RT28" s="6"/>
      <c r="RU28" s="6"/>
      <c r="RV28" s="6"/>
      <c r="RW28" s="6"/>
      <c r="RX28" s="6"/>
      <c r="RY28" s="6"/>
      <c r="RZ28" s="6"/>
      <c r="SA28" s="6"/>
      <c r="SB28" s="6"/>
      <c r="SC28" s="6"/>
      <c r="SD28" s="6"/>
      <c r="SE28" s="6"/>
      <c r="SF28" s="6"/>
      <c r="SG28" s="6"/>
      <c r="SH28" s="6"/>
      <c r="SI28" s="6"/>
      <c r="SJ28" s="6"/>
      <c r="SK28" s="6"/>
      <c r="SL28" s="6"/>
      <c r="SM28" s="6"/>
      <c r="SN28" s="6"/>
      <c r="SO28" s="6"/>
      <c r="SP28" s="6"/>
      <c r="SQ28" s="6"/>
      <c r="SR28" s="6"/>
      <c r="SS28" s="6"/>
      <c r="ST28" s="6"/>
      <c r="SU28" s="6"/>
      <c r="SV28" s="6"/>
      <c r="SW28" s="6"/>
      <c r="SX28" s="6"/>
      <c r="SY28" s="6"/>
      <c r="SZ28" s="6"/>
      <c r="TA28" s="6"/>
      <c r="TB28" s="6"/>
      <c r="TC28" s="6"/>
      <c r="TD28" s="6"/>
      <c r="TE28" s="6"/>
      <c r="TF28" s="6"/>
      <c r="TG28" s="6"/>
      <c r="TH28" s="6"/>
      <c r="TI28" s="6"/>
      <c r="TJ28" s="6"/>
      <c r="TK28" s="6"/>
      <c r="TL28" s="6"/>
      <c r="TM28" s="6"/>
      <c r="TN28" s="6"/>
      <c r="TO28" s="6"/>
      <c r="TP28" s="6"/>
      <c r="TQ28" s="6"/>
      <c r="TR28" s="6"/>
      <c r="TS28" s="6"/>
      <c r="TT28" s="6"/>
      <c r="TU28" s="6"/>
      <c r="TV28" s="6"/>
      <c r="TW28" s="6"/>
      <c r="TX28" s="6"/>
      <c r="TY28" s="6"/>
      <c r="TZ28" s="6"/>
      <c r="UA28" s="6"/>
      <c r="UB28" s="6"/>
      <c r="UC28" s="6"/>
      <c r="UD28" s="6"/>
      <c r="UE28" s="6"/>
      <c r="UF28" s="6"/>
      <c r="UG28" s="6"/>
      <c r="UH28" s="6"/>
      <c r="UI28" s="6"/>
      <c r="UJ28" s="6"/>
      <c r="UK28" s="6"/>
      <c r="UL28" s="6"/>
      <c r="UM28" s="6"/>
      <c r="UN28" s="6"/>
      <c r="UO28" s="6"/>
      <c r="UP28" s="6"/>
      <c r="UQ28" s="6"/>
      <c r="UR28" s="6"/>
      <c r="US28" s="6"/>
      <c r="UT28" s="6"/>
      <c r="UU28" s="6"/>
      <c r="UV28" s="6"/>
      <c r="UW28" s="6"/>
      <c r="UX28" s="6"/>
      <c r="UY28" s="6"/>
      <c r="UZ28" s="6"/>
      <c r="VA28" s="6"/>
      <c r="VB28" s="6"/>
      <c r="VC28" s="6"/>
      <c r="VD28" s="6"/>
      <c r="VE28" s="6"/>
      <c r="VF28" s="6"/>
      <c r="VG28" s="6"/>
      <c r="VH28" s="6"/>
      <c r="VI28" s="6"/>
      <c r="VJ28" s="6"/>
      <c r="VK28" s="6"/>
      <c r="VL28" s="6"/>
      <c r="VM28" s="6"/>
      <c r="VN28" s="6"/>
      <c r="VO28" s="6"/>
      <c r="VP28" s="6"/>
      <c r="VQ28" s="6"/>
      <c r="VR28" s="6"/>
      <c r="VS28" s="6"/>
      <c r="VT28" s="6"/>
      <c r="VU28" s="6"/>
      <c r="VV28" s="6"/>
      <c r="VW28" s="6"/>
      <c r="VX28" s="6"/>
      <c r="VY28" s="6"/>
      <c r="VZ28" s="6"/>
      <c r="WA28" s="6"/>
      <c r="WB28" s="6"/>
      <c r="WC28" s="6"/>
      <c r="WD28" s="6"/>
      <c r="WE28" s="6"/>
      <c r="WF28" s="6"/>
      <c r="WG28" s="6"/>
      <c r="WH28" s="6"/>
      <c r="WI28" s="6"/>
      <c r="WJ28" s="6"/>
      <c r="WK28" s="6"/>
      <c r="WL28" s="6"/>
      <c r="WM28" s="6"/>
      <c r="WN28" s="6"/>
      <c r="WO28" s="6"/>
      <c r="WP28" s="6"/>
      <c r="WQ28" s="6"/>
      <c r="WR28" s="6"/>
      <c r="WS28" s="6"/>
      <c r="WT28" s="6"/>
      <c r="WU28" s="6"/>
      <c r="WV28" s="6"/>
      <c r="WW28" s="6"/>
      <c r="WX28" s="6"/>
      <c r="WY28" s="6"/>
      <c r="WZ28" s="6"/>
      <c r="XA28" s="6"/>
      <c r="XB28" s="6"/>
      <c r="XC28" s="6"/>
      <c r="XD28" s="6"/>
      <c r="XE28" s="6"/>
      <c r="XF28" s="6"/>
      <c r="XG28" s="6"/>
      <c r="XH28" s="6"/>
      <c r="XI28" s="6"/>
      <c r="XJ28" s="6"/>
      <c r="XK28" s="6"/>
      <c r="XL28" s="6"/>
      <c r="XM28" s="6"/>
      <c r="XN28" s="6"/>
      <c r="XO28" s="6"/>
      <c r="XP28" s="6"/>
      <c r="XQ28" s="6"/>
      <c r="XR28" s="6"/>
      <c r="XS28" s="6"/>
      <c r="XT28" s="6"/>
      <c r="XU28" s="6"/>
      <c r="XV28" s="6"/>
      <c r="XW28" s="6"/>
      <c r="XX28" s="6"/>
      <c r="XY28" s="6"/>
      <c r="XZ28" s="6"/>
      <c r="YA28" s="6"/>
      <c r="YB28" s="6"/>
      <c r="YC28" s="6"/>
      <c r="YD28" s="6"/>
      <c r="YE28" s="6"/>
      <c r="YF28" s="6"/>
      <c r="YG28" s="6"/>
      <c r="YH28" s="6"/>
      <c r="YI28" s="6"/>
      <c r="YJ28" s="6"/>
      <c r="YK28" s="6"/>
      <c r="YL28" s="6"/>
      <c r="YM28" s="6"/>
      <c r="YN28" s="6"/>
      <c r="YO28" s="6"/>
      <c r="YP28" s="6"/>
      <c r="YQ28" s="6"/>
      <c r="YR28" s="6"/>
      <c r="YS28" s="6"/>
      <c r="YT28" s="6"/>
      <c r="YU28" s="6"/>
      <c r="YV28" s="6"/>
      <c r="YW28" s="6"/>
      <c r="YX28" s="6"/>
      <c r="YY28" s="6"/>
      <c r="YZ28" s="6"/>
      <c r="ZA28" s="6"/>
      <c r="ZB28" s="6"/>
      <c r="ZC28" s="6"/>
      <c r="ZD28" s="6"/>
      <c r="ZE28" s="6"/>
      <c r="ZF28" s="6"/>
      <c r="ZG28" s="6"/>
      <c r="ZH28" s="6"/>
      <c r="ZI28" s="6"/>
      <c r="ZJ28" s="6"/>
      <c r="ZK28" s="6"/>
      <c r="ZL28" s="6"/>
      <c r="ZM28" s="6"/>
      <c r="ZN28" s="6"/>
      <c r="ZO28" s="6"/>
      <c r="ZP28" s="6"/>
      <c r="ZQ28" s="6"/>
      <c r="ZR28" s="6"/>
      <c r="ZS28" s="6"/>
      <c r="ZT28" s="6"/>
      <c r="ZU28" s="6"/>
      <c r="ZV28" s="6"/>
      <c r="ZW28" s="6"/>
      <c r="ZX28" s="6"/>
      <c r="ZY28" s="6"/>
      <c r="ZZ28" s="6"/>
      <c r="AAA28" s="6"/>
      <c r="AAB28" s="6"/>
      <c r="AAC28" s="6"/>
      <c r="AAD28" s="6"/>
      <c r="AAE28" s="6"/>
      <c r="AAF28" s="6"/>
      <c r="AAG28" s="6"/>
      <c r="AAH28" s="6"/>
      <c r="AAI28" s="6"/>
      <c r="AAJ28" s="6"/>
      <c r="AAK28" s="6"/>
      <c r="AAL28" s="6"/>
      <c r="AAM28" s="6"/>
      <c r="AAN28" s="6"/>
      <c r="AAO28" s="6"/>
      <c r="AAP28" s="6"/>
      <c r="AAQ28" s="6"/>
      <c r="AAR28" s="6"/>
      <c r="AAS28" s="6"/>
      <c r="AAT28" s="6"/>
      <c r="AAU28" s="6"/>
      <c r="AAV28" s="6"/>
      <c r="AAW28" s="6"/>
      <c r="AAX28" s="6"/>
      <c r="AAY28" s="6"/>
      <c r="AAZ28" s="6"/>
      <c r="ABA28" s="6"/>
      <c r="ABB28" s="6"/>
      <c r="ABC28" s="6"/>
      <c r="ABD28" s="6"/>
      <c r="ABE28" s="6"/>
      <c r="ABF28" s="6"/>
      <c r="ABG28" s="6"/>
      <c r="ABH28" s="6"/>
      <c r="ABI28" s="6"/>
      <c r="ABJ28" s="6"/>
      <c r="ABK28" s="6"/>
      <c r="ABL28" s="6"/>
      <c r="ABM28" s="6"/>
      <c r="ABN28" s="6"/>
      <c r="ABO28" s="6"/>
      <c r="ABP28" s="6"/>
      <c r="ABQ28" s="6"/>
      <c r="ABR28" s="6"/>
      <c r="ABS28" s="6"/>
      <c r="ABT28" s="6"/>
      <c r="ABU28" s="6"/>
      <c r="ABV28" s="6"/>
      <c r="ABW28" s="6"/>
      <c r="ABX28" s="6"/>
      <c r="ABY28" s="6"/>
      <c r="ABZ28" s="6"/>
      <c r="ACA28" s="6"/>
      <c r="ACB28" s="6"/>
      <c r="ACC28" s="6"/>
      <c r="ACD28" s="6"/>
      <c r="ACE28" s="6"/>
      <c r="ACF28" s="6"/>
      <c r="ACG28" s="6"/>
      <c r="ACH28" s="6"/>
      <c r="ACI28" s="6"/>
      <c r="ACJ28" s="6"/>
      <c r="ACK28" s="6"/>
      <c r="ACL28" s="6"/>
      <c r="ACM28" s="6"/>
      <c r="ACN28" s="6"/>
      <c r="ACO28" s="6"/>
      <c r="ACP28" s="6"/>
      <c r="ACQ28" s="6"/>
      <c r="ACR28" s="6"/>
      <c r="ACS28" s="6"/>
      <c r="ACT28" s="6"/>
      <c r="ACU28" s="6"/>
      <c r="ACV28" s="6"/>
      <c r="ACW28" s="6"/>
      <c r="ACX28" s="6"/>
      <c r="ACY28" s="6"/>
      <c r="ACZ28" s="6"/>
      <c r="ADA28" s="6"/>
      <c r="ADB28" s="6"/>
      <c r="ADC28" s="6"/>
      <c r="ADD28" s="6"/>
      <c r="ADE28" s="6"/>
      <c r="ADF28" s="6"/>
      <c r="ADG28" s="6"/>
      <c r="ADH28" s="6"/>
      <c r="ADI28" s="6"/>
      <c r="ADJ28" s="6"/>
      <c r="ADK28" s="6"/>
      <c r="ADL28" s="6"/>
      <c r="ADM28" s="6"/>
      <c r="ADN28" s="6"/>
      <c r="ADO28" s="6"/>
      <c r="ADP28" s="6"/>
      <c r="ADQ28" s="6"/>
      <c r="ADR28" s="6"/>
      <c r="ADS28" s="6"/>
      <c r="ADT28" s="6"/>
      <c r="ADU28" s="6"/>
      <c r="ADV28" s="6"/>
      <c r="ADW28" s="6"/>
      <c r="ADX28" s="6"/>
      <c r="ADY28" s="6"/>
      <c r="ADZ28" s="6"/>
      <c r="AEA28" s="6"/>
      <c r="AEB28" s="6"/>
      <c r="AEC28" s="6"/>
      <c r="AED28" s="6"/>
      <c r="AEE28" s="6"/>
      <c r="AEF28" s="6"/>
      <c r="AEG28" s="6"/>
      <c r="AEH28" s="6"/>
      <c r="AEI28" s="6"/>
      <c r="AEJ28" s="6"/>
      <c r="AEK28" s="6"/>
      <c r="AEL28" s="6"/>
      <c r="AEM28" s="6"/>
      <c r="AEN28" s="6"/>
      <c r="AEO28" s="6"/>
      <c r="AEP28" s="6"/>
      <c r="AEQ28" s="6"/>
      <c r="AER28" s="6"/>
      <c r="AES28" s="6"/>
      <c r="AET28" s="6"/>
      <c r="AEU28" s="6"/>
      <c r="AEV28" s="6"/>
      <c r="AEW28" s="6"/>
      <c r="AEX28" s="6"/>
      <c r="AEY28" s="6"/>
      <c r="AEZ28" s="6"/>
      <c r="AFA28" s="6"/>
      <c r="AFB28" s="6"/>
      <c r="AFC28" s="6"/>
      <c r="AFD28" s="6"/>
      <c r="AFE28" s="6"/>
      <c r="AFF28" s="6"/>
      <c r="AFG28" s="6"/>
      <c r="AFH28" s="6"/>
      <c r="AFI28" s="6"/>
      <c r="AFJ28" s="6"/>
      <c r="AFK28" s="6"/>
      <c r="AFL28" s="6"/>
      <c r="AFM28" s="6"/>
      <c r="AFN28" s="6"/>
      <c r="AFO28" s="6"/>
      <c r="AFP28" s="6"/>
      <c r="AFQ28" s="6"/>
      <c r="AFR28" s="6"/>
      <c r="AFS28" s="6"/>
      <c r="AFT28" s="6"/>
      <c r="AFU28" s="6"/>
      <c r="AFV28" s="6"/>
      <c r="AFW28" s="6"/>
      <c r="AFX28" s="6"/>
      <c r="AFY28" s="6"/>
      <c r="AFZ28" s="6"/>
      <c r="AGA28" s="6"/>
      <c r="AGB28" s="6"/>
      <c r="AGC28" s="6"/>
      <c r="AGD28" s="6"/>
      <c r="AGE28" s="6"/>
      <c r="AGF28" s="6"/>
      <c r="AGG28" s="6"/>
      <c r="AGH28" s="6"/>
      <c r="AGI28" s="6"/>
      <c r="AGJ28" s="6"/>
      <c r="AGK28" s="6"/>
      <c r="AGL28" s="6"/>
      <c r="AGM28" s="6"/>
      <c r="AGN28" s="6"/>
      <c r="AGO28" s="6"/>
      <c r="AGP28" s="6"/>
      <c r="AGQ28" s="6"/>
      <c r="AGR28" s="6"/>
      <c r="AGS28" s="6"/>
      <c r="AGT28" s="6"/>
      <c r="AGU28" s="6"/>
      <c r="AGV28" s="6"/>
      <c r="AGW28" s="6"/>
      <c r="AGX28" s="6"/>
      <c r="AGY28" s="6"/>
      <c r="AGZ28" s="6"/>
      <c r="AHA28" s="6"/>
      <c r="AHB28" s="6"/>
      <c r="AHC28" s="6"/>
      <c r="AHD28" s="6"/>
      <c r="AHE28" s="6"/>
      <c r="AHF28" s="6"/>
      <c r="AHG28" s="6"/>
      <c r="AHH28" s="6"/>
      <c r="AHI28" s="6"/>
      <c r="AHJ28" s="6"/>
      <c r="AHK28" s="6"/>
      <c r="AHL28" s="6"/>
      <c r="AHM28" s="6"/>
      <c r="AHN28" s="6"/>
      <c r="AHO28" s="6"/>
      <c r="AHP28" s="6"/>
      <c r="AHQ28" s="6"/>
      <c r="AHR28" s="6"/>
      <c r="AHS28" s="6"/>
      <c r="AHT28" s="6"/>
      <c r="AHU28" s="6"/>
      <c r="AHV28" s="6"/>
      <c r="AHW28" s="6"/>
      <c r="AHX28" s="6"/>
      <c r="AHY28" s="6"/>
      <c r="AHZ28" s="6"/>
      <c r="AIA28" s="6"/>
      <c r="AIB28" s="6"/>
      <c r="AIC28" s="6"/>
      <c r="AID28" s="6"/>
      <c r="AIE28" s="6"/>
      <c r="AIF28" s="6"/>
      <c r="AIG28" s="6"/>
      <c r="AIH28" s="6"/>
      <c r="AII28" s="6"/>
      <c r="AIJ28" s="6"/>
      <c r="AIK28" s="6"/>
      <c r="AIL28" s="6"/>
      <c r="AIM28" s="6"/>
      <c r="AIN28" s="6"/>
      <c r="AIO28" s="6"/>
      <c r="AIP28" s="6"/>
      <c r="AIQ28" s="6"/>
      <c r="AIR28" s="6"/>
      <c r="AIS28" s="6"/>
      <c r="AIT28" s="6"/>
      <c r="AIU28" s="6"/>
      <c r="AIV28" s="6"/>
      <c r="AIW28" s="6"/>
      <c r="AIX28" s="6"/>
      <c r="AIY28" s="6"/>
      <c r="AIZ28" s="6"/>
      <c r="AJA28" s="6"/>
      <c r="AJB28" s="6"/>
      <c r="AJC28" s="6"/>
      <c r="AJD28" s="6"/>
      <c r="AJE28" s="6"/>
      <c r="AJF28" s="6"/>
      <c r="AJG28" s="6"/>
      <c r="AJH28" s="6"/>
      <c r="AJI28" s="6"/>
      <c r="AJJ28" s="6"/>
      <c r="AJK28" s="6"/>
      <c r="AJL28" s="6"/>
      <c r="AJM28" s="6"/>
      <c r="AJN28" s="6"/>
      <c r="AJO28" s="6"/>
      <c r="AJP28" s="6"/>
      <c r="AJQ28" s="6"/>
      <c r="AJR28" s="6"/>
      <c r="AJS28" s="6"/>
      <c r="AJT28" s="6"/>
      <c r="AJU28" s="6"/>
      <c r="AJV28" s="6"/>
      <c r="AJW28" s="6"/>
      <c r="AJX28" s="6"/>
      <c r="AJY28" s="6"/>
      <c r="AJZ28" s="6"/>
      <c r="AKA28" s="6"/>
      <c r="AKB28" s="6"/>
      <c r="AKC28" s="6"/>
      <c r="AKD28" s="6"/>
      <c r="AKE28" s="6"/>
      <c r="AKF28" s="6"/>
      <c r="AKG28" s="6"/>
      <c r="AKH28" s="6"/>
      <c r="AKI28" s="6"/>
      <c r="AKJ28" s="6"/>
      <c r="AKK28" s="6"/>
      <c r="AKL28" s="6"/>
      <c r="AKM28" s="6"/>
      <c r="AKN28" s="6"/>
      <c r="AKO28" s="6"/>
      <c r="AKP28" s="6"/>
      <c r="AKQ28" s="6"/>
      <c r="AKR28" s="6"/>
      <c r="AKS28" s="6"/>
      <c r="AKT28" s="6"/>
      <c r="AKU28" s="6"/>
      <c r="AKV28" s="6"/>
      <c r="AKW28" s="6"/>
      <c r="AKX28" s="6"/>
      <c r="AKY28" s="6"/>
      <c r="AKZ28" s="6"/>
      <c r="ALA28" s="6"/>
      <c r="ALB28" s="6"/>
      <c r="ALC28" s="6"/>
      <c r="ALD28" s="6"/>
      <c r="ALE28" s="6"/>
      <c r="ALF28" s="6"/>
      <c r="ALG28" s="6"/>
      <c r="ALH28" s="6"/>
      <c r="ALI28" s="6"/>
      <c r="ALJ28" s="6"/>
      <c r="ALK28" s="6"/>
      <c r="ALL28" s="6"/>
      <c r="ALM28" s="6"/>
      <c r="ALN28" s="6"/>
      <c r="ALO28" s="6"/>
      <c r="ALP28" s="6"/>
      <c r="ALQ28" s="6"/>
      <c r="ALR28" s="6"/>
      <c r="ALS28" s="6"/>
      <c r="ALT28" s="6"/>
      <c r="ALU28" s="6"/>
      <c r="ALV28" s="6"/>
      <c r="ALW28" s="6"/>
    </row>
    <row r="29" spans="2:1011" outlineLevel="1" x14ac:dyDescent="0.25">
      <c r="C29" s="5" t="s">
        <v>12</v>
      </c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 t="s">
        <v>12</v>
      </c>
      <c r="ES29" s="6" t="s">
        <v>12</v>
      </c>
      <c r="ET29" s="6" t="s">
        <v>12</v>
      </c>
      <c r="EU29" s="6" t="s">
        <v>12</v>
      </c>
      <c r="EV29" s="6" t="s">
        <v>12</v>
      </c>
      <c r="EW29" s="6" t="s">
        <v>12</v>
      </c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  <c r="NF29" s="6"/>
      <c r="NG29" s="6"/>
      <c r="NH29" s="6"/>
      <c r="NI29" s="6"/>
      <c r="NJ29" s="6"/>
      <c r="NK29" s="6"/>
      <c r="NL29" s="6"/>
      <c r="NM29" s="6"/>
      <c r="NN29" s="6"/>
      <c r="NO29" s="6"/>
      <c r="NP29" s="6"/>
      <c r="NQ29" s="6"/>
      <c r="NR29" s="6"/>
      <c r="NS29" s="6"/>
      <c r="NT29" s="6"/>
      <c r="NU29" s="6"/>
      <c r="NV29" s="6"/>
      <c r="NW29" s="6"/>
      <c r="NX29" s="6"/>
      <c r="NY29" s="6"/>
      <c r="NZ29" s="6"/>
      <c r="OA29" s="6"/>
      <c r="OB29" s="6"/>
      <c r="OC29" s="6"/>
      <c r="OD29" s="6"/>
      <c r="OE29" s="6"/>
      <c r="OF29" s="6"/>
      <c r="OG29" s="6"/>
      <c r="OH29" s="6"/>
      <c r="OI29" s="6"/>
      <c r="OJ29" s="6"/>
      <c r="OK29" s="6"/>
      <c r="OL29" s="6"/>
      <c r="OM29" s="6"/>
      <c r="ON29" s="6"/>
      <c r="OO29" s="6"/>
      <c r="OP29" s="6"/>
      <c r="OQ29" s="6"/>
      <c r="OR29" s="6"/>
      <c r="OS29" s="6"/>
      <c r="OT29" s="6"/>
      <c r="OU29" s="6"/>
      <c r="OV29" s="6"/>
      <c r="OW29" s="6"/>
      <c r="OX29" s="6"/>
      <c r="OY29" s="6"/>
      <c r="OZ29" s="6"/>
      <c r="PA29" s="6"/>
      <c r="PB29" s="6"/>
      <c r="PC29" s="6"/>
      <c r="PD29" s="6"/>
      <c r="PE29" s="6"/>
      <c r="PF29" s="6"/>
      <c r="PG29" s="6"/>
      <c r="PH29" s="6"/>
      <c r="PI29" s="6"/>
      <c r="PJ29" s="6"/>
      <c r="PK29" s="6"/>
      <c r="PL29" s="6"/>
      <c r="PM29" s="6"/>
      <c r="PN29" s="6"/>
      <c r="PO29" s="6"/>
      <c r="PP29" s="6"/>
      <c r="PQ29" s="6"/>
      <c r="PR29" s="6"/>
      <c r="PS29" s="6"/>
      <c r="PT29" s="6"/>
      <c r="PU29" s="6"/>
      <c r="PV29" s="6"/>
      <c r="PW29" s="6"/>
      <c r="PX29" s="6"/>
      <c r="PY29" s="6"/>
      <c r="PZ29" s="6"/>
      <c r="QA29" s="6"/>
      <c r="QB29" s="6"/>
      <c r="QC29" s="6"/>
      <c r="QD29" s="6"/>
      <c r="QE29" s="6"/>
      <c r="QF29" s="6"/>
      <c r="QG29" s="6"/>
      <c r="QH29" s="6"/>
      <c r="QI29" s="6"/>
      <c r="QJ29" s="6"/>
      <c r="QK29" s="6"/>
      <c r="QL29" s="6"/>
      <c r="QM29" s="6"/>
      <c r="QN29" s="6"/>
      <c r="QO29" s="6"/>
      <c r="QP29" s="6"/>
      <c r="QQ29" s="6"/>
      <c r="QR29" s="6"/>
      <c r="QS29" s="6"/>
      <c r="QT29" s="6"/>
      <c r="QU29" s="6"/>
      <c r="QV29" s="6"/>
      <c r="QW29" s="6"/>
      <c r="QX29" s="6"/>
      <c r="QY29" s="6"/>
      <c r="QZ29" s="6"/>
      <c r="RA29" s="6"/>
      <c r="RB29" s="6"/>
      <c r="RC29" s="6"/>
      <c r="RD29" s="6"/>
      <c r="RE29" s="6"/>
      <c r="RF29" s="6"/>
      <c r="RG29" s="6"/>
      <c r="RH29" s="6"/>
      <c r="RI29" s="6"/>
      <c r="RJ29" s="6"/>
      <c r="RK29" s="6"/>
      <c r="RL29" s="6"/>
      <c r="RM29" s="6"/>
      <c r="RN29" s="6"/>
      <c r="RO29" s="6"/>
      <c r="RP29" s="6"/>
      <c r="RQ29" s="6"/>
      <c r="RR29" s="6"/>
      <c r="RS29" s="6"/>
      <c r="RT29" s="6"/>
      <c r="RU29" s="6"/>
      <c r="RV29" s="6"/>
      <c r="RW29" s="6"/>
      <c r="RX29" s="6"/>
      <c r="RY29" s="6"/>
      <c r="RZ29" s="6"/>
      <c r="SA29" s="6"/>
      <c r="SB29" s="6"/>
      <c r="SC29" s="6"/>
      <c r="SD29" s="6"/>
      <c r="SE29" s="6"/>
      <c r="SF29" s="6"/>
      <c r="SG29" s="6"/>
      <c r="SH29" s="6"/>
      <c r="SI29" s="6"/>
      <c r="SJ29" s="6"/>
      <c r="SK29" s="6"/>
      <c r="SL29" s="6"/>
      <c r="SM29" s="6"/>
      <c r="SN29" s="6"/>
      <c r="SO29" s="6"/>
      <c r="SP29" s="6"/>
      <c r="SQ29" s="6"/>
      <c r="SR29" s="6"/>
      <c r="SS29" s="6"/>
      <c r="ST29" s="6"/>
      <c r="SU29" s="6"/>
      <c r="SV29" s="6"/>
      <c r="SW29" s="6"/>
      <c r="SX29" s="6"/>
      <c r="SY29" s="6"/>
      <c r="SZ29" s="6"/>
      <c r="TA29" s="6"/>
      <c r="TB29" s="6"/>
      <c r="TC29" s="6"/>
      <c r="TD29" s="6"/>
      <c r="TE29" s="6"/>
      <c r="TF29" s="6"/>
      <c r="TG29" s="6"/>
      <c r="TH29" s="6"/>
      <c r="TI29" s="6"/>
      <c r="TJ29" s="6"/>
      <c r="TK29" s="6"/>
      <c r="TL29" s="6"/>
      <c r="TM29" s="6"/>
      <c r="TN29" s="6"/>
      <c r="TO29" s="6"/>
      <c r="TP29" s="6"/>
      <c r="TQ29" s="6"/>
      <c r="TR29" s="6"/>
      <c r="TS29" s="6"/>
      <c r="TT29" s="6"/>
      <c r="TU29" s="6"/>
      <c r="TV29" s="6"/>
      <c r="TW29" s="6"/>
      <c r="TX29" s="6"/>
      <c r="TY29" s="6"/>
      <c r="TZ29" s="6"/>
      <c r="UA29" s="6"/>
      <c r="UB29" s="6"/>
      <c r="UC29" s="6"/>
      <c r="UD29" s="6"/>
      <c r="UE29" s="6"/>
      <c r="UF29" s="6"/>
      <c r="UG29" s="6"/>
      <c r="UH29" s="6"/>
      <c r="UI29" s="6"/>
      <c r="UJ29" s="6"/>
      <c r="UK29" s="6"/>
      <c r="UL29" s="6"/>
      <c r="UM29" s="6"/>
      <c r="UN29" s="6"/>
      <c r="UO29" s="6"/>
      <c r="UP29" s="6"/>
      <c r="UQ29" s="6"/>
      <c r="UR29" s="6"/>
      <c r="US29" s="6"/>
      <c r="UT29" s="6"/>
      <c r="UU29" s="6"/>
      <c r="UV29" s="6"/>
      <c r="UW29" s="6"/>
      <c r="UX29" s="6"/>
      <c r="UY29" s="6"/>
      <c r="UZ29" s="6"/>
      <c r="VA29" s="6"/>
      <c r="VB29" s="6"/>
      <c r="VC29" s="6"/>
      <c r="VD29" s="6"/>
      <c r="VE29" s="6"/>
      <c r="VF29" s="6"/>
      <c r="VG29" s="6"/>
      <c r="VH29" s="6"/>
      <c r="VI29" s="6"/>
      <c r="VJ29" s="6"/>
      <c r="VK29" s="6"/>
      <c r="VL29" s="6"/>
      <c r="VM29" s="6"/>
      <c r="VN29" s="6"/>
      <c r="VO29" s="6"/>
      <c r="VP29" s="6"/>
      <c r="VQ29" s="6"/>
      <c r="VR29" s="6"/>
      <c r="VS29" s="6"/>
      <c r="VT29" s="6"/>
      <c r="VU29" s="6"/>
      <c r="VV29" s="6"/>
      <c r="VW29" s="6"/>
      <c r="VX29" s="6"/>
      <c r="VY29" s="6"/>
      <c r="VZ29" s="6"/>
      <c r="WA29" s="6"/>
      <c r="WB29" s="6"/>
      <c r="WC29" s="6"/>
      <c r="WD29" s="6"/>
      <c r="WE29" s="6"/>
      <c r="WF29" s="6"/>
      <c r="WG29" s="6"/>
      <c r="WH29" s="6"/>
      <c r="WI29" s="6"/>
      <c r="WJ29" s="6"/>
      <c r="WK29" s="6"/>
      <c r="WL29" s="6"/>
      <c r="WM29" s="6"/>
      <c r="WN29" s="6"/>
      <c r="WO29" s="6"/>
      <c r="WP29" s="6"/>
      <c r="WQ29" s="6"/>
      <c r="WR29" s="6"/>
      <c r="WS29" s="6"/>
      <c r="WT29" s="6"/>
      <c r="WU29" s="6"/>
      <c r="WV29" s="6"/>
      <c r="WW29" s="6"/>
      <c r="WX29" s="6"/>
      <c r="WY29" s="6"/>
      <c r="WZ29" s="6"/>
      <c r="XA29" s="6"/>
      <c r="XB29" s="6"/>
      <c r="XC29" s="6"/>
      <c r="XD29" s="6"/>
      <c r="XE29" s="6"/>
      <c r="XF29" s="6"/>
      <c r="XG29" s="6"/>
      <c r="XH29" s="6"/>
      <c r="XI29" s="6"/>
      <c r="XJ29" s="6"/>
      <c r="XK29" s="6"/>
      <c r="XL29" s="6"/>
      <c r="XM29" s="6"/>
      <c r="XN29" s="6"/>
      <c r="XO29" s="6"/>
      <c r="XP29" s="6"/>
      <c r="XQ29" s="6"/>
      <c r="XR29" s="6"/>
      <c r="XS29" s="6"/>
      <c r="XT29" s="6"/>
      <c r="XU29" s="6"/>
      <c r="XV29" s="6"/>
      <c r="XW29" s="6"/>
      <c r="XX29" s="6"/>
      <c r="XY29" s="6"/>
      <c r="XZ29" s="6"/>
      <c r="YA29" s="6"/>
      <c r="YB29" s="6"/>
      <c r="YC29" s="6"/>
      <c r="YD29" s="6"/>
      <c r="YE29" s="6"/>
      <c r="YF29" s="6"/>
      <c r="YG29" s="6"/>
      <c r="YH29" s="6"/>
      <c r="YI29" s="6"/>
      <c r="YJ29" s="6"/>
      <c r="YK29" s="6"/>
      <c r="YL29" s="6"/>
      <c r="YM29" s="6"/>
      <c r="YN29" s="6"/>
      <c r="YO29" s="6"/>
      <c r="YP29" s="6"/>
      <c r="YQ29" s="6"/>
      <c r="YR29" s="6"/>
      <c r="YS29" s="6"/>
      <c r="YT29" s="6"/>
      <c r="YU29" s="6"/>
      <c r="YV29" s="6"/>
      <c r="YW29" s="6"/>
      <c r="YX29" s="6"/>
      <c r="YY29" s="6"/>
      <c r="YZ29" s="6"/>
      <c r="ZA29" s="6"/>
      <c r="ZB29" s="6"/>
      <c r="ZC29" s="6"/>
      <c r="ZD29" s="6"/>
      <c r="ZE29" s="6"/>
      <c r="ZF29" s="6"/>
      <c r="ZG29" s="6"/>
      <c r="ZH29" s="6"/>
      <c r="ZI29" s="6"/>
      <c r="ZJ29" s="6"/>
      <c r="ZK29" s="6"/>
      <c r="ZL29" s="6"/>
      <c r="ZM29" s="6"/>
      <c r="ZN29" s="6"/>
      <c r="ZO29" s="6"/>
      <c r="ZP29" s="6"/>
      <c r="ZQ29" s="6"/>
      <c r="ZR29" s="6"/>
      <c r="ZS29" s="6"/>
      <c r="ZT29" s="6"/>
      <c r="ZU29" s="6"/>
      <c r="ZV29" s="6"/>
      <c r="ZW29" s="6"/>
      <c r="ZX29" s="6"/>
      <c r="ZY29" s="6"/>
      <c r="ZZ29" s="6"/>
      <c r="AAA29" s="6"/>
      <c r="AAB29" s="6"/>
      <c r="AAC29" s="6"/>
      <c r="AAD29" s="6"/>
      <c r="AAE29" s="6"/>
      <c r="AAF29" s="6"/>
      <c r="AAG29" s="6"/>
      <c r="AAH29" s="6"/>
      <c r="AAI29" s="6"/>
      <c r="AAJ29" s="6"/>
      <c r="AAK29" s="6"/>
      <c r="AAL29" s="6"/>
      <c r="AAM29" s="6"/>
      <c r="AAN29" s="6"/>
      <c r="AAO29" s="6"/>
      <c r="AAP29" s="6"/>
      <c r="AAQ29" s="6"/>
      <c r="AAR29" s="6"/>
      <c r="AAS29" s="6"/>
      <c r="AAT29" s="6"/>
      <c r="AAU29" s="6"/>
      <c r="AAV29" s="6"/>
      <c r="AAW29" s="6"/>
      <c r="AAX29" s="6"/>
      <c r="AAY29" s="6"/>
      <c r="AAZ29" s="6"/>
      <c r="ABA29" s="6"/>
      <c r="ABB29" s="6"/>
      <c r="ABC29" s="6"/>
      <c r="ABD29" s="6"/>
      <c r="ABE29" s="6"/>
      <c r="ABF29" s="6"/>
      <c r="ABG29" s="6"/>
      <c r="ABH29" s="6"/>
      <c r="ABI29" s="6"/>
      <c r="ABJ29" s="6"/>
      <c r="ABK29" s="6"/>
      <c r="ABL29" s="6"/>
      <c r="ABM29" s="6"/>
      <c r="ABN29" s="6"/>
      <c r="ABO29" s="6"/>
      <c r="ABP29" s="6"/>
      <c r="ABQ29" s="6"/>
      <c r="ABR29" s="6"/>
      <c r="ABS29" s="6"/>
      <c r="ABT29" s="6"/>
      <c r="ABU29" s="6"/>
      <c r="ABV29" s="6"/>
      <c r="ABW29" s="6"/>
      <c r="ABX29" s="6"/>
      <c r="ABY29" s="6"/>
      <c r="ABZ29" s="6"/>
      <c r="ACA29" s="6"/>
      <c r="ACB29" s="6"/>
      <c r="ACC29" s="6"/>
      <c r="ACD29" s="6"/>
      <c r="ACE29" s="6"/>
      <c r="ACF29" s="6"/>
      <c r="ACG29" s="6"/>
      <c r="ACH29" s="6"/>
      <c r="ACI29" s="6"/>
      <c r="ACJ29" s="6"/>
      <c r="ACK29" s="6"/>
      <c r="ACL29" s="6"/>
      <c r="ACM29" s="6"/>
      <c r="ACN29" s="6"/>
      <c r="ACO29" s="6"/>
      <c r="ACP29" s="6"/>
      <c r="ACQ29" s="6"/>
      <c r="ACR29" s="6"/>
      <c r="ACS29" s="6"/>
      <c r="ACT29" s="6"/>
      <c r="ACU29" s="6"/>
      <c r="ACV29" s="6"/>
      <c r="ACW29" s="6"/>
      <c r="ACX29" s="6"/>
      <c r="ACY29" s="6"/>
      <c r="ACZ29" s="6"/>
      <c r="ADA29" s="6"/>
      <c r="ADB29" s="6"/>
      <c r="ADC29" s="6"/>
      <c r="ADD29" s="6"/>
      <c r="ADE29" s="6"/>
      <c r="ADF29" s="6"/>
      <c r="ADG29" s="6"/>
      <c r="ADH29" s="6"/>
      <c r="ADI29" s="6"/>
      <c r="ADJ29" s="6"/>
      <c r="ADK29" s="6"/>
      <c r="ADL29" s="6"/>
      <c r="ADM29" s="6"/>
      <c r="ADN29" s="6"/>
      <c r="ADO29" s="6"/>
      <c r="ADP29" s="6"/>
      <c r="ADQ29" s="6"/>
      <c r="ADR29" s="6"/>
      <c r="ADS29" s="6"/>
      <c r="ADT29" s="6"/>
      <c r="ADU29" s="6"/>
      <c r="ADV29" s="6"/>
      <c r="ADW29" s="6"/>
      <c r="ADX29" s="6"/>
      <c r="ADY29" s="6"/>
      <c r="ADZ29" s="6"/>
      <c r="AEA29" s="6"/>
      <c r="AEB29" s="6"/>
      <c r="AEC29" s="6"/>
      <c r="AED29" s="6"/>
      <c r="AEE29" s="6"/>
      <c r="AEF29" s="6"/>
      <c r="AEG29" s="6"/>
      <c r="AEH29" s="6"/>
      <c r="AEI29" s="6"/>
      <c r="AEJ29" s="6"/>
      <c r="AEK29" s="6"/>
      <c r="AEL29" s="6"/>
      <c r="AEM29" s="6"/>
      <c r="AEN29" s="6"/>
      <c r="AEO29" s="6"/>
      <c r="AEP29" s="6"/>
      <c r="AEQ29" s="6"/>
      <c r="AER29" s="6"/>
      <c r="AES29" s="6"/>
      <c r="AET29" s="6"/>
      <c r="AEU29" s="6"/>
      <c r="AEV29" s="6"/>
      <c r="AEW29" s="6"/>
      <c r="AEX29" s="6"/>
      <c r="AEY29" s="6"/>
      <c r="AEZ29" s="6"/>
      <c r="AFA29" s="6"/>
      <c r="AFB29" s="6"/>
      <c r="AFC29" s="6"/>
      <c r="AFD29" s="6"/>
      <c r="AFE29" s="6"/>
      <c r="AFF29" s="6"/>
      <c r="AFG29" s="6"/>
      <c r="AFH29" s="6"/>
      <c r="AFI29" s="6"/>
      <c r="AFJ29" s="6"/>
      <c r="AFK29" s="6"/>
      <c r="AFL29" s="6"/>
      <c r="AFM29" s="6"/>
      <c r="AFN29" s="6"/>
      <c r="AFO29" s="6"/>
      <c r="AFP29" s="6"/>
      <c r="AFQ29" s="6"/>
      <c r="AFR29" s="6"/>
      <c r="AFS29" s="6"/>
      <c r="AFT29" s="6"/>
      <c r="AFU29" s="6"/>
      <c r="AFV29" s="6"/>
      <c r="AFW29" s="6"/>
      <c r="AFX29" s="6"/>
      <c r="AFY29" s="6"/>
      <c r="AFZ29" s="6"/>
      <c r="AGA29" s="6"/>
      <c r="AGB29" s="6"/>
      <c r="AGC29" s="6"/>
      <c r="AGD29" s="6"/>
      <c r="AGE29" s="6"/>
      <c r="AGF29" s="6"/>
      <c r="AGG29" s="6"/>
      <c r="AGH29" s="6"/>
      <c r="AGI29" s="6"/>
      <c r="AGJ29" s="6"/>
      <c r="AGK29" s="6"/>
      <c r="AGL29" s="6"/>
      <c r="AGM29" s="6"/>
      <c r="AGN29" s="6"/>
      <c r="AGO29" s="6"/>
      <c r="AGP29" s="6"/>
      <c r="AGQ29" s="6"/>
      <c r="AGR29" s="6"/>
      <c r="AGS29" s="6"/>
      <c r="AGT29" s="6"/>
      <c r="AGU29" s="6"/>
      <c r="AGV29" s="6"/>
      <c r="AGW29" s="6"/>
      <c r="AGX29" s="6"/>
      <c r="AGY29" s="6"/>
      <c r="AGZ29" s="6"/>
      <c r="AHA29" s="6"/>
      <c r="AHB29" s="6"/>
      <c r="AHC29" s="6"/>
      <c r="AHD29" s="6"/>
      <c r="AHE29" s="6"/>
      <c r="AHF29" s="6"/>
      <c r="AHG29" s="6"/>
      <c r="AHH29" s="6"/>
      <c r="AHI29" s="6"/>
      <c r="AHJ29" s="6"/>
      <c r="AHK29" s="6"/>
      <c r="AHL29" s="6"/>
      <c r="AHM29" s="6"/>
      <c r="AHN29" s="6"/>
      <c r="AHO29" s="6"/>
      <c r="AHP29" s="6"/>
      <c r="AHQ29" s="6"/>
      <c r="AHR29" s="6"/>
      <c r="AHS29" s="6"/>
      <c r="AHT29" s="6"/>
      <c r="AHU29" s="6"/>
      <c r="AHV29" s="6"/>
      <c r="AHW29" s="6"/>
      <c r="AHX29" s="6"/>
      <c r="AHY29" s="6"/>
      <c r="AHZ29" s="6"/>
      <c r="AIA29" s="6"/>
      <c r="AIB29" s="6"/>
      <c r="AIC29" s="6"/>
      <c r="AID29" s="6"/>
      <c r="AIE29" s="6"/>
      <c r="AIF29" s="6"/>
      <c r="AIG29" s="6"/>
      <c r="AIH29" s="6"/>
      <c r="AII29" s="6"/>
      <c r="AIJ29" s="6"/>
      <c r="AIK29" s="6"/>
      <c r="AIL29" s="6"/>
      <c r="AIM29" s="6"/>
      <c r="AIN29" s="6"/>
      <c r="AIO29" s="6"/>
      <c r="AIP29" s="6"/>
      <c r="AIQ29" s="6"/>
      <c r="AIR29" s="6"/>
      <c r="AIS29" s="6"/>
      <c r="AIT29" s="6"/>
      <c r="AIU29" s="6"/>
      <c r="AIV29" s="6"/>
      <c r="AIW29" s="6"/>
      <c r="AIX29" s="6"/>
      <c r="AIY29" s="6"/>
      <c r="AIZ29" s="6"/>
      <c r="AJA29" s="6"/>
      <c r="AJB29" s="6"/>
      <c r="AJC29" s="6"/>
      <c r="AJD29" s="6"/>
      <c r="AJE29" s="6"/>
      <c r="AJF29" s="6"/>
      <c r="AJG29" s="6"/>
      <c r="AJH29" s="6"/>
      <c r="AJI29" s="6"/>
      <c r="AJJ29" s="6"/>
      <c r="AJK29" s="6"/>
      <c r="AJL29" s="6"/>
      <c r="AJM29" s="6"/>
      <c r="AJN29" s="6"/>
      <c r="AJO29" s="6"/>
      <c r="AJP29" s="6"/>
      <c r="AJQ29" s="6"/>
      <c r="AJR29" s="6"/>
      <c r="AJS29" s="6"/>
      <c r="AJT29" s="6"/>
      <c r="AJU29" s="6"/>
      <c r="AJV29" s="6"/>
      <c r="AJW29" s="6"/>
      <c r="AJX29" s="6"/>
      <c r="AJY29" s="6"/>
      <c r="AJZ29" s="6"/>
      <c r="AKA29" s="6"/>
      <c r="AKB29" s="6"/>
      <c r="AKC29" s="6"/>
      <c r="AKD29" s="6"/>
      <c r="AKE29" s="6"/>
      <c r="AKF29" s="6"/>
      <c r="AKG29" s="6"/>
      <c r="AKH29" s="6"/>
      <c r="AKI29" s="6"/>
      <c r="AKJ29" s="6"/>
      <c r="AKK29" s="6"/>
      <c r="AKL29" s="6"/>
      <c r="AKM29" s="6"/>
      <c r="AKN29" s="6"/>
      <c r="AKO29" s="6"/>
      <c r="AKP29" s="6"/>
      <c r="AKQ29" s="6"/>
      <c r="AKR29" s="6"/>
      <c r="AKS29" s="6"/>
      <c r="AKT29" s="6"/>
      <c r="AKU29" s="6"/>
      <c r="AKV29" s="6"/>
      <c r="AKW29" s="6"/>
      <c r="AKX29" s="6"/>
      <c r="AKY29" s="6"/>
      <c r="AKZ29" s="6"/>
      <c r="ALA29" s="6"/>
      <c r="ALB29" s="6"/>
      <c r="ALC29" s="6"/>
      <c r="ALD29" s="6"/>
      <c r="ALE29" s="6"/>
      <c r="ALF29" s="6"/>
      <c r="ALG29" s="6"/>
      <c r="ALH29" s="6"/>
      <c r="ALI29" s="6"/>
      <c r="ALJ29" s="6"/>
      <c r="ALK29" s="6"/>
      <c r="ALL29" s="6"/>
      <c r="ALM29" s="6"/>
      <c r="ALN29" s="6"/>
      <c r="ALO29" s="6"/>
      <c r="ALP29" s="6"/>
      <c r="ALQ29" s="6"/>
      <c r="ALR29" s="6"/>
      <c r="ALS29" s="6"/>
      <c r="ALT29" s="6"/>
      <c r="ALU29" s="6"/>
      <c r="ALV29" s="6"/>
      <c r="ALW29" s="6"/>
    </row>
    <row r="30" spans="2:1011" outlineLevel="1" x14ac:dyDescent="0.25">
      <c r="C30" s="5" t="s">
        <v>13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 t="s">
        <v>13</v>
      </c>
      <c r="EY30" s="6" t="s">
        <v>13</v>
      </c>
      <c r="EZ30" s="6" t="s">
        <v>13</v>
      </c>
      <c r="FA30" s="6" t="s">
        <v>13</v>
      </c>
      <c r="FB30" s="6" t="s">
        <v>13</v>
      </c>
      <c r="FC30" s="6" t="s">
        <v>13</v>
      </c>
      <c r="FD30" s="6" t="s">
        <v>13</v>
      </c>
      <c r="FE30" s="6" t="s">
        <v>13</v>
      </c>
      <c r="FF30" s="6" t="s">
        <v>13</v>
      </c>
      <c r="FG30" s="6" t="s">
        <v>13</v>
      </c>
      <c r="FH30" s="6" t="s">
        <v>13</v>
      </c>
      <c r="FI30" s="6" t="s">
        <v>13</v>
      </c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  <c r="HV30" s="6"/>
      <c r="HW30" s="6"/>
      <c r="HX30" s="6"/>
      <c r="HY30" s="6"/>
      <c r="HZ30" s="6"/>
      <c r="IA30" s="6"/>
      <c r="IB30" s="6"/>
      <c r="IC30" s="6"/>
      <c r="ID30" s="6"/>
      <c r="IE30" s="6"/>
      <c r="IF30" s="6"/>
      <c r="IG30" s="6"/>
      <c r="IH30" s="6"/>
      <c r="II30" s="6"/>
      <c r="IJ30" s="6"/>
      <c r="IK30" s="6"/>
      <c r="IL30" s="6"/>
      <c r="IM30" s="6"/>
      <c r="IN30" s="6"/>
      <c r="IO30" s="6"/>
      <c r="IP30" s="6"/>
      <c r="IQ30" s="6"/>
      <c r="IR30" s="6"/>
      <c r="IS30" s="6"/>
      <c r="IT30" s="6"/>
      <c r="IU30" s="6"/>
      <c r="IV30" s="6"/>
      <c r="IW30" s="6"/>
      <c r="IX30" s="6"/>
      <c r="IY30" s="6"/>
      <c r="IZ30" s="6"/>
      <c r="JA30" s="6"/>
      <c r="JB30" s="6"/>
      <c r="JC30" s="6"/>
      <c r="JD30" s="6"/>
      <c r="JE30" s="6"/>
      <c r="JF30" s="6"/>
      <c r="JG30" s="6"/>
      <c r="JH30" s="6"/>
      <c r="JI30" s="6"/>
      <c r="JJ30" s="6"/>
      <c r="JK30" s="6"/>
      <c r="JL30" s="6"/>
      <c r="JM30" s="6"/>
      <c r="JN30" s="6"/>
      <c r="JO30" s="6"/>
      <c r="JP30" s="6"/>
      <c r="JQ30" s="6"/>
      <c r="JR30" s="6"/>
      <c r="JS30" s="6"/>
      <c r="JT30" s="6"/>
      <c r="JU30" s="6"/>
      <c r="JV30" s="6"/>
      <c r="JW30" s="6"/>
      <c r="JX30" s="6"/>
      <c r="JY30" s="6"/>
      <c r="JZ30" s="6"/>
      <c r="KA30" s="6"/>
      <c r="KB30" s="6"/>
      <c r="KC30" s="6"/>
      <c r="KD30" s="6"/>
      <c r="KE30" s="6"/>
      <c r="KF30" s="6"/>
      <c r="KG30" s="6"/>
      <c r="KH30" s="6"/>
      <c r="KI30" s="6"/>
      <c r="KJ30" s="6"/>
      <c r="KK30" s="6"/>
      <c r="KL30" s="6"/>
      <c r="KM30" s="6"/>
      <c r="KN30" s="6"/>
      <c r="KO30" s="6"/>
      <c r="KP30" s="6"/>
      <c r="KQ30" s="6"/>
      <c r="KR30" s="6"/>
      <c r="KS30" s="6"/>
      <c r="KT30" s="6"/>
      <c r="KU30" s="6"/>
      <c r="KV30" s="6"/>
      <c r="KW30" s="6"/>
      <c r="KX30" s="6"/>
      <c r="KY30" s="6"/>
      <c r="KZ30" s="6"/>
      <c r="LA30" s="6"/>
      <c r="LB30" s="6"/>
      <c r="LC30" s="6"/>
      <c r="LD30" s="6"/>
      <c r="LE30" s="6"/>
      <c r="LF30" s="6"/>
      <c r="LG30" s="6"/>
      <c r="LH30" s="6"/>
      <c r="LI30" s="6"/>
      <c r="LJ30" s="6"/>
      <c r="LK30" s="6"/>
      <c r="LL30" s="6"/>
      <c r="LM30" s="6"/>
      <c r="LN30" s="6"/>
      <c r="LO30" s="6"/>
      <c r="LP30" s="6"/>
      <c r="LQ30" s="6"/>
      <c r="LR30" s="6"/>
      <c r="LS30" s="6"/>
      <c r="LT30" s="6"/>
      <c r="LU30" s="6"/>
      <c r="LV30" s="6"/>
      <c r="LW30" s="6"/>
      <c r="LX30" s="6"/>
      <c r="LY30" s="6"/>
      <c r="LZ30" s="6"/>
      <c r="MA30" s="6"/>
      <c r="MB30" s="6"/>
      <c r="MC30" s="6"/>
      <c r="MD30" s="6"/>
      <c r="ME30" s="6"/>
      <c r="MF30" s="6"/>
      <c r="MG30" s="6"/>
      <c r="MH30" s="6"/>
      <c r="MI30" s="6"/>
      <c r="MJ30" s="6"/>
      <c r="MK30" s="6"/>
      <c r="ML30" s="6"/>
      <c r="MM30" s="6"/>
      <c r="MN30" s="6"/>
      <c r="MO30" s="6"/>
      <c r="MP30" s="6"/>
      <c r="MQ30" s="6"/>
      <c r="MR30" s="6"/>
      <c r="MS30" s="6"/>
      <c r="MT30" s="6"/>
      <c r="MU30" s="6"/>
      <c r="MV30" s="6"/>
      <c r="MW30" s="6"/>
      <c r="MX30" s="6"/>
      <c r="MY30" s="6"/>
      <c r="MZ30" s="6"/>
      <c r="NA30" s="6"/>
      <c r="NB30" s="6"/>
      <c r="NC30" s="6"/>
      <c r="ND30" s="6"/>
      <c r="NE30" s="6"/>
      <c r="NF30" s="6"/>
      <c r="NG30" s="6"/>
      <c r="NH30" s="6"/>
      <c r="NI30" s="6"/>
      <c r="NJ30" s="6"/>
      <c r="NK30" s="6"/>
      <c r="NL30" s="6"/>
      <c r="NM30" s="6"/>
      <c r="NN30" s="6"/>
      <c r="NO30" s="6"/>
      <c r="NP30" s="6"/>
      <c r="NQ30" s="6"/>
      <c r="NR30" s="6"/>
      <c r="NS30" s="6"/>
      <c r="NT30" s="6"/>
      <c r="NU30" s="6"/>
      <c r="NV30" s="6"/>
      <c r="NW30" s="6"/>
      <c r="NX30" s="6"/>
      <c r="NY30" s="6"/>
      <c r="NZ30" s="6"/>
      <c r="OA30" s="6"/>
      <c r="OB30" s="6"/>
      <c r="OC30" s="6"/>
      <c r="OD30" s="6"/>
      <c r="OE30" s="6"/>
      <c r="OF30" s="6"/>
      <c r="OG30" s="6"/>
      <c r="OH30" s="6"/>
      <c r="OI30" s="6"/>
      <c r="OJ30" s="6"/>
      <c r="OK30" s="6"/>
      <c r="OL30" s="6"/>
      <c r="OM30" s="6"/>
      <c r="ON30" s="6"/>
      <c r="OO30" s="6"/>
      <c r="OP30" s="6"/>
      <c r="OQ30" s="6"/>
      <c r="OR30" s="6"/>
      <c r="OS30" s="6"/>
      <c r="OT30" s="6"/>
      <c r="OU30" s="6"/>
      <c r="OV30" s="6"/>
      <c r="OW30" s="6"/>
      <c r="OX30" s="6"/>
      <c r="OY30" s="6"/>
      <c r="OZ30" s="6"/>
      <c r="PA30" s="6"/>
      <c r="PB30" s="6"/>
      <c r="PC30" s="6"/>
      <c r="PD30" s="6"/>
      <c r="PE30" s="6"/>
      <c r="PF30" s="6"/>
      <c r="PG30" s="6"/>
      <c r="PH30" s="6"/>
      <c r="PI30" s="6"/>
      <c r="PJ30" s="6"/>
      <c r="PK30" s="6"/>
      <c r="PL30" s="6"/>
      <c r="PM30" s="6"/>
      <c r="PN30" s="6"/>
      <c r="PO30" s="6"/>
      <c r="PP30" s="6"/>
      <c r="PQ30" s="6"/>
      <c r="PR30" s="6"/>
      <c r="PS30" s="6"/>
      <c r="PT30" s="6"/>
      <c r="PU30" s="6"/>
      <c r="PV30" s="6"/>
      <c r="PW30" s="6"/>
      <c r="PX30" s="6"/>
      <c r="PY30" s="6"/>
      <c r="PZ30" s="6"/>
      <c r="QA30" s="6"/>
      <c r="QB30" s="6"/>
      <c r="QC30" s="6"/>
      <c r="QD30" s="6"/>
      <c r="QE30" s="6"/>
      <c r="QF30" s="6"/>
      <c r="QG30" s="6"/>
      <c r="QH30" s="6"/>
      <c r="QI30" s="6"/>
      <c r="QJ30" s="6"/>
      <c r="QK30" s="6"/>
      <c r="QL30" s="6"/>
      <c r="QM30" s="6"/>
      <c r="QN30" s="6"/>
      <c r="QO30" s="6"/>
      <c r="QP30" s="6"/>
      <c r="QQ30" s="6"/>
      <c r="QR30" s="6"/>
      <c r="QS30" s="6"/>
      <c r="QT30" s="6"/>
      <c r="QU30" s="6"/>
      <c r="QV30" s="6"/>
      <c r="QW30" s="6"/>
      <c r="QX30" s="6"/>
      <c r="QY30" s="6"/>
      <c r="QZ30" s="6"/>
      <c r="RA30" s="6"/>
      <c r="RB30" s="6"/>
      <c r="RC30" s="6"/>
      <c r="RD30" s="6"/>
      <c r="RE30" s="6"/>
      <c r="RF30" s="6"/>
      <c r="RG30" s="6"/>
      <c r="RH30" s="6"/>
      <c r="RI30" s="6"/>
      <c r="RJ30" s="6"/>
      <c r="RK30" s="6"/>
      <c r="RL30" s="6"/>
      <c r="RM30" s="6"/>
      <c r="RN30" s="6"/>
      <c r="RO30" s="6"/>
      <c r="RP30" s="6"/>
      <c r="RQ30" s="6"/>
      <c r="RR30" s="6"/>
      <c r="RS30" s="6"/>
      <c r="RT30" s="6"/>
      <c r="RU30" s="6"/>
      <c r="RV30" s="6"/>
      <c r="RW30" s="6"/>
      <c r="RX30" s="6"/>
      <c r="RY30" s="6"/>
      <c r="RZ30" s="6"/>
      <c r="SA30" s="6"/>
      <c r="SB30" s="6"/>
      <c r="SC30" s="6"/>
      <c r="SD30" s="6"/>
      <c r="SE30" s="6"/>
      <c r="SF30" s="6"/>
      <c r="SG30" s="6"/>
      <c r="SH30" s="6"/>
      <c r="SI30" s="6"/>
      <c r="SJ30" s="6"/>
      <c r="SK30" s="6"/>
      <c r="SL30" s="6"/>
      <c r="SM30" s="6"/>
      <c r="SN30" s="6"/>
      <c r="SO30" s="6"/>
      <c r="SP30" s="6"/>
      <c r="SQ30" s="6"/>
      <c r="SR30" s="6"/>
      <c r="SS30" s="6"/>
      <c r="ST30" s="6"/>
      <c r="SU30" s="6"/>
      <c r="SV30" s="6"/>
      <c r="SW30" s="6"/>
      <c r="SX30" s="6"/>
      <c r="SY30" s="6"/>
      <c r="SZ30" s="6"/>
      <c r="TA30" s="6"/>
      <c r="TB30" s="6"/>
      <c r="TC30" s="6"/>
      <c r="TD30" s="6"/>
      <c r="TE30" s="6"/>
      <c r="TF30" s="6"/>
      <c r="TG30" s="6"/>
      <c r="TH30" s="6"/>
      <c r="TI30" s="6"/>
      <c r="TJ30" s="6"/>
      <c r="TK30" s="6"/>
      <c r="TL30" s="6"/>
      <c r="TM30" s="6"/>
      <c r="TN30" s="6"/>
      <c r="TO30" s="6"/>
      <c r="TP30" s="6"/>
      <c r="TQ30" s="6"/>
      <c r="TR30" s="6"/>
      <c r="TS30" s="6"/>
      <c r="TT30" s="6"/>
      <c r="TU30" s="6"/>
      <c r="TV30" s="6"/>
      <c r="TW30" s="6"/>
      <c r="TX30" s="6"/>
      <c r="TY30" s="6"/>
      <c r="TZ30" s="6"/>
      <c r="UA30" s="6"/>
      <c r="UB30" s="6"/>
      <c r="UC30" s="6"/>
      <c r="UD30" s="6"/>
      <c r="UE30" s="6"/>
      <c r="UF30" s="6"/>
      <c r="UG30" s="6"/>
      <c r="UH30" s="6"/>
      <c r="UI30" s="6"/>
      <c r="UJ30" s="6"/>
      <c r="UK30" s="6"/>
      <c r="UL30" s="6"/>
      <c r="UM30" s="6"/>
      <c r="UN30" s="6"/>
      <c r="UO30" s="6"/>
      <c r="UP30" s="6"/>
      <c r="UQ30" s="6"/>
      <c r="UR30" s="6"/>
      <c r="US30" s="6"/>
      <c r="UT30" s="6"/>
      <c r="UU30" s="6"/>
      <c r="UV30" s="6"/>
      <c r="UW30" s="6"/>
      <c r="UX30" s="6"/>
      <c r="UY30" s="6"/>
      <c r="UZ30" s="6"/>
      <c r="VA30" s="6"/>
      <c r="VB30" s="6"/>
      <c r="VC30" s="6"/>
      <c r="VD30" s="6"/>
      <c r="VE30" s="6"/>
      <c r="VF30" s="6"/>
      <c r="VG30" s="6"/>
      <c r="VH30" s="6"/>
      <c r="VI30" s="6"/>
      <c r="VJ30" s="6"/>
      <c r="VK30" s="6"/>
      <c r="VL30" s="6"/>
      <c r="VM30" s="6"/>
      <c r="VN30" s="6"/>
      <c r="VO30" s="6"/>
      <c r="VP30" s="6"/>
      <c r="VQ30" s="6"/>
      <c r="VR30" s="6"/>
      <c r="VS30" s="6"/>
      <c r="VT30" s="6"/>
      <c r="VU30" s="6"/>
      <c r="VV30" s="6"/>
      <c r="VW30" s="6"/>
      <c r="VX30" s="6"/>
      <c r="VY30" s="6"/>
      <c r="VZ30" s="6"/>
      <c r="WA30" s="6"/>
      <c r="WB30" s="6"/>
      <c r="WC30" s="6"/>
      <c r="WD30" s="6"/>
      <c r="WE30" s="6"/>
      <c r="WF30" s="6"/>
      <c r="WG30" s="6"/>
      <c r="WH30" s="6"/>
      <c r="WI30" s="6"/>
      <c r="WJ30" s="6"/>
      <c r="WK30" s="6"/>
      <c r="WL30" s="6"/>
      <c r="WM30" s="6"/>
      <c r="WN30" s="6"/>
      <c r="WO30" s="6"/>
      <c r="WP30" s="6"/>
      <c r="WQ30" s="6"/>
      <c r="WR30" s="6"/>
      <c r="WS30" s="6"/>
      <c r="WT30" s="6"/>
      <c r="WU30" s="6"/>
      <c r="WV30" s="6"/>
      <c r="WW30" s="6"/>
      <c r="WX30" s="6"/>
      <c r="WY30" s="6"/>
      <c r="WZ30" s="6"/>
      <c r="XA30" s="6"/>
      <c r="XB30" s="6"/>
      <c r="XC30" s="6"/>
      <c r="XD30" s="6"/>
      <c r="XE30" s="6"/>
      <c r="XF30" s="6"/>
      <c r="XG30" s="6"/>
      <c r="XH30" s="6"/>
      <c r="XI30" s="6"/>
      <c r="XJ30" s="6"/>
      <c r="XK30" s="6"/>
      <c r="XL30" s="6"/>
      <c r="XM30" s="6"/>
      <c r="XN30" s="6"/>
      <c r="XO30" s="6"/>
      <c r="XP30" s="6"/>
      <c r="XQ30" s="6"/>
      <c r="XR30" s="6"/>
      <c r="XS30" s="6"/>
      <c r="XT30" s="6"/>
      <c r="XU30" s="6"/>
      <c r="XV30" s="6"/>
      <c r="XW30" s="6"/>
      <c r="XX30" s="6"/>
      <c r="XY30" s="6"/>
      <c r="XZ30" s="6"/>
      <c r="YA30" s="6"/>
      <c r="YB30" s="6"/>
      <c r="YC30" s="6"/>
      <c r="YD30" s="6"/>
      <c r="YE30" s="6"/>
      <c r="YF30" s="6"/>
      <c r="YG30" s="6"/>
      <c r="YH30" s="6"/>
      <c r="YI30" s="6"/>
      <c r="YJ30" s="6"/>
      <c r="YK30" s="6"/>
      <c r="YL30" s="6"/>
      <c r="YM30" s="6"/>
      <c r="YN30" s="6"/>
      <c r="YO30" s="6"/>
      <c r="YP30" s="6"/>
      <c r="YQ30" s="6"/>
      <c r="YR30" s="6"/>
      <c r="YS30" s="6"/>
      <c r="YT30" s="6"/>
      <c r="YU30" s="6"/>
      <c r="YV30" s="6"/>
      <c r="YW30" s="6"/>
      <c r="YX30" s="6"/>
      <c r="YY30" s="6"/>
      <c r="YZ30" s="6"/>
      <c r="ZA30" s="6"/>
      <c r="ZB30" s="6"/>
      <c r="ZC30" s="6"/>
      <c r="ZD30" s="6"/>
      <c r="ZE30" s="6"/>
      <c r="ZF30" s="6"/>
      <c r="ZG30" s="6"/>
      <c r="ZH30" s="6"/>
      <c r="ZI30" s="6"/>
      <c r="ZJ30" s="6"/>
      <c r="ZK30" s="6"/>
      <c r="ZL30" s="6"/>
      <c r="ZM30" s="6"/>
      <c r="ZN30" s="6"/>
      <c r="ZO30" s="6"/>
      <c r="ZP30" s="6"/>
      <c r="ZQ30" s="6"/>
      <c r="ZR30" s="6"/>
      <c r="ZS30" s="6"/>
      <c r="ZT30" s="6"/>
      <c r="ZU30" s="6"/>
      <c r="ZV30" s="6"/>
      <c r="ZW30" s="6"/>
      <c r="ZX30" s="6"/>
      <c r="ZY30" s="6"/>
      <c r="ZZ30" s="6"/>
      <c r="AAA30" s="6"/>
      <c r="AAB30" s="6"/>
      <c r="AAC30" s="6"/>
      <c r="AAD30" s="6"/>
      <c r="AAE30" s="6"/>
      <c r="AAF30" s="6"/>
      <c r="AAG30" s="6"/>
      <c r="AAH30" s="6"/>
      <c r="AAI30" s="6"/>
      <c r="AAJ30" s="6"/>
      <c r="AAK30" s="6"/>
      <c r="AAL30" s="6"/>
      <c r="AAM30" s="6"/>
      <c r="AAN30" s="6"/>
      <c r="AAO30" s="6"/>
      <c r="AAP30" s="6"/>
      <c r="AAQ30" s="6"/>
      <c r="AAR30" s="6"/>
      <c r="AAS30" s="6"/>
      <c r="AAT30" s="6"/>
      <c r="AAU30" s="6"/>
      <c r="AAV30" s="6"/>
      <c r="AAW30" s="6"/>
      <c r="AAX30" s="6"/>
      <c r="AAY30" s="6"/>
      <c r="AAZ30" s="6"/>
      <c r="ABA30" s="6"/>
      <c r="ABB30" s="6"/>
      <c r="ABC30" s="6"/>
      <c r="ABD30" s="6"/>
      <c r="ABE30" s="6"/>
      <c r="ABF30" s="6"/>
      <c r="ABG30" s="6"/>
      <c r="ABH30" s="6"/>
      <c r="ABI30" s="6"/>
      <c r="ABJ30" s="6"/>
      <c r="ABK30" s="6"/>
      <c r="ABL30" s="6"/>
      <c r="ABM30" s="6"/>
      <c r="ABN30" s="6"/>
      <c r="ABO30" s="6"/>
      <c r="ABP30" s="6"/>
      <c r="ABQ30" s="6"/>
      <c r="ABR30" s="6"/>
      <c r="ABS30" s="6"/>
      <c r="ABT30" s="6"/>
      <c r="ABU30" s="6"/>
      <c r="ABV30" s="6"/>
      <c r="ABW30" s="6"/>
      <c r="ABX30" s="6"/>
      <c r="ABY30" s="6"/>
      <c r="ABZ30" s="6"/>
      <c r="ACA30" s="6"/>
      <c r="ACB30" s="6"/>
      <c r="ACC30" s="6"/>
      <c r="ACD30" s="6"/>
      <c r="ACE30" s="6"/>
      <c r="ACF30" s="6"/>
      <c r="ACG30" s="6"/>
      <c r="ACH30" s="6"/>
      <c r="ACI30" s="6"/>
      <c r="ACJ30" s="6"/>
      <c r="ACK30" s="6"/>
      <c r="ACL30" s="6"/>
      <c r="ACM30" s="6"/>
      <c r="ACN30" s="6"/>
      <c r="ACO30" s="6"/>
      <c r="ACP30" s="6"/>
      <c r="ACQ30" s="6"/>
      <c r="ACR30" s="6"/>
      <c r="ACS30" s="6"/>
      <c r="ACT30" s="6"/>
      <c r="ACU30" s="6"/>
      <c r="ACV30" s="6"/>
      <c r="ACW30" s="6"/>
      <c r="ACX30" s="6"/>
      <c r="ACY30" s="6"/>
      <c r="ACZ30" s="6"/>
      <c r="ADA30" s="6"/>
      <c r="ADB30" s="6"/>
      <c r="ADC30" s="6"/>
      <c r="ADD30" s="6"/>
      <c r="ADE30" s="6"/>
      <c r="ADF30" s="6"/>
      <c r="ADG30" s="6"/>
      <c r="ADH30" s="6"/>
      <c r="ADI30" s="6"/>
      <c r="ADJ30" s="6"/>
      <c r="ADK30" s="6"/>
      <c r="ADL30" s="6"/>
      <c r="ADM30" s="6"/>
      <c r="ADN30" s="6"/>
      <c r="ADO30" s="6"/>
      <c r="ADP30" s="6"/>
      <c r="ADQ30" s="6"/>
      <c r="ADR30" s="6"/>
      <c r="ADS30" s="6"/>
      <c r="ADT30" s="6"/>
      <c r="ADU30" s="6"/>
      <c r="ADV30" s="6"/>
      <c r="ADW30" s="6"/>
      <c r="ADX30" s="6"/>
      <c r="ADY30" s="6"/>
      <c r="ADZ30" s="6"/>
      <c r="AEA30" s="6"/>
      <c r="AEB30" s="6"/>
      <c r="AEC30" s="6"/>
      <c r="AED30" s="6"/>
      <c r="AEE30" s="6"/>
      <c r="AEF30" s="6"/>
      <c r="AEG30" s="6"/>
      <c r="AEH30" s="6"/>
      <c r="AEI30" s="6"/>
      <c r="AEJ30" s="6"/>
      <c r="AEK30" s="6"/>
      <c r="AEL30" s="6"/>
      <c r="AEM30" s="6"/>
      <c r="AEN30" s="6"/>
      <c r="AEO30" s="6"/>
      <c r="AEP30" s="6"/>
      <c r="AEQ30" s="6"/>
      <c r="AER30" s="6"/>
      <c r="AES30" s="6"/>
      <c r="AET30" s="6"/>
      <c r="AEU30" s="6"/>
      <c r="AEV30" s="6"/>
      <c r="AEW30" s="6"/>
      <c r="AEX30" s="6"/>
      <c r="AEY30" s="6"/>
      <c r="AEZ30" s="6"/>
      <c r="AFA30" s="6"/>
      <c r="AFB30" s="6"/>
      <c r="AFC30" s="6"/>
      <c r="AFD30" s="6"/>
      <c r="AFE30" s="6"/>
      <c r="AFF30" s="6"/>
      <c r="AFG30" s="6"/>
      <c r="AFH30" s="6"/>
      <c r="AFI30" s="6"/>
      <c r="AFJ30" s="6"/>
      <c r="AFK30" s="6"/>
      <c r="AFL30" s="6"/>
      <c r="AFM30" s="6"/>
      <c r="AFN30" s="6"/>
      <c r="AFO30" s="6"/>
      <c r="AFP30" s="6"/>
      <c r="AFQ30" s="6"/>
      <c r="AFR30" s="6"/>
      <c r="AFS30" s="6"/>
      <c r="AFT30" s="6"/>
      <c r="AFU30" s="6"/>
      <c r="AFV30" s="6"/>
      <c r="AFW30" s="6"/>
      <c r="AFX30" s="6"/>
      <c r="AFY30" s="6"/>
      <c r="AFZ30" s="6"/>
      <c r="AGA30" s="6"/>
      <c r="AGB30" s="6"/>
      <c r="AGC30" s="6"/>
      <c r="AGD30" s="6"/>
      <c r="AGE30" s="6"/>
      <c r="AGF30" s="6"/>
      <c r="AGG30" s="6"/>
      <c r="AGH30" s="6"/>
      <c r="AGI30" s="6"/>
      <c r="AGJ30" s="6"/>
      <c r="AGK30" s="6"/>
      <c r="AGL30" s="6"/>
      <c r="AGM30" s="6"/>
      <c r="AGN30" s="6"/>
      <c r="AGO30" s="6"/>
      <c r="AGP30" s="6"/>
      <c r="AGQ30" s="6"/>
      <c r="AGR30" s="6"/>
      <c r="AGS30" s="6"/>
      <c r="AGT30" s="6"/>
      <c r="AGU30" s="6"/>
      <c r="AGV30" s="6"/>
      <c r="AGW30" s="6"/>
      <c r="AGX30" s="6"/>
      <c r="AGY30" s="6"/>
      <c r="AGZ30" s="6"/>
      <c r="AHA30" s="6"/>
      <c r="AHB30" s="6"/>
      <c r="AHC30" s="6"/>
      <c r="AHD30" s="6"/>
      <c r="AHE30" s="6"/>
      <c r="AHF30" s="6"/>
      <c r="AHG30" s="6"/>
      <c r="AHH30" s="6"/>
      <c r="AHI30" s="6"/>
      <c r="AHJ30" s="6"/>
      <c r="AHK30" s="6"/>
      <c r="AHL30" s="6"/>
      <c r="AHM30" s="6"/>
      <c r="AHN30" s="6"/>
      <c r="AHO30" s="6"/>
      <c r="AHP30" s="6"/>
      <c r="AHQ30" s="6"/>
      <c r="AHR30" s="6"/>
      <c r="AHS30" s="6"/>
      <c r="AHT30" s="6"/>
      <c r="AHU30" s="6"/>
      <c r="AHV30" s="6"/>
      <c r="AHW30" s="6"/>
      <c r="AHX30" s="6"/>
      <c r="AHY30" s="6"/>
      <c r="AHZ30" s="6"/>
      <c r="AIA30" s="6"/>
      <c r="AIB30" s="6"/>
      <c r="AIC30" s="6"/>
      <c r="AID30" s="6"/>
      <c r="AIE30" s="6"/>
      <c r="AIF30" s="6"/>
      <c r="AIG30" s="6"/>
      <c r="AIH30" s="6"/>
      <c r="AII30" s="6"/>
      <c r="AIJ30" s="6"/>
      <c r="AIK30" s="6"/>
      <c r="AIL30" s="6"/>
      <c r="AIM30" s="6"/>
      <c r="AIN30" s="6"/>
      <c r="AIO30" s="6"/>
      <c r="AIP30" s="6"/>
      <c r="AIQ30" s="6"/>
      <c r="AIR30" s="6"/>
      <c r="AIS30" s="6"/>
      <c r="AIT30" s="6"/>
      <c r="AIU30" s="6"/>
      <c r="AIV30" s="6"/>
      <c r="AIW30" s="6"/>
      <c r="AIX30" s="6"/>
      <c r="AIY30" s="6"/>
      <c r="AIZ30" s="6"/>
      <c r="AJA30" s="6"/>
      <c r="AJB30" s="6"/>
      <c r="AJC30" s="6"/>
      <c r="AJD30" s="6"/>
      <c r="AJE30" s="6"/>
      <c r="AJF30" s="6"/>
      <c r="AJG30" s="6"/>
      <c r="AJH30" s="6"/>
      <c r="AJI30" s="6"/>
      <c r="AJJ30" s="6"/>
      <c r="AJK30" s="6"/>
      <c r="AJL30" s="6"/>
      <c r="AJM30" s="6"/>
      <c r="AJN30" s="6"/>
      <c r="AJO30" s="6"/>
      <c r="AJP30" s="6"/>
      <c r="AJQ30" s="6"/>
      <c r="AJR30" s="6"/>
      <c r="AJS30" s="6"/>
      <c r="AJT30" s="6"/>
      <c r="AJU30" s="6"/>
      <c r="AJV30" s="6"/>
      <c r="AJW30" s="6"/>
      <c r="AJX30" s="6"/>
      <c r="AJY30" s="6"/>
      <c r="AJZ30" s="6"/>
      <c r="AKA30" s="6"/>
      <c r="AKB30" s="6"/>
      <c r="AKC30" s="6"/>
      <c r="AKD30" s="6"/>
      <c r="AKE30" s="6"/>
      <c r="AKF30" s="6"/>
      <c r="AKG30" s="6"/>
      <c r="AKH30" s="6"/>
      <c r="AKI30" s="6"/>
      <c r="AKJ30" s="6"/>
      <c r="AKK30" s="6"/>
      <c r="AKL30" s="6"/>
      <c r="AKM30" s="6"/>
      <c r="AKN30" s="6"/>
      <c r="AKO30" s="6"/>
      <c r="AKP30" s="6"/>
      <c r="AKQ30" s="6"/>
      <c r="AKR30" s="6"/>
      <c r="AKS30" s="6"/>
      <c r="AKT30" s="6"/>
      <c r="AKU30" s="6"/>
      <c r="AKV30" s="6"/>
      <c r="AKW30" s="6"/>
      <c r="AKX30" s="6"/>
      <c r="AKY30" s="6"/>
      <c r="AKZ30" s="6"/>
      <c r="ALA30" s="6"/>
      <c r="ALB30" s="6"/>
      <c r="ALC30" s="6"/>
      <c r="ALD30" s="6"/>
      <c r="ALE30" s="6"/>
      <c r="ALF30" s="6"/>
      <c r="ALG30" s="6"/>
      <c r="ALH30" s="6"/>
      <c r="ALI30" s="6"/>
      <c r="ALJ30" s="6"/>
      <c r="ALK30" s="6"/>
      <c r="ALL30" s="6"/>
      <c r="ALM30" s="6"/>
      <c r="ALN30" s="6"/>
      <c r="ALO30" s="6"/>
      <c r="ALP30" s="6"/>
      <c r="ALQ30" s="6"/>
      <c r="ALR30" s="6"/>
      <c r="ALS30" s="6"/>
      <c r="ALT30" s="6"/>
      <c r="ALU30" s="6"/>
      <c r="ALV30" s="6"/>
      <c r="ALW30" s="6"/>
    </row>
    <row r="31" spans="2:1011" outlineLevel="1" x14ac:dyDescent="0.25">
      <c r="C31" s="5" t="s">
        <v>14</v>
      </c>
      <c r="D31" s="6"/>
      <c r="E31" s="6"/>
      <c r="F31" s="6"/>
      <c r="G31" s="6"/>
      <c r="H31" s="6"/>
      <c r="I31" s="6"/>
      <c r="J31" s="37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 t="s">
        <v>14</v>
      </c>
      <c r="FK31" s="6" t="s">
        <v>14</v>
      </c>
      <c r="FL31" s="6" t="s">
        <v>14</v>
      </c>
      <c r="FM31" s="6" t="s">
        <v>14</v>
      </c>
      <c r="FN31" s="6" t="s">
        <v>14</v>
      </c>
      <c r="FO31" s="6" t="s">
        <v>14</v>
      </c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6"/>
      <c r="QP31" s="6"/>
      <c r="QQ31" s="6"/>
      <c r="QR31" s="6"/>
      <c r="QS31" s="6"/>
      <c r="QT31" s="6"/>
      <c r="QU31" s="6"/>
      <c r="QV31" s="6"/>
      <c r="QW31" s="6"/>
      <c r="QX31" s="6"/>
      <c r="QY31" s="6"/>
      <c r="QZ31" s="6"/>
      <c r="RA31" s="6"/>
      <c r="RB31" s="6"/>
      <c r="RC31" s="6"/>
      <c r="RD31" s="6"/>
      <c r="RE31" s="6"/>
      <c r="RF31" s="6"/>
      <c r="RG31" s="6"/>
      <c r="RH31" s="6"/>
      <c r="RI31" s="6"/>
      <c r="RJ31" s="6"/>
      <c r="RK31" s="6"/>
      <c r="RL31" s="6"/>
      <c r="RM31" s="6"/>
      <c r="RN31" s="6"/>
      <c r="RO31" s="6"/>
      <c r="RP31" s="6"/>
      <c r="RQ31" s="6"/>
      <c r="RR31" s="6"/>
      <c r="RS31" s="6"/>
      <c r="RT31" s="6"/>
      <c r="RU31" s="6"/>
      <c r="RV31" s="6"/>
      <c r="RW31" s="6"/>
      <c r="RX31" s="6"/>
      <c r="RY31" s="6"/>
      <c r="RZ31" s="6"/>
      <c r="SA31" s="6"/>
      <c r="SB31" s="6"/>
      <c r="SC31" s="6"/>
      <c r="SD31" s="6"/>
      <c r="SE31" s="6"/>
      <c r="SF31" s="6"/>
      <c r="SG31" s="6"/>
      <c r="SH31" s="6"/>
      <c r="SI31" s="6"/>
      <c r="SJ31" s="6"/>
      <c r="SK31" s="6"/>
      <c r="SL31" s="6"/>
      <c r="SM31" s="6"/>
      <c r="SN31" s="6"/>
      <c r="SO31" s="6"/>
      <c r="SP31" s="6"/>
      <c r="SQ31" s="6"/>
      <c r="SR31" s="6"/>
      <c r="SS31" s="6"/>
      <c r="ST31" s="6"/>
      <c r="SU31" s="6"/>
      <c r="SV31" s="6"/>
      <c r="SW31" s="6"/>
      <c r="SX31" s="6"/>
      <c r="SY31" s="6"/>
      <c r="SZ31" s="6"/>
      <c r="TA31" s="6"/>
      <c r="TB31" s="6"/>
      <c r="TC31" s="6"/>
      <c r="TD31" s="6"/>
      <c r="TE31" s="6"/>
      <c r="TF31" s="6"/>
      <c r="TG31" s="6"/>
      <c r="TH31" s="6"/>
      <c r="TI31" s="6"/>
      <c r="TJ31" s="6"/>
      <c r="TK31" s="6"/>
      <c r="TL31" s="6"/>
      <c r="TM31" s="6"/>
      <c r="TN31" s="6"/>
      <c r="TO31" s="6"/>
      <c r="TP31" s="6"/>
      <c r="TQ31" s="6"/>
      <c r="TR31" s="6"/>
      <c r="TS31" s="6"/>
      <c r="TT31" s="6"/>
      <c r="TU31" s="6"/>
      <c r="TV31" s="6"/>
      <c r="TW31" s="6"/>
      <c r="TX31" s="6"/>
      <c r="TY31" s="6"/>
      <c r="TZ31" s="6"/>
      <c r="UA31" s="6"/>
      <c r="UB31" s="6"/>
      <c r="UC31" s="6"/>
      <c r="UD31" s="6"/>
      <c r="UE31" s="6"/>
      <c r="UF31" s="6"/>
      <c r="UG31" s="6"/>
      <c r="UH31" s="6"/>
      <c r="UI31" s="6"/>
      <c r="UJ31" s="6"/>
      <c r="UK31" s="6"/>
      <c r="UL31" s="6"/>
      <c r="UM31" s="6"/>
      <c r="UN31" s="6"/>
      <c r="UO31" s="6"/>
      <c r="UP31" s="6"/>
      <c r="UQ31" s="6"/>
      <c r="UR31" s="6"/>
      <c r="US31" s="6"/>
      <c r="UT31" s="6"/>
      <c r="UU31" s="6"/>
      <c r="UV31" s="6"/>
      <c r="UW31" s="6"/>
      <c r="UX31" s="6"/>
      <c r="UY31" s="6"/>
      <c r="UZ31" s="6"/>
      <c r="VA31" s="6"/>
      <c r="VB31" s="6"/>
      <c r="VC31" s="6"/>
      <c r="VD31" s="6"/>
      <c r="VE31" s="6"/>
      <c r="VF31" s="6"/>
      <c r="VG31" s="6"/>
      <c r="VH31" s="6"/>
      <c r="VI31" s="6"/>
      <c r="VJ31" s="6"/>
      <c r="VK31" s="6"/>
      <c r="VL31" s="6"/>
      <c r="VM31" s="6"/>
      <c r="VN31" s="6"/>
      <c r="VO31" s="6"/>
      <c r="VP31" s="6"/>
      <c r="VQ31" s="6"/>
      <c r="VR31" s="6"/>
      <c r="VS31" s="6"/>
      <c r="VT31" s="6"/>
      <c r="VU31" s="6"/>
      <c r="VV31" s="6"/>
      <c r="VW31" s="6"/>
      <c r="VX31" s="6"/>
      <c r="VY31" s="6"/>
      <c r="VZ31" s="6"/>
      <c r="WA31" s="6"/>
      <c r="WB31" s="6"/>
      <c r="WC31" s="6"/>
      <c r="WD31" s="6"/>
      <c r="WE31" s="6"/>
      <c r="WF31" s="6"/>
      <c r="WG31" s="6"/>
      <c r="WH31" s="6"/>
      <c r="WI31" s="6"/>
      <c r="WJ31" s="6"/>
      <c r="WK31" s="6"/>
      <c r="WL31" s="6"/>
      <c r="WM31" s="6"/>
      <c r="WN31" s="6"/>
      <c r="WO31" s="6"/>
      <c r="WP31" s="6"/>
      <c r="WQ31" s="6"/>
      <c r="WR31" s="6"/>
      <c r="WS31" s="6"/>
      <c r="WT31" s="6"/>
      <c r="WU31" s="6"/>
      <c r="WV31" s="6"/>
      <c r="WW31" s="6"/>
      <c r="WX31" s="6"/>
      <c r="WY31" s="6"/>
      <c r="WZ31" s="6"/>
      <c r="XA31" s="6"/>
      <c r="XB31" s="6"/>
      <c r="XC31" s="6"/>
      <c r="XD31" s="6"/>
      <c r="XE31" s="6"/>
      <c r="XF31" s="6"/>
      <c r="XG31" s="6"/>
      <c r="XH31" s="6"/>
      <c r="XI31" s="6"/>
      <c r="XJ31" s="6"/>
      <c r="XK31" s="6"/>
      <c r="XL31" s="6"/>
      <c r="XM31" s="6"/>
      <c r="XN31" s="6"/>
      <c r="XO31" s="6"/>
      <c r="XP31" s="6"/>
      <c r="XQ31" s="6"/>
      <c r="XR31" s="6"/>
      <c r="XS31" s="6"/>
      <c r="XT31" s="6"/>
      <c r="XU31" s="6"/>
      <c r="XV31" s="6"/>
      <c r="XW31" s="6"/>
      <c r="XX31" s="6"/>
      <c r="XY31" s="6"/>
      <c r="XZ31" s="6"/>
      <c r="YA31" s="6"/>
      <c r="YB31" s="6"/>
      <c r="YC31" s="6"/>
      <c r="YD31" s="6"/>
      <c r="YE31" s="6"/>
      <c r="YF31" s="6"/>
      <c r="YG31" s="6"/>
      <c r="YH31" s="6"/>
      <c r="YI31" s="6"/>
      <c r="YJ31" s="6"/>
      <c r="YK31" s="6"/>
      <c r="YL31" s="6"/>
      <c r="YM31" s="6"/>
      <c r="YN31" s="6"/>
      <c r="YO31" s="6"/>
      <c r="YP31" s="6"/>
      <c r="YQ31" s="6"/>
      <c r="YR31" s="6"/>
      <c r="YS31" s="6"/>
      <c r="YT31" s="6"/>
      <c r="YU31" s="6"/>
      <c r="YV31" s="6"/>
      <c r="YW31" s="6"/>
      <c r="YX31" s="6"/>
      <c r="YY31" s="6"/>
      <c r="YZ31" s="6"/>
      <c r="ZA31" s="6"/>
      <c r="ZB31" s="6"/>
      <c r="ZC31" s="6"/>
      <c r="ZD31" s="6"/>
      <c r="ZE31" s="6"/>
      <c r="ZF31" s="6"/>
      <c r="ZG31" s="6"/>
      <c r="ZH31" s="6"/>
      <c r="ZI31" s="6"/>
      <c r="ZJ31" s="6"/>
      <c r="ZK31" s="6"/>
      <c r="ZL31" s="6"/>
      <c r="ZM31" s="6"/>
      <c r="ZN31" s="6"/>
      <c r="ZO31" s="6"/>
      <c r="ZP31" s="6"/>
      <c r="ZQ31" s="6"/>
      <c r="ZR31" s="6"/>
      <c r="ZS31" s="6"/>
      <c r="ZT31" s="6"/>
      <c r="ZU31" s="6"/>
      <c r="ZV31" s="6"/>
      <c r="ZW31" s="6"/>
      <c r="ZX31" s="6"/>
      <c r="ZY31" s="6"/>
      <c r="ZZ31" s="6"/>
      <c r="AAA31" s="6"/>
      <c r="AAB31" s="6"/>
      <c r="AAC31" s="6"/>
      <c r="AAD31" s="6"/>
      <c r="AAE31" s="6"/>
      <c r="AAF31" s="6"/>
      <c r="AAG31" s="6"/>
      <c r="AAH31" s="6"/>
      <c r="AAI31" s="6"/>
      <c r="AAJ31" s="6"/>
      <c r="AAK31" s="6"/>
      <c r="AAL31" s="6"/>
      <c r="AAM31" s="6"/>
      <c r="AAN31" s="6"/>
      <c r="AAO31" s="6"/>
      <c r="AAP31" s="6"/>
      <c r="AAQ31" s="6"/>
      <c r="AAR31" s="6"/>
      <c r="AAS31" s="6"/>
      <c r="AAT31" s="6"/>
      <c r="AAU31" s="6"/>
      <c r="AAV31" s="6"/>
      <c r="AAW31" s="6"/>
      <c r="AAX31" s="6"/>
      <c r="AAY31" s="6"/>
      <c r="AAZ31" s="6"/>
      <c r="ABA31" s="6"/>
      <c r="ABB31" s="6"/>
      <c r="ABC31" s="6"/>
      <c r="ABD31" s="6"/>
      <c r="ABE31" s="6"/>
      <c r="ABF31" s="6"/>
      <c r="ABG31" s="6"/>
      <c r="ABH31" s="6"/>
      <c r="ABI31" s="6"/>
      <c r="ABJ31" s="6"/>
      <c r="ABK31" s="6"/>
      <c r="ABL31" s="6"/>
      <c r="ABM31" s="6"/>
      <c r="ABN31" s="6"/>
      <c r="ABO31" s="6"/>
      <c r="ABP31" s="6"/>
      <c r="ABQ31" s="6"/>
      <c r="ABR31" s="6"/>
      <c r="ABS31" s="6"/>
      <c r="ABT31" s="6"/>
      <c r="ABU31" s="6"/>
      <c r="ABV31" s="6"/>
      <c r="ABW31" s="6"/>
      <c r="ABX31" s="6"/>
      <c r="ABY31" s="6"/>
      <c r="ABZ31" s="6"/>
      <c r="ACA31" s="6"/>
      <c r="ACB31" s="6"/>
      <c r="ACC31" s="6"/>
      <c r="ACD31" s="6"/>
      <c r="ACE31" s="6"/>
      <c r="ACF31" s="6"/>
      <c r="ACG31" s="6"/>
      <c r="ACH31" s="6"/>
      <c r="ACI31" s="6"/>
      <c r="ACJ31" s="6"/>
      <c r="ACK31" s="6"/>
      <c r="ACL31" s="6"/>
      <c r="ACM31" s="6"/>
      <c r="ACN31" s="6"/>
      <c r="ACO31" s="6"/>
      <c r="ACP31" s="6"/>
      <c r="ACQ31" s="6"/>
      <c r="ACR31" s="6"/>
      <c r="ACS31" s="6"/>
      <c r="ACT31" s="6"/>
      <c r="ACU31" s="6"/>
      <c r="ACV31" s="6"/>
      <c r="ACW31" s="6"/>
      <c r="ACX31" s="6"/>
      <c r="ACY31" s="6"/>
      <c r="ACZ31" s="6"/>
      <c r="ADA31" s="6"/>
      <c r="ADB31" s="6"/>
      <c r="ADC31" s="6"/>
      <c r="ADD31" s="6"/>
      <c r="ADE31" s="6"/>
      <c r="ADF31" s="6"/>
      <c r="ADG31" s="6"/>
      <c r="ADH31" s="6"/>
      <c r="ADI31" s="6"/>
      <c r="ADJ31" s="6"/>
      <c r="ADK31" s="6"/>
      <c r="ADL31" s="6"/>
      <c r="ADM31" s="6"/>
      <c r="ADN31" s="6"/>
      <c r="ADO31" s="6"/>
      <c r="ADP31" s="6"/>
      <c r="ADQ31" s="6"/>
      <c r="ADR31" s="6"/>
      <c r="ADS31" s="6"/>
      <c r="ADT31" s="6"/>
      <c r="ADU31" s="6"/>
      <c r="ADV31" s="6"/>
      <c r="ADW31" s="6"/>
      <c r="ADX31" s="6"/>
      <c r="ADY31" s="6"/>
      <c r="ADZ31" s="6"/>
      <c r="AEA31" s="6"/>
      <c r="AEB31" s="6"/>
      <c r="AEC31" s="6"/>
      <c r="AED31" s="6"/>
      <c r="AEE31" s="6"/>
      <c r="AEF31" s="6"/>
      <c r="AEG31" s="6"/>
      <c r="AEH31" s="6"/>
      <c r="AEI31" s="6"/>
      <c r="AEJ31" s="6"/>
      <c r="AEK31" s="6"/>
      <c r="AEL31" s="6"/>
      <c r="AEM31" s="6"/>
      <c r="AEN31" s="6"/>
      <c r="AEO31" s="6"/>
      <c r="AEP31" s="6"/>
      <c r="AEQ31" s="6"/>
      <c r="AER31" s="6"/>
      <c r="AES31" s="6"/>
      <c r="AET31" s="6"/>
      <c r="AEU31" s="6"/>
      <c r="AEV31" s="6"/>
      <c r="AEW31" s="6"/>
      <c r="AEX31" s="6"/>
      <c r="AEY31" s="6"/>
      <c r="AEZ31" s="6"/>
      <c r="AFA31" s="6"/>
      <c r="AFB31" s="6"/>
      <c r="AFC31" s="6"/>
      <c r="AFD31" s="6"/>
      <c r="AFE31" s="6"/>
      <c r="AFF31" s="6"/>
      <c r="AFG31" s="6"/>
      <c r="AFH31" s="6"/>
      <c r="AFI31" s="6"/>
      <c r="AFJ31" s="6"/>
      <c r="AFK31" s="6"/>
      <c r="AFL31" s="6"/>
      <c r="AFM31" s="6"/>
      <c r="AFN31" s="6"/>
      <c r="AFO31" s="6"/>
      <c r="AFP31" s="6"/>
      <c r="AFQ31" s="6"/>
      <c r="AFR31" s="6"/>
      <c r="AFS31" s="6"/>
      <c r="AFT31" s="6"/>
      <c r="AFU31" s="6"/>
      <c r="AFV31" s="6"/>
      <c r="AFW31" s="6"/>
      <c r="AFX31" s="6"/>
      <c r="AFY31" s="6"/>
      <c r="AFZ31" s="6"/>
      <c r="AGA31" s="6"/>
      <c r="AGB31" s="6"/>
      <c r="AGC31" s="6"/>
      <c r="AGD31" s="6"/>
      <c r="AGE31" s="6"/>
      <c r="AGF31" s="6"/>
      <c r="AGG31" s="6"/>
      <c r="AGH31" s="6"/>
      <c r="AGI31" s="6"/>
      <c r="AGJ31" s="6"/>
      <c r="AGK31" s="6"/>
      <c r="AGL31" s="6"/>
      <c r="AGM31" s="6"/>
      <c r="AGN31" s="6"/>
      <c r="AGO31" s="6"/>
      <c r="AGP31" s="6"/>
      <c r="AGQ31" s="6"/>
      <c r="AGR31" s="6"/>
      <c r="AGS31" s="6"/>
      <c r="AGT31" s="6"/>
      <c r="AGU31" s="6"/>
      <c r="AGV31" s="6"/>
      <c r="AGW31" s="6"/>
      <c r="AGX31" s="6"/>
      <c r="AGY31" s="6"/>
      <c r="AGZ31" s="6"/>
      <c r="AHA31" s="6"/>
      <c r="AHB31" s="6"/>
      <c r="AHC31" s="6"/>
      <c r="AHD31" s="6"/>
      <c r="AHE31" s="6"/>
      <c r="AHF31" s="6"/>
      <c r="AHG31" s="6"/>
      <c r="AHH31" s="6"/>
      <c r="AHI31" s="6"/>
      <c r="AHJ31" s="6"/>
      <c r="AHK31" s="6"/>
      <c r="AHL31" s="6"/>
      <c r="AHM31" s="6"/>
      <c r="AHN31" s="6"/>
      <c r="AHO31" s="6"/>
      <c r="AHP31" s="6"/>
      <c r="AHQ31" s="6"/>
      <c r="AHR31" s="6"/>
      <c r="AHS31" s="6"/>
      <c r="AHT31" s="6"/>
      <c r="AHU31" s="6"/>
      <c r="AHV31" s="6"/>
      <c r="AHW31" s="6"/>
      <c r="AHX31" s="6"/>
      <c r="AHY31" s="6"/>
      <c r="AHZ31" s="6"/>
      <c r="AIA31" s="6"/>
      <c r="AIB31" s="6"/>
      <c r="AIC31" s="6"/>
      <c r="AID31" s="6"/>
      <c r="AIE31" s="6"/>
      <c r="AIF31" s="6"/>
      <c r="AIG31" s="6"/>
      <c r="AIH31" s="6"/>
      <c r="AII31" s="6"/>
      <c r="AIJ31" s="6"/>
      <c r="AIK31" s="6"/>
      <c r="AIL31" s="6"/>
      <c r="AIM31" s="6"/>
      <c r="AIN31" s="6"/>
      <c r="AIO31" s="6"/>
      <c r="AIP31" s="6"/>
      <c r="AIQ31" s="6"/>
      <c r="AIR31" s="6"/>
      <c r="AIS31" s="6"/>
      <c r="AIT31" s="6"/>
      <c r="AIU31" s="6"/>
      <c r="AIV31" s="6"/>
      <c r="AIW31" s="6"/>
      <c r="AIX31" s="6"/>
      <c r="AIY31" s="6"/>
      <c r="AIZ31" s="6"/>
      <c r="AJA31" s="6"/>
      <c r="AJB31" s="6"/>
      <c r="AJC31" s="6"/>
      <c r="AJD31" s="6"/>
      <c r="AJE31" s="6"/>
      <c r="AJF31" s="6"/>
      <c r="AJG31" s="6"/>
      <c r="AJH31" s="6"/>
      <c r="AJI31" s="6"/>
      <c r="AJJ31" s="6"/>
      <c r="AJK31" s="6"/>
      <c r="AJL31" s="6"/>
      <c r="AJM31" s="6"/>
      <c r="AJN31" s="6"/>
      <c r="AJO31" s="6"/>
      <c r="AJP31" s="6"/>
      <c r="AJQ31" s="6"/>
      <c r="AJR31" s="6"/>
      <c r="AJS31" s="6"/>
      <c r="AJT31" s="6"/>
      <c r="AJU31" s="6"/>
      <c r="AJV31" s="6"/>
      <c r="AJW31" s="6"/>
      <c r="AJX31" s="6"/>
      <c r="AJY31" s="6"/>
      <c r="AJZ31" s="6"/>
      <c r="AKA31" s="6"/>
      <c r="AKB31" s="6"/>
      <c r="AKC31" s="6"/>
      <c r="AKD31" s="6"/>
      <c r="AKE31" s="6"/>
      <c r="AKF31" s="6"/>
      <c r="AKG31" s="6"/>
      <c r="AKH31" s="6"/>
      <c r="AKI31" s="6"/>
      <c r="AKJ31" s="6"/>
      <c r="AKK31" s="6"/>
      <c r="AKL31" s="6"/>
      <c r="AKM31" s="6"/>
      <c r="AKN31" s="6"/>
      <c r="AKO31" s="6"/>
      <c r="AKP31" s="6"/>
      <c r="AKQ31" s="6"/>
      <c r="AKR31" s="6"/>
      <c r="AKS31" s="6"/>
      <c r="AKT31" s="6"/>
      <c r="AKU31" s="6"/>
      <c r="AKV31" s="6"/>
      <c r="AKW31" s="6"/>
      <c r="AKX31" s="6"/>
      <c r="AKY31" s="6"/>
      <c r="AKZ31" s="6"/>
      <c r="ALA31" s="6"/>
      <c r="ALB31" s="6"/>
      <c r="ALC31" s="6"/>
      <c r="ALD31" s="6"/>
      <c r="ALE31" s="6"/>
      <c r="ALF31" s="6"/>
      <c r="ALG31" s="6"/>
      <c r="ALH31" s="6"/>
      <c r="ALI31" s="6"/>
      <c r="ALJ31" s="6"/>
      <c r="ALK31" s="6"/>
      <c r="ALL31" s="6"/>
      <c r="ALM31" s="6"/>
      <c r="ALN31" s="6"/>
      <c r="ALO31" s="6"/>
      <c r="ALP31" s="6"/>
      <c r="ALQ31" s="6"/>
      <c r="ALR31" s="6"/>
      <c r="ALS31" s="6"/>
      <c r="ALT31" s="6"/>
      <c r="ALU31" s="6"/>
      <c r="ALV31" s="6"/>
      <c r="ALW31" s="6"/>
    </row>
    <row r="32" spans="2:1011" outlineLevel="1" x14ac:dyDescent="0.25">
      <c r="C32" s="9" t="s">
        <v>15</v>
      </c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17"/>
      <c r="EQ32" s="17"/>
      <c r="ER32" s="17"/>
      <c r="ES32" s="17"/>
      <c r="ET32" s="17"/>
      <c r="EU32" s="17"/>
      <c r="EV32" s="17"/>
      <c r="EW32" s="17"/>
      <c r="EX32" s="17"/>
      <c r="EY32" s="17"/>
      <c r="EZ32" s="17"/>
      <c r="FA32" s="17"/>
      <c r="FB32" s="17"/>
      <c r="FC32" s="17"/>
      <c r="FD32" s="17"/>
      <c r="FE32" s="17"/>
      <c r="FF32" s="17"/>
      <c r="FG32" s="17"/>
      <c r="FH32" s="17"/>
      <c r="FI32" s="17"/>
      <c r="FJ32" s="17"/>
      <c r="FK32" s="17"/>
      <c r="FL32" s="17"/>
      <c r="FM32" s="17"/>
      <c r="FN32" s="17"/>
      <c r="FO32" s="17"/>
      <c r="FP32" s="17" t="s">
        <v>15</v>
      </c>
      <c r="FQ32" s="17" t="s">
        <v>15</v>
      </c>
      <c r="FR32" s="17" t="s">
        <v>15</v>
      </c>
      <c r="FS32" s="17" t="s">
        <v>15</v>
      </c>
      <c r="FT32" s="17" t="s">
        <v>15</v>
      </c>
      <c r="FU32" s="17" t="s">
        <v>15</v>
      </c>
      <c r="FV32" s="17" t="s">
        <v>15</v>
      </c>
      <c r="FW32" s="17" t="s">
        <v>15</v>
      </c>
      <c r="FX32" s="17" t="s">
        <v>15</v>
      </c>
      <c r="FY32" s="17" t="s">
        <v>15</v>
      </c>
      <c r="FZ32" s="17" t="s">
        <v>15</v>
      </c>
      <c r="GA32" s="17" t="s">
        <v>15</v>
      </c>
      <c r="GB32" s="17" t="s">
        <v>15</v>
      </c>
      <c r="GC32" s="17" t="s">
        <v>15</v>
      </c>
      <c r="GD32" s="17" t="s">
        <v>15</v>
      </c>
      <c r="GE32" s="17" t="s">
        <v>15</v>
      </c>
      <c r="GF32" s="17" t="s">
        <v>15</v>
      </c>
      <c r="GG32" s="17" t="s">
        <v>15</v>
      </c>
      <c r="GH32" s="17" t="s">
        <v>15</v>
      </c>
      <c r="GI32" s="17" t="s">
        <v>15</v>
      </c>
      <c r="GJ32" s="17" t="s">
        <v>15</v>
      </c>
      <c r="GK32" s="17" t="s">
        <v>15</v>
      </c>
      <c r="GL32" s="17" t="s">
        <v>15</v>
      </c>
      <c r="GM32" s="17" t="s">
        <v>15</v>
      </c>
      <c r="GN32" s="17" t="s">
        <v>15</v>
      </c>
      <c r="GO32" s="17" t="s">
        <v>15</v>
      </c>
      <c r="GP32" s="17" t="s">
        <v>15</v>
      </c>
      <c r="GQ32" s="17" t="s">
        <v>15</v>
      </c>
      <c r="GR32" s="17" t="s">
        <v>15</v>
      </c>
      <c r="GS32" s="17" t="s">
        <v>15</v>
      </c>
      <c r="GT32" s="17" t="s">
        <v>15</v>
      </c>
      <c r="GU32" s="17" t="s">
        <v>15</v>
      </c>
      <c r="GV32" s="17" t="s">
        <v>15</v>
      </c>
      <c r="GW32" s="17" t="s">
        <v>15</v>
      </c>
      <c r="GX32" s="17" t="s">
        <v>15</v>
      </c>
      <c r="GY32" s="17" t="s">
        <v>15</v>
      </c>
      <c r="GZ32" s="17" t="s">
        <v>15</v>
      </c>
      <c r="HA32" s="17" t="s">
        <v>15</v>
      </c>
      <c r="HB32" s="17" t="s">
        <v>15</v>
      </c>
      <c r="HC32" s="17" t="s">
        <v>15</v>
      </c>
      <c r="HD32" s="17" t="s">
        <v>15</v>
      </c>
      <c r="HE32" s="17" t="s">
        <v>15</v>
      </c>
      <c r="HF32" s="17" t="s">
        <v>15</v>
      </c>
      <c r="HG32" s="17" t="s">
        <v>15</v>
      </c>
      <c r="HH32" s="17" t="s">
        <v>15</v>
      </c>
      <c r="HI32" s="17" t="s">
        <v>15</v>
      </c>
      <c r="HJ32" s="17" t="s">
        <v>15</v>
      </c>
      <c r="HK32" s="17" t="s">
        <v>15</v>
      </c>
      <c r="HL32" s="17" t="s">
        <v>15</v>
      </c>
      <c r="HM32" s="17" t="s">
        <v>15</v>
      </c>
      <c r="HN32" s="17" t="s">
        <v>15</v>
      </c>
      <c r="HO32" s="17" t="s">
        <v>15</v>
      </c>
      <c r="HP32" s="17" t="s">
        <v>15</v>
      </c>
      <c r="HQ32" s="17" t="s">
        <v>15</v>
      </c>
      <c r="HR32" s="17" t="s">
        <v>15</v>
      </c>
      <c r="HS32" s="17" t="s">
        <v>15</v>
      </c>
      <c r="HT32" s="17" t="s">
        <v>15</v>
      </c>
      <c r="HU32" s="17" t="s">
        <v>15</v>
      </c>
      <c r="HV32" s="17" t="s">
        <v>15</v>
      </c>
      <c r="HW32" s="17" t="s">
        <v>15</v>
      </c>
      <c r="HX32" s="17" t="s">
        <v>15</v>
      </c>
      <c r="HY32" s="17" t="s">
        <v>15</v>
      </c>
      <c r="HZ32" s="17" t="s">
        <v>15</v>
      </c>
      <c r="IA32" s="17" t="s">
        <v>15</v>
      </c>
      <c r="IB32" s="17" t="s">
        <v>15</v>
      </c>
      <c r="IC32" s="17" t="s">
        <v>15</v>
      </c>
      <c r="ID32" s="17" t="s">
        <v>15</v>
      </c>
      <c r="IE32" s="17" t="s">
        <v>15</v>
      </c>
      <c r="IF32" s="17" t="s">
        <v>15</v>
      </c>
      <c r="IG32" s="17" t="s">
        <v>15</v>
      </c>
      <c r="IH32" s="17" t="s">
        <v>15</v>
      </c>
      <c r="II32" s="17" t="s">
        <v>15</v>
      </c>
      <c r="IJ32" s="17" t="s">
        <v>15</v>
      </c>
      <c r="IK32" s="17" t="s">
        <v>15</v>
      </c>
      <c r="IL32" s="17" t="s">
        <v>15</v>
      </c>
      <c r="IM32" s="17" t="s">
        <v>15</v>
      </c>
      <c r="IN32" s="17" t="s">
        <v>15</v>
      </c>
      <c r="IO32" s="17" t="s">
        <v>15</v>
      </c>
      <c r="IP32" s="17" t="s">
        <v>15</v>
      </c>
      <c r="IQ32" s="17" t="s">
        <v>15</v>
      </c>
      <c r="IR32" s="17" t="s">
        <v>15</v>
      </c>
      <c r="IS32" s="17" t="s">
        <v>15</v>
      </c>
      <c r="IT32" s="17" t="s">
        <v>15</v>
      </c>
      <c r="IU32" s="17" t="s">
        <v>15</v>
      </c>
      <c r="IV32" s="17" t="s">
        <v>15</v>
      </c>
      <c r="IW32" s="17" t="s">
        <v>15</v>
      </c>
      <c r="IX32" s="17" t="s">
        <v>15</v>
      </c>
      <c r="IY32" s="17" t="s">
        <v>15</v>
      </c>
      <c r="IZ32" s="17" t="s">
        <v>15</v>
      </c>
      <c r="JA32" s="17" t="s">
        <v>15</v>
      </c>
      <c r="JB32" s="17" t="s">
        <v>15</v>
      </c>
      <c r="JC32" s="17" t="s">
        <v>15</v>
      </c>
      <c r="JD32" s="17" t="s">
        <v>15</v>
      </c>
      <c r="JE32" s="17" t="s">
        <v>15</v>
      </c>
      <c r="JF32" s="17" t="s">
        <v>15</v>
      </c>
      <c r="JG32" s="17" t="s">
        <v>15</v>
      </c>
      <c r="JH32" s="17" t="s">
        <v>15</v>
      </c>
      <c r="JI32" s="17" t="s">
        <v>15</v>
      </c>
      <c r="JJ32" s="17" t="s">
        <v>15</v>
      </c>
      <c r="JK32" s="17" t="s">
        <v>15</v>
      </c>
      <c r="JL32" s="17" t="s">
        <v>15</v>
      </c>
      <c r="JM32" s="17" t="s">
        <v>15</v>
      </c>
      <c r="JN32" s="17" t="s">
        <v>15</v>
      </c>
      <c r="JO32" s="17" t="s">
        <v>15</v>
      </c>
      <c r="JP32" s="17" t="s">
        <v>15</v>
      </c>
      <c r="JQ32" s="17" t="s">
        <v>15</v>
      </c>
      <c r="JR32" s="17" t="s">
        <v>15</v>
      </c>
      <c r="JS32" s="17" t="s">
        <v>15</v>
      </c>
      <c r="JT32" s="17" t="s">
        <v>15</v>
      </c>
      <c r="JU32" s="17" t="s">
        <v>15</v>
      </c>
      <c r="JV32" s="17" t="s">
        <v>15</v>
      </c>
      <c r="JW32" s="17" t="s">
        <v>15</v>
      </c>
      <c r="JX32" s="17" t="s">
        <v>15</v>
      </c>
      <c r="JY32" s="17" t="s">
        <v>15</v>
      </c>
      <c r="JZ32" s="17" t="s">
        <v>15</v>
      </c>
      <c r="KA32" s="17" t="s">
        <v>15</v>
      </c>
      <c r="KB32" s="17" t="s">
        <v>15</v>
      </c>
      <c r="KC32" s="17" t="s">
        <v>15</v>
      </c>
      <c r="KD32" s="17" t="s">
        <v>15</v>
      </c>
      <c r="KE32" s="17" t="s">
        <v>15</v>
      </c>
      <c r="KF32" s="17"/>
      <c r="KG32" s="17"/>
      <c r="KH32" s="17"/>
      <c r="KI32" s="17"/>
      <c r="KJ32" s="17"/>
      <c r="KK32" s="17"/>
      <c r="KL32" s="17"/>
      <c r="KM32" s="17"/>
      <c r="KN32" s="17"/>
      <c r="KO32" s="17"/>
      <c r="KP32" s="17"/>
      <c r="KQ32" s="17"/>
      <c r="KR32" s="17"/>
      <c r="KS32" s="17"/>
      <c r="KT32" s="17"/>
      <c r="KU32" s="17"/>
      <c r="KV32" s="17"/>
      <c r="KW32" s="17"/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17"/>
      <c r="LU32" s="17"/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17"/>
      <c r="MT32" s="17"/>
      <c r="MU32" s="17"/>
      <c r="MV32" s="17"/>
      <c r="MW32" s="17"/>
      <c r="MX32" s="17"/>
      <c r="MY32" s="17"/>
      <c r="MZ32" s="17"/>
      <c r="NA32" s="17"/>
      <c r="NB32" s="17"/>
      <c r="NC32" s="17"/>
      <c r="ND32" s="17"/>
      <c r="NE32" s="17"/>
      <c r="NF32" s="17"/>
      <c r="NG32" s="17"/>
      <c r="NH32" s="17"/>
      <c r="NI32" s="17"/>
      <c r="NJ32" s="17"/>
      <c r="NK32" s="17"/>
      <c r="NL32" s="17"/>
      <c r="NM32" s="17"/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17"/>
      <c r="OX32" s="17"/>
      <c r="OY32" s="17"/>
      <c r="OZ32" s="17"/>
      <c r="PA32" s="17"/>
      <c r="PB32" s="17"/>
      <c r="PC32" s="17"/>
      <c r="PD32" s="17"/>
      <c r="PE32" s="17"/>
      <c r="PF32" s="17"/>
      <c r="PG32" s="17"/>
      <c r="PH32" s="17"/>
      <c r="PI32" s="17"/>
      <c r="PJ32" s="17"/>
      <c r="PK32" s="17"/>
      <c r="PL32" s="17"/>
      <c r="PM32" s="17"/>
      <c r="PN32" s="17"/>
      <c r="PO32" s="17"/>
      <c r="PP32" s="17"/>
      <c r="PQ32" s="17"/>
      <c r="PR32" s="17"/>
      <c r="PS32" s="17"/>
      <c r="PT32" s="17"/>
      <c r="PU32" s="17"/>
      <c r="PV32" s="17"/>
      <c r="PW32" s="17"/>
      <c r="PX32" s="17"/>
      <c r="PY32" s="17"/>
      <c r="PZ32" s="17"/>
      <c r="QA32" s="17"/>
      <c r="QB32" s="17"/>
      <c r="QC32" s="17"/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17"/>
      <c r="RA32" s="17"/>
      <c r="RB32" s="17"/>
      <c r="RC32" s="17"/>
      <c r="RD32" s="17"/>
      <c r="RE32" s="17"/>
      <c r="RF32" s="17"/>
      <c r="RG32" s="17"/>
      <c r="RH32" s="17"/>
      <c r="RI32" s="17"/>
      <c r="RJ32" s="17"/>
      <c r="RK32" s="17"/>
      <c r="RL32" s="17"/>
      <c r="RM32" s="17"/>
      <c r="RN32" s="17"/>
      <c r="RO32" s="17"/>
      <c r="RP32" s="17"/>
      <c r="RQ32" s="17"/>
      <c r="RR32" s="17"/>
      <c r="RS32" s="17"/>
      <c r="RT32" s="17"/>
      <c r="RU32" s="17"/>
      <c r="RV32" s="17"/>
      <c r="RW32" s="17"/>
      <c r="RX32" s="17"/>
      <c r="RY32" s="17"/>
      <c r="RZ32" s="17"/>
      <c r="SA32" s="17"/>
      <c r="SB32" s="17"/>
      <c r="SC32" s="17"/>
      <c r="SD32" s="17"/>
      <c r="SE32" s="17"/>
      <c r="SF32" s="17"/>
      <c r="SG32" s="17"/>
      <c r="SH32" s="17"/>
      <c r="SI32" s="17"/>
      <c r="SJ32" s="17"/>
      <c r="SK32" s="17"/>
      <c r="SL32" s="17"/>
      <c r="SM32" s="17"/>
      <c r="SN32" s="17"/>
      <c r="SO32" s="17"/>
      <c r="SP32" s="17"/>
      <c r="SQ32" s="17"/>
      <c r="SR32" s="17"/>
      <c r="SS32" s="17"/>
      <c r="ST32" s="17"/>
      <c r="SU32" s="17"/>
      <c r="SV32" s="17"/>
      <c r="SW32" s="17"/>
      <c r="SX32" s="17"/>
      <c r="SY32" s="17"/>
      <c r="SZ32" s="17"/>
      <c r="TA32" s="17"/>
      <c r="TB32" s="17"/>
      <c r="TC32" s="17"/>
      <c r="TD32" s="17"/>
      <c r="TE32" s="17"/>
      <c r="TF32" s="17"/>
      <c r="TG32" s="17"/>
      <c r="TH32" s="17"/>
      <c r="TI32" s="17"/>
      <c r="TJ32" s="17"/>
      <c r="TK32" s="17"/>
      <c r="TL32" s="17"/>
      <c r="TM32" s="17"/>
      <c r="TN32" s="17"/>
      <c r="TO32" s="17"/>
      <c r="TP32" s="17"/>
      <c r="TQ32" s="17"/>
      <c r="TR32" s="17"/>
      <c r="TS32" s="17"/>
      <c r="TT32" s="17"/>
      <c r="TU32" s="17"/>
      <c r="TV32" s="17"/>
      <c r="TW32" s="17"/>
      <c r="TX32" s="17"/>
      <c r="TY32" s="17"/>
      <c r="TZ32" s="17"/>
      <c r="UA32" s="17"/>
      <c r="UB32" s="17"/>
      <c r="UC32" s="17"/>
      <c r="UD32" s="17"/>
      <c r="UE32" s="17"/>
      <c r="UF32" s="17"/>
      <c r="UG32" s="17"/>
      <c r="UH32" s="17"/>
      <c r="UI32" s="17"/>
      <c r="UJ32" s="17"/>
      <c r="UK32" s="17"/>
      <c r="UL32" s="17"/>
      <c r="UM32" s="17"/>
      <c r="UN32" s="17"/>
      <c r="UO32" s="17"/>
      <c r="UP32" s="17"/>
      <c r="UQ32" s="17"/>
      <c r="UR32" s="17"/>
      <c r="US32" s="17"/>
      <c r="UT32" s="17"/>
      <c r="UU32" s="17"/>
      <c r="UV32" s="17"/>
      <c r="UW32" s="17"/>
      <c r="UX32" s="17"/>
      <c r="UY32" s="17"/>
      <c r="UZ32" s="17"/>
      <c r="VA32" s="17"/>
      <c r="VB32" s="17"/>
      <c r="VC32" s="17"/>
      <c r="VD32" s="17"/>
      <c r="VE32" s="17"/>
      <c r="VF32" s="17"/>
      <c r="VG32" s="17"/>
      <c r="VH32" s="17"/>
      <c r="VI32" s="17"/>
      <c r="VJ32" s="17"/>
      <c r="VK32" s="17"/>
      <c r="VL32" s="17"/>
      <c r="VM32" s="17"/>
      <c r="VN32" s="17"/>
      <c r="VO32" s="17"/>
      <c r="VP32" s="17"/>
      <c r="VQ32" s="17"/>
      <c r="VR32" s="17"/>
      <c r="VS32" s="17"/>
      <c r="VT32" s="17"/>
      <c r="VU32" s="17"/>
      <c r="VV32" s="17"/>
      <c r="VW32" s="17"/>
      <c r="VX32" s="17"/>
      <c r="VY32" s="17"/>
      <c r="VZ32" s="17"/>
      <c r="WA32" s="17"/>
      <c r="WB32" s="17"/>
      <c r="WC32" s="17"/>
      <c r="WD32" s="17"/>
      <c r="WE32" s="17"/>
      <c r="WF32" s="17"/>
      <c r="WG32" s="17"/>
      <c r="WH32" s="17"/>
      <c r="WI32" s="17"/>
      <c r="WJ32" s="17"/>
      <c r="WK32" s="17"/>
      <c r="WL32" s="17"/>
      <c r="WM32" s="17"/>
      <c r="WN32" s="17"/>
      <c r="WO32" s="17"/>
      <c r="WP32" s="17"/>
      <c r="WQ32" s="17"/>
      <c r="WR32" s="17"/>
      <c r="WS32" s="17"/>
      <c r="WT32" s="17"/>
      <c r="WU32" s="17"/>
      <c r="WV32" s="17"/>
      <c r="WW32" s="17"/>
      <c r="WX32" s="17"/>
      <c r="WY32" s="17"/>
      <c r="WZ32" s="17"/>
      <c r="XA32" s="17"/>
      <c r="XB32" s="17"/>
      <c r="XC32" s="17"/>
      <c r="XD32" s="17"/>
      <c r="XE32" s="17"/>
      <c r="XF32" s="17"/>
      <c r="XG32" s="17"/>
      <c r="XH32" s="17"/>
      <c r="XI32" s="17"/>
      <c r="XJ32" s="17"/>
      <c r="XK32" s="17"/>
      <c r="XL32" s="17"/>
      <c r="XM32" s="17"/>
      <c r="XN32" s="17"/>
      <c r="XO32" s="17"/>
      <c r="XP32" s="17"/>
      <c r="XQ32" s="17"/>
      <c r="XR32" s="17"/>
      <c r="XS32" s="17"/>
      <c r="XT32" s="17"/>
      <c r="XU32" s="17"/>
      <c r="XV32" s="17"/>
      <c r="XW32" s="17"/>
      <c r="XX32" s="17"/>
      <c r="XY32" s="17"/>
      <c r="XZ32" s="17"/>
      <c r="YA32" s="17"/>
      <c r="YB32" s="17"/>
      <c r="YC32" s="17"/>
      <c r="YD32" s="17"/>
      <c r="YE32" s="17"/>
      <c r="YF32" s="17"/>
      <c r="YG32" s="17"/>
      <c r="YH32" s="17"/>
      <c r="YI32" s="17"/>
      <c r="YJ32" s="17"/>
      <c r="YK32" s="17"/>
      <c r="YL32" s="17"/>
      <c r="YM32" s="17"/>
      <c r="YN32" s="17"/>
      <c r="YO32" s="17"/>
      <c r="YP32" s="17"/>
      <c r="YQ32" s="17"/>
      <c r="YR32" s="17"/>
      <c r="YS32" s="17"/>
      <c r="YT32" s="17"/>
      <c r="YU32" s="17"/>
      <c r="YV32" s="17"/>
      <c r="YW32" s="17"/>
      <c r="YX32" s="17"/>
      <c r="YY32" s="17"/>
      <c r="YZ32" s="17"/>
      <c r="ZA32" s="17"/>
      <c r="ZB32" s="17"/>
      <c r="ZC32" s="17"/>
      <c r="ZD32" s="17"/>
      <c r="ZE32" s="17"/>
      <c r="ZF32" s="17"/>
      <c r="ZG32" s="17"/>
      <c r="ZH32" s="17"/>
      <c r="ZI32" s="17"/>
      <c r="ZJ32" s="17"/>
      <c r="ZK32" s="17"/>
      <c r="ZL32" s="17"/>
      <c r="ZM32" s="17"/>
      <c r="ZN32" s="17"/>
      <c r="ZO32" s="17"/>
      <c r="ZP32" s="17"/>
      <c r="ZQ32" s="17"/>
      <c r="ZR32" s="17"/>
      <c r="ZS32" s="17"/>
      <c r="ZT32" s="17"/>
      <c r="ZU32" s="17"/>
      <c r="ZV32" s="17"/>
      <c r="ZW32" s="17"/>
      <c r="ZX32" s="17"/>
      <c r="ZY32" s="17"/>
      <c r="ZZ32" s="17"/>
      <c r="AAA32" s="17"/>
      <c r="AAB32" s="17"/>
      <c r="AAC32" s="17"/>
      <c r="AAD32" s="17"/>
      <c r="AAE32" s="17"/>
      <c r="AAF32" s="17"/>
      <c r="AAG32" s="17"/>
      <c r="AAH32" s="17"/>
      <c r="AAI32" s="17"/>
      <c r="AAJ32" s="17"/>
      <c r="AAK32" s="17"/>
      <c r="AAL32" s="17"/>
      <c r="AAM32" s="17"/>
      <c r="AAN32" s="17"/>
      <c r="AAO32" s="17"/>
      <c r="AAP32" s="17"/>
      <c r="AAQ32" s="17"/>
      <c r="AAR32" s="17"/>
      <c r="AAS32" s="17"/>
      <c r="AAT32" s="17"/>
      <c r="AAU32" s="17"/>
      <c r="AAV32" s="17"/>
      <c r="AAW32" s="17"/>
      <c r="AAX32" s="17"/>
      <c r="AAY32" s="17"/>
      <c r="AAZ32" s="17"/>
      <c r="ABA32" s="17"/>
      <c r="ABB32" s="17"/>
      <c r="ABC32" s="17"/>
      <c r="ABD32" s="17"/>
      <c r="ABE32" s="17"/>
      <c r="ABF32" s="17"/>
      <c r="ABG32" s="17"/>
      <c r="ABH32" s="17"/>
      <c r="ABI32" s="17"/>
      <c r="ABJ32" s="17"/>
      <c r="ABK32" s="17"/>
      <c r="ABL32" s="17"/>
      <c r="ABM32" s="17"/>
      <c r="ABN32" s="17"/>
      <c r="ABO32" s="17"/>
      <c r="ABP32" s="17"/>
      <c r="ABQ32" s="17"/>
      <c r="ABR32" s="17"/>
      <c r="ABS32" s="17"/>
      <c r="ABT32" s="17"/>
      <c r="ABU32" s="17"/>
      <c r="ABV32" s="17"/>
      <c r="ABW32" s="17"/>
      <c r="ABX32" s="17"/>
      <c r="ABY32" s="17"/>
      <c r="ABZ32" s="17"/>
      <c r="ACA32" s="17"/>
      <c r="ACB32" s="17"/>
      <c r="ACC32" s="17"/>
      <c r="ACD32" s="17"/>
      <c r="ACE32" s="17"/>
      <c r="ACF32" s="17"/>
      <c r="ACG32" s="17"/>
      <c r="ACH32" s="17"/>
      <c r="ACI32" s="17"/>
      <c r="ACJ32" s="17"/>
      <c r="ACK32" s="17"/>
      <c r="ACL32" s="17"/>
      <c r="ACM32" s="17"/>
      <c r="ACN32" s="17"/>
      <c r="ACO32" s="17"/>
      <c r="ACP32" s="17"/>
      <c r="ACQ32" s="17"/>
      <c r="ACR32" s="17"/>
      <c r="ACS32" s="17"/>
      <c r="ACT32" s="17"/>
      <c r="ACU32" s="17"/>
      <c r="ACV32" s="17"/>
      <c r="ACW32" s="17"/>
      <c r="ACX32" s="17"/>
      <c r="ACY32" s="17"/>
      <c r="ACZ32" s="17"/>
      <c r="ADA32" s="17"/>
      <c r="ADB32" s="17"/>
      <c r="ADC32" s="17"/>
      <c r="ADD32" s="17"/>
      <c r="ADE32" s="17"/>
      <c r="ADF32" s="17"/>
      <c r="ADG32" s="17"/>
      <c r="ADH32" s="17"/>
      <c r="ADI32" s="17"/>
      <c r="ADJ32" s="17"/>
      <c r="ADK32" s="17"/>
      <c r="ADL32" s="17"/>
      <c r="ADM32" s="17"/>
      <c r="ADN32" s="17"/>
      <c r="ADO32" s="17"/>
      <c r="ADP32" s="17"/>
      <c r="ADQ32" s="17"/>
      <c r="ADR32" s="17"/>
      <c r="ADS32" s="17"/>
      <c r="ADT32" s="17"/>
      <c r="ADU32" s="17"/>
      <c r="ADV32" s="17"/>
      <c r="ADW32" s="17"/>
      <c r="ADX32" s="17"/>
      <c r="ADY32" s="17"/>
      <c r="ADZ32" s="17"/>
      <c r="AEA32" s="17"/>
      <c r="AEB32" s="17"/>
      <c r="AEC32" s="17"/>
      <c r="AED32" s="17"/>
      <c r="AEE32" s="17"/>
      <c r="AEF32" s="17"/>
      <c r="AEG32" s="17"/>
      <c r="AEH32" s="17"/>
      <c r="AEI32" s="17"/>
      <c r="AEJ32" s="17"/>
      <c r="AEK32" s="17"/>
      <c r="AEL32" s="17"/>
      <c r="AEM32" s="17"/>
      <c r="AEN32" s="17"/>
      <c r="AEO32" s="17"/>
      <c r="AEP32" s="17"/>
      <c r="AEQ32" s="17"/>
      <c r="AER32" s="17"/>
      <c r="AES32" s="17"/>
      <c r="AET32" s="17"/>
      <c r="AEU32" s="17"/>
      <c r="AEV32" s="17"/>
      <c r="AEW32" s="17"/>
      <c r="AEX32" s="17"/>
      <c r="AEY32" s="17"/>
      <c r="AEZ32" s="17"/>
      <c r="AFA32" s="17"/>
      <c r="AFB32" s="17"/>
      <c r="AFC32" s="17"/>
      <c r="AFD32" s="17"/>
      <c r="AFE32" s="17"/>
      <c r="AFF32" s="17"/>
      <c r="AFG32" s="17"/>
      <c r="AFH32" s="17"/>
      <c r="AFI32" s="17"/>
      <c r="AFJ32" s="17"/>
      <c r="AFK32" s="17"/>
      <c r="AFL32" s="17"/>
      <c r="AFM32" s="17"/>
      <c r="AFN32" s="17"/>
      <c r="AFO32" s="17"/>
      <c r="AFP32" s="17"/>
      <c r="AFQ32" s="17"/>
      <c r="AFR32" s="17"/>
      <c r="AFS32" s="17"/>
      <c r="AFT32" s="17"/>
      <c r="AFU32" s="17"/>
      <c r="AFV32" s="17"/>
      <c r="AFW32" s="17"/>
      <c r="AFX32" s="17"/>
      <c r="AFY32" s="17"/>
      <c r="AFZ32" s="17"/>
      <c r="AGA32" s="17"/>
      <c r="AGB32" s="17"/>
      <c r="AGC32" s="17"/>
      <c r="AGD32" s="17"/>
      <c r="AGE32" s="17"/>
      <c r="AGF32" s="17"/>
      <c r="AGG32" s="17"/>
      <c r="AGH32" s="17"/>
      <c r="AGI32" s="17"/>
      <c r="AGJ32" s="17"/>
      <c r="AGK32" s="17"/>
      <c r="AGL32" s="17"/>
      <c r="AGM32" s="17"/>
      <c r="AGN32" s="17"/>
      <c r="AGO32" s="17"/>
      <c r="AGP32" s="17"/>
      <c r="AGQ32" s="17"/>
      <c r="AGR32" s="17"/>
      <c r="AGS32" s="17"/>
      <c r="AGT32" s="17"/>
      <c r="AGU32" s="17"/>
      <c r="AGV32" s="17"/>
      <c r="AGW32" s="17"/>
      <c r="AGX32" s="17"/>
      <c r="AGY32" s="17"/>
      <c r="AGZ32" s="17"/>
      <c r="AHA32" s="17"/>
      <c r="AHB32" s="17"/>
      <c r="AHC32" s="17"/>
      <c r="AHD32" s="17"/>
      <c r="AHE32" s="17"/>
      <c r="AHF32" s="17"/>
      <c r="AHG32" s="17"/>
      <c r="AHH32" s="17"/>
      <c r="AHI32" s="17"/>
      <c r="AHJ32" s="17"/>
      <c r="AHK32" s="17"/>
      <c r="AHL32" s="17"/>
      <c r="AHM32" s="17"/>
      <c r="AHN32" s="17"/>
      <c r="AHO32" s="17"/>
      <c r="AHP32" s="17"/>
      <c r="AHQ32" s="17"/>
      <c r="AHR32" s="17"/>
      <c r="AHS32" s="17"/>
      <c r="AHT32" s="17"/>
      <c r="AHU32" s="17"/>
      <c r="AHV32" s="17"/>
      <c r="AHW32" s="17"/>
      <c r="AHX32" s="17"/>
      <c r="AHY32" s="17"/>
      <c r="AHZ32" s="17"/>
      <c r="AIA32" s="17"/>
      <c r="AIB32" s="17"/>
      <c r="AIC32" s="17"/>
      <c r="AID32" s="17"/>
      <c r="AIE32" s="17"/>
      <c r="AIF32" s="17"/>
      <c r="AIG32" s="17"/>
      <c r="AIH32" s="17"/>
      <c r="AII32" s="17"/>
      <c r="AIJ32" s="17"/>
      <c r="AIK32" s="17"/>
      <c r="AIL32" s="17"/>
      <c r="AIM32" s="17"/>
      <c r="AIN32" s="17"/>
      <c r="AIO32" s="17"/>
      <c r="AIP32" s="17"/>
      <c r="AIQ32" s="17"/>
      <c r="AIR32" s="17"/>
      <c r="AIS32" s="17"/>
      <c r="AIT32" s="17"/>
      <c r="AIU32" s="17"/>
      <c r="AIV32" s="17"/>
      <c r="AIW32" s="17"/>
      <c r="AIX32" s="17"/>
      <c r="AIY32" s="17"/>
      <c r="AIZ32" s="17"/>
      <c r="AJA32" s="17"/>
      <c r="AJB32" s="17"/>
      <c r="AJC32" s="17"/>
      <c r="AJD32" s="17"/>
      <c r="AJE32" s="17"/>
      <c r="AJF32" s="17"/>
      <c r="AJG32" s="17"/>
      <c r="AJH32" s="17"/>
      <c r="AJI32" s="17"/>
      <c r="AJJ32" s="17"/>
      <c r="AJK32" s="17"/>
      <c r="AJL32" s="17"/>
      <c r="AJM32" s="17"/>
      <c r="AJN32" s="17"/>
      <c r="AJO32" s="17"/>
      <c r="AJP32" s="17"/>
      <c r="AJQ32" s="17"/>
      <c r="AJR32" s="17"/>
      <c r="AJS32" s="17"/>
      <c r="AJT32" s="17"/>
      <c r="AJU32" s="17"/>
      <c r="AJV32" s="17"/>
      <c r="AJW32" s="17"/>
      <c r="AJX32" s="17"/>
      <c r="AJY32" s="17"/>
      <c r="AJZ32" s="17"/>
      <c r="AKA32" s="17"/>
      <c r="AKB32" s="17"/>
      <c r="AKC32" s="17"/>
      <c r="AKD32" s="17"/>
      <c r="AKE32" s="17"/>
      <c r="AKF32" s="17"/>
      <c r="AKG32" s="17"/>
      <c r="AKH32" s="17"/>
      <c r="AKI32" s="17"/>
      <c r="AKJ32" s="17"/>
      <c r="AKK32" s="17"/>
      <c r="AKL32" s="17"/>
      <c r="AKM32" s="17"/>
      <c r="AKN32" s="17"/>
      <c r="AKO32" s="17"/>
      <c r="AKP32" s="17"/>
      <c r="AKQ32" s="17"/>
      <c r="AKR32" s="17"/>
      <c r="AKS32" s="17"/>
      <c r="AKT32" s="17"/>
      <c r="AKU32" s="17"/>
      <c r="AKV32" s="17"/>
      <c r="AKW32" s="17"/>
      <c r="AKX32" s="17"/>
      <c r="AKY32" s="17"/>
      <c r="AKZ32" s="17"/>
      <c r="ALA32" s="17"/>
      <c r="ALB32" s="17"/>
      <c r="ALC32" s="17"/>
      <c r="ALD32" s="17"/>
      <c r="ALE32" s="17"/>
      <c r="ALF32" s="17"/>
      <c r="ALG32" s="17"/>
      <c r="ALH32" s="17"/>
      <c r="ALI32" s="17"/>
      <c r="ALJ32" s="17"/>
      <c r="ALK32" s="17"/>
      <c r="ALL32" s="17"/>
      <c r="ALM32" s="17"/>
      <c r="ALN32" s="17"/>
      <c r="ALO32" s="17"/>
      <c r="ALP32" s="17"/>
      <c r="ALQ32" s="17"/>
      <c r="ALR32" s="17"/>
      <c r="ALS32" s="17"/>
      <c r="ALT32" s="17"/>
      <c r="ALU32" s="17"/>
      <c r="ALV32" s="17"/>
      <c r="ALW32" s="17"/>
    </row>
    <row r="33" spans="2:1011" x14ac:dyDescent="0.25">
      <c r="B33" s="9" t="s">
        <v>16</v>
      </c>
      <c r="C33" s="5"/>
      <c r="D33" s="6" t="str">
        <f>IF(D$34="M0","M0", IF(D$35="M1","M1", IF(D$36="M2","M2", IF(D$37="M3","M3", IF(D$38="M4","M4", "!")))))</f>
        <v>M3</v>
      </c>
      <c r="E33" s="6" t="str">
        <f t="shared" ref="E33:BP33" si="1130">IF(E$34="M0","M0", IF(E$35="M1","M1", IF(E$36="M2","M2", IF(E$37="M3","M3", IF(E$38="M4","M4", "!")))))</f>
        <v>M3</v>
      </c>
      <c r="F33" s="6" t="str">
        <f t="shared" si="1130"/>
        <v>M3</v>
      </c>
      <c r="G33" s="6" t="str">
        <f t="shared" si="1130"/>
        <v>M3</v>
      </c>
      <c r="H33" s="6" t="str">
        <f t="shared" si="1130"/>
        <v>M3</v>
      </c>
      <c r="I33" s="6" t="str">
        <f t="shared" si="1130"/>
        <v>M3</v>
      </c>
      <c r="J33" s="6" t="str">
        <f t="shared" si="1130"/>
        <v>M3</v>
      </c>
      <c r="K33" s="6" t="str">
        <f t="shared" si="1130"/>
        <v>M3</v>
      </c>
      <c r="L33" s="6" t="str">
        <f t="shared" si="1130"/>
        <v>M3</v>
      </c>
      <c r="M33" s="6" t="str">
        <f t="shared" si="1130"/>
        <v>M3</v>
      </c>
      <c r="N33" s="6" t="str">
        <f t="shared" si="1130"/>
        <v>M3</v>
      </c>
      <c r="O33" s="6" t="str">
        <f t="shared" si="1130"/>
        <v>M3</v>
      </c>
      <c r="P33" s="6" t="str">
        <f t="shared" si="1130"/>
        <v>M3</v>
      </c>
      <c r="Q33" s="6" t="str">
        <f t="shared" si="1130"/>
        <v>M3</v>
      </c>
      <c r="R33" s="6" t="str">
        <f t="shared" si="1130"/>
        <v>M3</v>
      </c>
      <c r="S33" s="6" t="str">
        <f t="shared" si="1130"/>
        <v>M3</v>
      </c>
      <c r="T33" s="6" t="str">
        <f t="shared" si="1130"/>
        <v>M3</v>
      </c>
      <c r="U33" s="6" t="str">
        <f t="shared" si="1130"/>
        <v>M3</v>
      </c>
      <c r="V33" s="6" t="str">
        <f t="shared" si="1130"/>
        <v>M3</v>
      </c>
      <c r="W33" s="6" t="str">
        <f t="shared" si="1130"/>
        <v>M3</v>
      </c>
      <c r="X33" s="6" t="str">
        <f t="shared" si="1130"/>
        <v>M3</v>
      </c>
      <c r="Y33" s="6" t="str">
        <f t="shared" si="1130"/>
        <v>M3</v>
      </c>
      <c r="Z33" s="6" t="str">
        <f t="shared" si="1130"/>
        <v>M3</v>
      </c>
      <c r="AA33" s="6" t="str">
        <f t="shared" si="1130"/>
        <v>M3</v>
      </c>
      <c r="AB33" s="6" t="str">
        <f t="shared" si="1130"/>
        <v>M3</v>
      </c>
      <c r="AC33" s="6" t="str">
        <f t="shared" si="1130"/>
        <v>M4</v>
      </c>
      <c r="AD33" s="6" t="str">
        <f t="shared" si="1130"/>
        <v>M1</v>
      </c>
      <c r="AE33" s="6" t="str">
        <f t="shared" si="1130"/>
        <v>M1</v>
      </c>
      <c r="AF33" s="6" t="str">
        <f t="shared" si="1130"/>
        <v>M1</v>
      </c>
      <c r="AG33" s="6" t="str">
        <f t="shared" si="1130"/>
        <v>M1</v>
      </c>
      <c r="AH33" s="6" t="str">
        <f t="shared" si="1130"/>
        <v>M1</v>
      </c>
      <c r="AI33" s="6" t="str">
        <f t="shared" si="1130"/>
        <v>M1</v>
      </c>
      <c r="AJ33" s="6" t="str">
        <f t="shared" si="1130"/>
        <v>M1</v>
      </c>
      <c r="AK33" s="6" t="str">
        <f t="shared" si="1130"/>
        <v>M1</v>
      </c>
      <c r="AL33" s="6" t="str">
        <f t="shared" si="1130"/>
        <v>M1</v>
      </c>
      <c r="AM33" s="6" t="str">
        <f t="shared" si="1130"/>
        <v>M1</v>
      </c>
      <c r="AN33" s="6" t="str">
        <f t="shared" si="1130"/>
        <v>M1</v>
      </c>
      <c r="AO33" s="6" t="str">
        <f t="shared" si="1130"/>
        <v>M1</v>
      </c>
      <c r="AP33" s="6" t="str">
        <f t="shared" si="1130"/>
        <v>M1</v>
      </c>
      <c r="AQ33" s="6" t="str">
        <f t="shared" si="1130"/>
        <v>M2</v>
      </c>
      <c r="AR33" s="6" t="str">
        <f t="shared" si="1130"/>
        <v>M3</v>
      </c>
      <c r="AS33" s="6" t="str">
        <f t="shared" si="1130"/>
        <v>M3</v>
      </c>
      <c r="AT33" s="6" t="str">
        <f t="shared" si="1130"/>
        <v>M3</v>
      </c>
      <c r="AU33" s="6" t="str">
        <f t="shared" si="1130"/>
        <v>M3</v>
      </c>
      <c r="AV33" s="6" t="str">
        <f t="shared" si="1130"/>
        <v>M3</v>
      </c>
      <c r="AW33" s="6" t="str">
        <f t="shared" si="1130"/>
        <v>M3</v>
      </c>
      <c r="AX33" s="6" t="str">
        <f t="shared" si="1130"/>
        <v>M3</v>
      </c>
      <c r="AY33" s="6" t="str">
        <f t="shared" si="1130"/>
        <v>M3</v>
      </c>
      <c r="AZ33" s="6" t="str">
        <f t="shared" si="1130"/>
        <v>M3</v>
      </c>
      <c r="BA33" s="6" t="str">
        <f t="shared" si="1130"/>
        <v>M3</v>
      </c>
      <c r="BB33" s="6" t="str">
        <f t="shared" si="1130"/>
        <v>M3</v>
      </c>
      <c r="BC33" s="6" t="str">
        <f t="shared" si="1130"/>
        <v>M3</v>
      </c>
      <c r="BD33" s="6" t="str">
        <f t="shared" si="1130"/>
        <v>M3</v>
      </c>
      <c r="BE33" s="6" t="str">
        <f t="shared" si="1130"/>
        <v>M3</v>
      </c>
      <c r="BF33" s="6" t="str">
        <f t="shared" si="1130"/>
        <v>M3</v>
      </c>
      <c r="BG33" s="6" t="str">
        <f t="shared" si="1130"/>
        <v>M3</v>
      </c>
      <c r="BH33" s="6" t="str">
        <f t="shared" si="1130"/>
        <v>M3</v>
      </c>
      <c r="BI33" s="6" t="str">
        <f t="shared" si="1130"/>
        <v>M4</v>
      </c>
      <c r="BJ33" s="6" t="str">
        <f t="shared" si="1130"/>
        <v>M1</v>
      </c>
      <c r="BK33" s="6" t="str">
        <f t="shared" si="1130"/>
        <v>M1</v>
      </c>
      <c r="BL33" s="6" t="str">
        <f t="shared" si="1130"/>
        <v>M1</v>
      </c>
      <c r="BM33" s="6" t="str">
        <f t="shared" si="1130"/>
        <v>M1</v>
      </c>
      <c r="BN33" s="6" t="str">
        <f t="shared" si="1130"/>
        <v>M1</v>
      </c>
      <c r="BO33" s="6" t="str">
        <f t="shared" si="1130"/>
        <v>M1</v>
      </c>
      <c r="BP33" s="6" t="str">
        <f t="shared" si="1130"/>
        <v>M1</v>
      </c>
      <c r="BQ33" s="6" t="str">
        <f t="shared" ref="BQ33:EB33" si="1131">IF(BQ$34="M0","M0", IF(BQ$35="M1","M1", IF(BQ$36="M2","M2", IF(BQ$37="M3","M3", IF(BQ$38="M4","M4", "!")))))</f>
        <v>M1</v>
      </c>
      <c r="BR33" s="6" t="str">
        <f t="shared" si="1131"/>
        <v>M1</v>
      </c>
      <c r="BS33" s="6" t="str">
        <f t="shared" si="1131"/>
        <v>M1</v>
      </c>
      <c r="BT33" s="6" t="str">
        <f t="shared" si="1131"/>
        <v>M1</v>
      </c>
      <c r="BU33" s="6" t="str">
        <f t="shared" si="1131"/>
        <v>M1</v>
      </c>
      <c r="BV33" s="6" t="str">
        <f t="shared" si="1131"/>
        <v>M1</v>
      </c>
      <c r="BW33" s="6" t="str">
        <f t="shared" si="1131"/>
        <v>M1</v>
      </c>
      <c r="BX33" s="6" t="str">
        <f t="shared" si="1131"/>
        <v>M3</v>
      </c>
      <c r="BY33" s="6" t="str">
        <f t="shared" si="1131"/>
        <v>M3</v>
      </c>
      <c r="BZ33" s="6" t="str">
        <f t="shared" si="1131"/>
        <v>M3</v>
      </c>
      <c r="CA33" s="6" t="str">
        <f t="shared" si="1131"/>
        <v>M3</v>
      </c>
      <c r="CB33" s="6" t="str">
        <f t="shared" si="1131"/>
        <v>M3</v>
      </c>
      <c r="CC33" s="6" t="str">
        <f t="shared" si="1131"/>
        <v>M3</v>
      </c>
      <c r="CD33" s="6" t="str">
        <f t="shared" si="1131"/>
        <v>M3</v>
      </c>
      <c r="CE33" s="6" t="str">
        <f t="shared" si="1131"/>
        <v>M3</v>
      </c>
      <c r="CF33" s="6" t="str">
        <f t="shared" si="1131"/>
        <v>M3</v>
      </c>
      <c r="CG33" s="6" t="str">
        <f t="shared" si="1131"/>
        <v>M3</v>
      </c>
      <c r="CH33" s="6" t="str">
        <f t="shared" si="1131"/>
        <v>M3</v>
      </c>
      <c r="CI33" s="6" t="str">
        <f t="shared" si="1131"/>
        <v>M3</v>
      </c>
      <c r="CJ33" s="6" t="str">
        <f t="shared" si="1131"/>
        <v>M3</v>
      </c>
      <c r="CK33" s="6" t="str">
        <f t="shared" si="1131"/>
        <v>M3</v>
      </c>
      <c r="CL33" s="6" t="str">
        <f t="shared" si="1131"/>
        <v>M3</v>
      </c>
      <c r="CM33" s="6" t="str">
        <f t="shared" si="1131"/>
        <v>M3</v>
      </c>
      <c r="CN33" s="6" t="str">
        <f t="shared" si="1131"/>
        <v>M3</v>
      </c>
      <c r="CO33" s="6" t="str">
        <f t="shared" si="1131"/>
        <v>M3</v>
      </c>
      <c r="CP33" s="6" t="str">
        <f t="shared" si="1131"/>
        <v>M3</v>
      </c>
      <c r="CQ33" s="6" t="str">
        <f t="shared" si="1131"/>
        <v>M3</v>
      </c>
      <c r="CR33" s="6" t="str">
        <f t="shared" si="1131"/>
        <v>M3</v>
      </c>
      <c r="CS33" s="6" t="str">
        <f t="shared" si="1131"/>
        <v>M3</v>
      </c>
      <c r="CT33" s="6" t="str">
        <f t="shared" si="1131"/>
        <v>M3</v>
      </c>
      <c r="CU33" s="6" t="str">
        <f t="shared" si="1131"/>
        <v>M3</v>
      </c>
      <c r="CV33" s="6" t="str">
        <f t="shared" si="1131"/>
        <v>M3</v>
      </c>
      <c r="CW33" s="6" t="str">
        <f t="shared" si="1131"/>
        <v>M4</v>
      </c>
      <c r="CX33" s="6" t="str">
        <f t="shared" si="1131"/>
        <v>M1</v>
      </c>
      <c r="CY33" s="6" t="str">
        <f t="shared" si="1131"/>
        <v>M1</v>
      </c>
      <c r="CZ33" s="6" t="str">
        <f t="shared" si="1131"/>
        <v>M1</v>
      </c>
      <c r="DA33" s="6" t="str">
        <f t="shared" si="1131"/>
        <v>M1</v>
      </c>
      <c r="DB33" s="6" t="str">
        <f t="shared" si="1131"/>
        <v>M1</v>
      </c>
      <c r="DC33" s="6" t="str">
        <f t="shared" si="1131"/>
        <v>M1</v>
      </c>
      <c r="DD33" s="6" t="str">
        <f t="shared" si="1131"/>
        <v>M1</v>
      </c>
      <c r="DE33" s="6" t="str">
        <f t="shared" si="1131"/>
        <v>M1</v>
      </c>
      <c r="DF33" s="6" t="str">
        <f t="shared" si="1131"/>
        <v>M1</v>
      </c>
      <c r="DG33" s="6" t="str">
        <f t="shared" si="1131"/>
        <v>M1</v>
      </c>
      <c r="DH33" s="6" t="str">
        <f t="shared" si="1131"/>
        <v>M1</v>
      </c>
      <c r="DI33" s="6" t="str">
        <f t="shared" si="1131"/>
        <v>M1</v>
      </c>
      <c r="DJ33" s="6" t="str">
        <f t="shared" si="1131"/>
        <v>M1</v>
      </c>
      <c r="DK33" s="6" t="str">
        <f t="shared" si="1131"/>
        <v>M2</v>
      </c>
      <c r="DL33" s="6" t="str">
        <f t="shared" si="1131"/>
        <v>M3</v>
      </c>
      <c r="DM33" s="6" t="str">
        <f t="shared" si="1131"/>
        <v>M3</v>
      </c>
      <c r="DN33" s="6" t="str">
        <f t="shared" si="1131"/>
        <v>M3</v>
      </c>
      <c r="DO33" s="6" t="str">
        <f t="shared" si="1131"/>
        <v>M3</v>
      </c>
      <c r="DP33" s="6" t="str">
        <f t="shared" si="1131"/>
        <v>M0</v>
      </c>
      <c r="DQ33" s="6" t="str">
        <f t="shared" si="1131"/>
        <v>M0</v>
      </c>
      <c r="DR33" s="6" t="str">
        <f t="shared" si="1131"/>
        <v>M0</v>
      </c>
      <c r="DS33" s="6" t="str">
        <f t="shared" si="1131"/>
        <v>M0</v>
      </c>
      <c r="DT33" s="6" t="str">
        <f t="shared" si="1131"/>
        <v>M0</v>
      </c>
      <c r="DU33" s="6" t="str">
        <f t="shared" si="1131"/>
        <v>M0</v>
      </c>
      <c r="DV33" s="6" t="str">
        <f t="shared" si="1131"/>
        <v>M0</v>
      </c>
      <c r="DW33" s="6" t="str">
        <f t="shared" si="1131"/>
        <v>M0</v>
      </c>
      <c r="DX33" s="6" t="str">
        <f t="shared" si="1131"/>
        <v>M0</v>
      </c>
      <c r="DY33" s="6" t="str">
        <f t="shared" si="1131"/>
        <v>M0</v>
      </c>
      <c r="DZ33" s="6" t="str">
        <f t="shared" si="1131"/>
        <v>M0</v>
      </c>
      <c r="EA33" s="6" t="str">
        <f t="shared" si="1131"/>
        <v>M0</v>
      </c>
      <c r="EB33" s="6" t="str">
        <f t="shared" si="1131"/>
        <v>M0</v>
      </c>
      <c r="EC33" s="6" t="str">
        <f t="shared" ref="EC33:GN33" si="1132">IF(EC$34="M0","M0", IF(EC$35="M1","M1", IF(EC$36="M2","M2", IF(EC$37="M3","M3", IF(EC$38="M4","M4", "!")))))</f>
        <v>M0</v>
      </c>
      <c r="ED33" s="6" t="str">
        <f t="shared" si="1132"/>
        <v>M0</v>
      </c>
      <c r="EE33" s="6" t="str">
        <f t="shared" si="1132"/>
        <v>M0</v>
      </c>
      <c r="EF33" s="6" t="str">
        <f t="shared" si="1132"/>
        <v>M0</v>
      </c>
      <c r="EG33" s="6" t="str">
        <f t="shared" si="1132"/>
        <v>M0</v>
      </c>
      <c r="EH33" s="6" t="str">
        <f t="shared" si="1132"/>
        <v>M0</v>
      </c>
      <c r="EI33" s="6" t="str">
        <f t="shared" si="1132"/>
        <v>M0</v>
      </c>
      <c r="EJ33" s="6" t="str">
        <f t="shared" si="1132"/>
        <v>M0</v>
      </c>
      <c r="EK33" s="6" t="str">
        <f t="shared" si="1132"/>
        <v>M0</v>
      </c>
      <c r="EL33" s="6" t="str">
        <f t="shared" si="1132"/>
        <v>M0</v>
      </c>
      <c r="EM33" s="6" t="str">
        <f t="shared" si="1132"/>
        <v>M0</v>
      </c>
      <c r="EN33" s="6" t="str">
        <f t="shared" si="1132"/>
        <v>M0</v>
      </c>
      <c r="EO33" s="6" t="str">
        <f t="shared" si="1132"/>
        <v>M0</v>
      </c>
      <c r="EP33" s="6" t="str">
        <f t="shared" si="1132"/>
        <v>M0</v>
      </c>
      <c r="EQ33" s="6" t="str">
        <f t="shared" si="1132"/>
        <v>M0</v>
      </c>
      <c r="ER33" s="6" t="str">
        <f t="shared" si="1132"/>
        <v>M0</v>
      </c>
      <c r="ES33" s="6" t="str">
        <f t="shared" si="1132"/>
        <v>M0</v>
      </c>
      <c r="ET33" s="6" t="str">
        <f t="shared" si="1132"/>
        <v>M0</v>
      </c>
      <c r="EU33" s="6" t="str">
        <f t="shared" si="1132"/>
        <v>M0</v>
      </c>
      <c r="EV33" s="6" t="str">
        <f t="shared" si="1132"/>
        <v>M0</v>
      </c>
      <c r="EW33" s="6" t="str">
        <f t="shared" si="1132"/>
        <v>M0</v>
      </c>
      <c r="EX33" s="6" t="str">
        <f t="shared" si="1132"/>
        <v>M0</v>
      </c>
      <c r="EY33" s="6" t="str">
        <f t="shared" si="1132"/>
        <v>M0</v>
      </c>
      <c r="EZ33" s="6" t="str">
        <f t="shared" si="1132"/>
        <v>M0</v>
      </c>
      <c r="FA33" s="6" t="str">
        <f t="shared" si="1132"/>
        <v>M0</v>
      </c>
      <c r="FB33" s="6" t="str">
        <f t="shared" si="1132"/>
        <v>M0</v>
      </c>
      <c r="FC33" s="6" t="str">
        <f t="shared" si="1132"/>
        <v>M0</v>
      </c>
      <c r="FD33" s="6" t="str">
        <f t="shared" si="1132"/>
        <v>M0</v>
      </c>
      <c r="FE33" s="6" t="str">
        <f t="shared" si="1132"/>
        <v>M0</v>
      </c>
      <c r="FF33" s="6" t="str">
        <f t="shared" si="1132"/>
        <v>M0</v>
      </c>
      <c r="FG33" s="6" t="str">
        <f t="shared" si="1132"/>
        <v>M0</v>
      </c>
      <c r="FH33" s="6" t="str">
        <f t="shared" si="1132"/>
        <v>M0</v>
      </c>
      <c r="FI33" s="6" t="str">
        <f t="shared" si="1132"/>
        <v>M0</v>
      </c>
      <c r="FJ33" s="6" t="str">
        <f t="shared" si="1132"/>
        <v>M0</v>
      </c>
      <c r="FK33" s="6" t="str">
        <f t="shared" si="1132"/>
        <v>M0</v>
      </c>
      <c r="FL33" s="6" t="str">
        <f t="shared" si="1132"/>
        <v>M0</v>
      </c>
      <c r="FM33" s="6" t="str">
        <f t="shared" si="1132"/>
        <v>M0</v>
      </c>
      <c r="FN33" s="6" t="str">
        <f t="shared" si="1132"/>
        <v>M0</v>
      </c>
      <c r="FO33" s="6" t="str">
        <f t="shared" si="1132"/>
        <v>M0</v>
      </c>
      <c r="FP33" s="6" t="str">
        <f t="shared" si="1132"/>
        <v>M0</v>
      </c>
      <c r="FQ33" s="6" t="str">
        <f t="shared" si="1132"/>
        <v>M0</v>
      </c>
      <c r="FR33" s="6" t="str">
        <f t="shared" si="1132"/>
        <v>M0</v>
      </c>
      <c r="FS33" s="6" t="str">
        <f t="shared" si="1132"/>
        <v>M0</v>
      </c>
      <c r="FT33" s="6" t="str">
        <f t="shared" si="1132"/>
        <v>M0</v>
      </c>
      <c r="FU33" s="6" t="str">
        <f t="shared" si="1132"/>
        <v>M0</v>
      </c>
      <c r="FV33" s="6" t="str">
        <f t="shared" si="1132"/>
        <v>M0</v>
      </c>
      <c r="FW33" s="6" t="str">
        <f t="shared" si="1132"/>
        <v>M0</v>
      </c>
      <c r="FX33" s="6" t="str">
        <f t="shared" si="1132"/>
        <v>M0</v>
      </c>
      <c r="FY33" s="6" t="str">
        <f t="shared" si="1132"/>
        <v>M0</v>
      </c>
      <c r="FZ33" s="6" t="str">
        <f t="shared" si="1132"/>
        <v>M0</v>
      </c>
      <c r="GA33" s="6" t="str">
        <f t="shared" si="1132"/>
        <v>M0</v>
      </c>
      <c r="GB33" s="6" t="str">
        <f t="shared" si="1132"/>
        <v>M0</v>
      </c>
      <c r="GC33" s="6" t="str">
        <f t="shared" si="1132"/>
        <v>M0</v>
      </c>
      <c r="GD33" s="6" t="str">
        <f t="shared" si="1132"/>
        <v>M0</v>
      </c>
      <c r="GE33" s="6" t="str">
        <f t="shared" si="1132"/>
        <v>M0</v>
      </c>
      <c r="GF33" s="6" t="str">
        <f t="shared" si="1132"/>
        <v>M0</v>
      </c>
      <c r="GG33" s="6" t="str">
        <f t="shared" si="1132"/>
        <v>M0</v>
      </c>
      <c r="GH33" s="6" t="str">
        <f t="shared" si="1132"/>
        <v>M0</v>
      </c>
      <c r="GI33" s="6" t="str">
        <f t="shared" si="1132"/>
        <v>M0</v>
      </c>
      <c r="GJ33" s="6" t="str">
        <f t="shared" si="1132"/>
        <v>M0</v>
      </c>
      <c r="GK33" s="6" t="str">
        <f t="shared" si="1132"/>
        <v>M0</v>
      </c>
      <c r="GL33" s="6" t="str">
        <f t="shared" si="1132"/>
        <v>M0</v>
      </c>
      <c r="GM33" s="6" t="str">
        <f t="shared" si="1132"/>
        <v>M0</v>
      </c>
      <c r="GN33" s="6" t="str">
        <f t="shared" si="1132"/>
        <v>M0</v>
      </c>
      <c r="GO33" s="6" t="str">
        <f t="shared" ref="GO33:IZ33" si="1133">IF(GO$34="M0","M0", IF(GO$35="M1","M1", IF(GO$36="M2","M2", IF(GO$37="M3","M3", IF(GO$38="M4","M4", "!")))))</f>
        <v>M0</v>
      </c>
      <c r="GP33" s="6" t="str">
        <f t="shared" si="1133"/>
        <v>M0</v>
      </c>
      <c r="GQ33" s="6" t="str">
        <f t="shared" si="1133"/>
        <v>M0</v>
      </c>
      <c r="GR33" s="6" t="str">
        <f t="shared" si="1133"/>
        <v>M0</v>
      </c>
      <c r="GS33" s="6" t="str">
        <f t="shared" si="1133"/>
        <v>M0</v>
      </c>
      <c r="GT33" s="6" t="str">
        <f t="shared" si="1133"/>
        <v>M0</v>
      </c>
      <c r="GU33" s="6" t="str">
        <f t="shared" si="1133"/>
        <v>M0</v>
      </c>
      <c r="GV33" s="6" t="str">
        <f t="shared" si="1133"/>
        <v>M0</v>
      </c>
      <c r="GW33" s="6" t="str">
        <f t="shared" si="1133"/>
        <v>M0</v>
      </c>
      <c r="GX33" s="6" t="str">
        <f t="shared" si="1133"/>
        <v>M0</v>
      </c>
      <c r="GY33" s="6" t="str">
        <f t="shared" si="1133"/>
        <v>M0</v>
      </c>
      <c r="GZ33" s="6" t="str">
        <f t="shared" si="1133"/>
        <v>M0</v>
      </c>
      <c r="HA33" s="6" t="str">
        <f t="shared" si="1133"/>
        <v>M0</v>
      </c>
      <c r="HB33" s="6" t="str">
        <f t="shared" si="1133"/>
        <v>M0</v>
      </c>
      <c r="HC33" s="6" t="str">
        <f t="shared" si="1133"/>
        <v>M0</v>
      </c>
      <c r="HD33" s="6" t="str">
        <f t="shared" si="1133"/>
        <v>M0</v>
      </c>
      <c r="HE33" s="6" t="str">
        <f t="shared" si="1133"/>
        <v>M0</v>
      </c>
      <c r="HF33" s="6" t="str">
        <f t="shared" si="1133"/>
        <v>M0</v>
      </c>
      <c r="HG33" s="6" t="str">
        <f t="shared" si="1133"/>
        <v>M0</v>
      </c>
      <c r="HH33" s="6" t="str">
        <f t="shared" si="1133"/>
        <v>M0</v>
      </c>
      <c r="HI33" s="6" t="str">
        <f t="shared" si="1133"/>
        <v>M0</v>
      </c>
      <c r="HJ33" s="6" t="str">
        <f t="shared" si="1133"/>
        <v>M0</v>
      </c>
      <c r="HK33" s="6" t="str">
        <f t="shared" si="1133"/>
        <v>M0</v>
      </c>
      <c r="HL33" s="6" t="str">
        <f t="shared" si="1133"/>
        <v>M0</v>
      </c>
      <c r="HM33" s="6" t="str">
        <f t="shared" si="1133"/>
        <v>M0</v>
      </c>
      <c r="HN33" s="6" t="str">
        <f t="shared" si="1133"/>
        <v>M0</v>
      </c>
      <c r="HO33" s="6" t="str">
        <f t="shared" si="1133"/>
        <v>M0</v>
      </c>
      <c r="HP33" s="6" t="str">
        <f t="shared" si="1133"/>
        <v>M0</v>
      </c>
      <c r="HQ33" s="6" t="str">
        <f t="shared" si="1133"/>
        <v>M0</v>
      </c>
      <c r="HR33" s="6" t="str">
        <f t="shared" si="1133"/>
        <v>M0</v>
      </c>
      <c r="HS33" s="6" t="str">
        <f t="shared" si="1133"/>
        <v>M0</v>
      </c>
      <c r="HT33" s="6" t="str">
        <f t="shared" si="1133"/>
        <v>M0</v>
      </c>
      <c r="HU33" s="6" t="str">
        <f t="shared" si="1133"/>
        <v>M0</v>
      </c>
      <c r="HV33" s="6" t="str">
        <f t="shared" si="1133"/>
        <v>M0</v>
      </c>
      <c r="HW33" s="6" t="str">
        <f t="shared" si="1133"/>
        <v>M0</v>
      </c>
      <c r="HX33" s="6" t="str">
        <f t="shared" si="1133"/>
        <v>M0</v>
      </c>
      <c r="HY33" s="6" t="str">
        <f t="shared" si="1133"/>
        <v>M0</v>
      </c>
      <c r="HZ33" s="6" t="str">
        <f t="shared" si="1133"/>
        <v>M0</v>
      </c>
      <c r="IA33" s="6" t="str">
        <f t="shared" si="1133"/>
        <v>M0</v>
      </c>
      <c r="IB33" s="6" t="str">
        <f t="shared" si="1133"/>
        <v>M0</v>
      </c>
      <c r="IC33" s="6" t="str">
        <f t="shared" si="1133"/>
        <v>M0</v>
      </c>
      <c r="ID33" s="6" t="str">
        <f t="shared" si="1133"/>
        <v>M0</v>
      </c>
      <c r="IE33" s="6" t="str">
        <f t="shared" si="1133"/>
        <v>M0</v>
      </c>
      <c r="IF33" s="6" t="str">
        <f t="shared" si="1133"/>
        <v>M0</v>
      </c>
      <c r="IG33" s="6" t="str">
        <f t="shared" si="1133"/>
        <v>M0</v>
      </c>
      <c r="IH33" s="6" t="str">
        <f t="shared" si="1133"/>
        <v>M0</v>
      </c>
      <c r="II33" s="6" t="str">
        <f t="shared" si="1133"/>
        <v>M0</v>
      </c>
      <c r="IJ33" s="6" t="str">
        <f t="shared" si="1133"/>
        <v>M0</v>
      </c>
      <c r="IK33" s="6" t="str">
        <f t="shared" si="1133"/>
        <v>M0</v>
      </c>
      <c r="IL33" s="6" t="str">
        <f t="shared" si="1133"/>
        <v>M0</v>
      </c>
      <c r="IM33" s="6" t="str">
        <f t="shared" si="1133"/>
        <v>M0</v>
      </c>
      <c r="IN33" s="6" t="str">
        <f t="shared" si="1133"/>
        <v>M0</v>
      </c>
      <c r="IO33" s="6" t="str">
        <f t="shared" si="1133"/>
        <v>M0</v>
      </c>
      <c r="IP33" s="6" t="str">
        <f t="shared" si="1133"/>
        <v>M0</v>
      </c>
      <c r="IQ33" s="6" t="str">
        <f t="shared" si="1133"/>
        <v>M0</v>
      </c>
      <c r="IR33" s="6" t="str">
        <f t="shared" si="1133"/>
        <v>M0</v>
      </c>
      <c r="IS33" s="6" t="str">
        <f t="shared" si="1133"/>
        <v>M0</v>
      </c>
      <c r="IT33" s="6" t="str">
        <f t="shared" si="1133"/>
        <v>M0</v>
      </c>
      <c r="IU33" s="6" t="str">
        <f t="shared" si="1133"/>
        <v>M0</v>
      </c>
      <c r="IV33" s="6" t="str">
        <f t="shared" si="1133"/>
        <v>M0</v>
      </c>
      <c r="IW33" s="6" t="str">
        <f t="shared" si="1133"/>
        <v>M0</v>
      </c>
      <c r="IX33" s="6" t="str">
        <f t="shared" si="1133"/>
        <v>M0</v>
      </c>
      <c r="IY33" s="6" t="str">
        <f t="shared" si="1133"/>
        <v>M0</v>
      </c>
      <c r="IZ33" s="6" t="str">
        <f t="shared" si="1133"/>
        <v>M0</v>
      </c>
      <c r="JA33" s="6" t="str">
        <f t="shared" ref="JA33:LL33" si="1134">IF(JA$34="M0","M0", IF(JA$35="M1","M1", IF(JA$36="M2","M2", IF(JA$37="M3","M3", IF(JA$38="M4","M4", "!")))))</f>
        <v>M0</v>
      </c>
      <c r="JB33" s="6" t="str">
        <f t="shared" si="1134"/>
        <v>M0</v>
      </c>
      <c r="JC33" s="6" t="str">
        <f t="shared" si="1134"/>
        <v>M0</v>
      </c>
      <c r="JD33" s="6" t="str">
        <f t="shared" si="1134"/>
        <v>M3</v>
      </c>
      <c r="JE33" s="6" t="str">
        <f t="shared" si="1134"/>
        <v>M3</v>
      </c>
      <c r="JF33" s="6" t="str">
        <f t="shared" si="1134"/>
        <v>M3</v>
      </c>
      <c r="JG33" s="6" t="str">
        <f t="shared" si="1134"/>
        <v>M3</v>
      </c>
      <c r="JH33" s="6" t="str">
        <f t="shared" si="1134"/>
        <v>M3</v>
      </c>
      <c r="JI33" s="6" t="str">
        <f t="shared" si="1134"/>
        <v>M3</v>
      </c>
      <c r="JJ33" s="6" t="str">
        <f t="shared" si="1134"/>
        <v>M3</v>
      </c>
      <c r="JK33" s="6" t="str">
        <f t="shared" si="1134"/>
        <v>M3</v>
      </c>
      <c r="JL33" s="6" t="str">
        <f t="shared" si="1134"/>
        <v>M3</v>
      </c>
      <c r="JM33" s="6" t="str">
        <f t="shared" si="1134"/>
        <v>M3</v>
      </c>
      <c r="JN33" s="6" t="str">
        <f t="shared" si="1134"/>
        <v>M3</v>
      </c>
      <c r="JO33" s="6" t="str">
        <f t="shared" si="1134"/>
        <v>M3</v>
      </c>
      <c r="JP33" s="6" t="str">
        <f t="shared" si="1134"/>
        <v>M3</v>
      </c>
      <c r="JQ33" s="6" t="str">
        <f t="shared" si="1134"/>
        <v>M3</v>
      </c>
      <c r="JR33" s="6" t="str">
        <f t="shared" si="1134"/>
        <v>M3</v>
      </c>
      <c r="JS33" s="6" t="str">
        <f t="shared" si="1134"/>
        <v>M3</v>
      </c>
      <c r="JT33" s="6" t="str">
        <f t="shared" si="1134"/>
        <v>M3</v>
      </c>
      <c r="JU33" s="6" t="str">
        <f t="shared" si="1134"/>
        <v>M3</v>
      </c>
      <c r="JV33" s="6" t="str">
        <f t="shared" si="1134"/>
        <v>M3</v>
      </c>
      <c r="JW33" s="6" t="str">
        <f t="shared" si="1134"/>
        <v>M3</v>
      </c>
      <c r="JX33" s="6" t="str">
        <f t="shared" si="1134"/>
        <v>M3</v>
      </c>
      <c r="JY33" s="6" t="str">
        <f t="shared" si="1134"/>
        <v>M3</v>
      </c>
      <c r="JZ33" s="6" t="str">
        <f t="shared" si="1134"/>
        <v>M0</v>
      </c>
      <c r="KA33" s="6" t="str">
        <f t="shared" si="1134"/>
        <v>M0</v>
      </c>
      <c r="KB33" s="6" t="str">
        <f t="shared" si="1134"/>
        <v>M0</v>
      </c>
      <c r="KC33" s="6" t="str">
        <f t="shared" si="1134"/>
        <v>M0</v>
      </c>
      <c r="KD33" s="6" t="str">
        <f t="shared" si="1134"/>
        <v>M0</v>
      </c>
      <c r="KE33" s="6" t="str">
        <f t="shared" si="1134"/>
        <v>M0</v>
      </c>
      <c r="KF33" s="6" t="str">
        <f t="shared" si="1134"/>
        <v>M3</v>
      </c>
      <c r="KG33" s="6" t="str">
        <f t="shared" si="1134"/>
        <v>M3</v>
      </c>
      <c r="KH33" s="6" t="str">
        <f t="shared" si="1134"/>
        <v>M3</v>
      </c>
      <c r="KI33" s="6" t="str">
        <f t="shared" si="1134"/>
        <v>M3</v>
      </c>
      <c r="KJ33" s="6" t="str">
        <f t="shared" si="1134"/>
        <v>M3</v>
      </c>
      <c r="KK33" s="6" t="str">
        <f t="shared" si="1134"/>
        <v>M3</v>
      </c>
      <c r="KL33" s="6" t="str">
        <f t="shared" si="1134"/>
        <v>M3</v>
      </c>
      <c r="KM33" s="6" t="str">
        <f t="shared" si="1134"/>
        <v>M3</v>
      </c>
      <c r="KN33" s="6" t="str">
        <f t="shared" si="1134"/>
        <v>M3</v>
      </c>
      <c r="KO33" s="6" t="str">
        <f t="shared" si="1134"/>
        <v>M3</v>
      </c>
      <c r="KP33" s="6" t="str">
        <f t="shared" si="1134"/>
        <v>M3</v>
      </c>
      <c r="KQ33" s="6" t="str">
        <f t="shared" si="1134"/>
        <v>M3</v>
      </c>
      <c r="KR33" s="6" t="str">
        <f t="shared" si="1134"/>
        <v>M3</v>
      </c>
      <c r="KS33" s="6" t="str">
        <f t="shared" si="1134"/>
        <v>M3</v>
      </c>
      <c r="KT33" s="6" t="str">
        <f t="shared" si="1134"/>
        <v>M3</v>
      </c>
      <c r="KU33" s="6" t="str">
        <f t="shared" si="1134"/>
        <v>M3</v>
      </c>
      <c r="KV33" s="6" t="str">
        <f t="shared" si="1134"/>
        <v>M3</v>
      </c>
      <c r="KW33" s="6" t="str">
        <f t="shared" si="1134"/>
        <v>M3</v>
      </c>
      <c r="KX33" s="6" t="str">
        <f t="shared" si="1134"/>
        <v>M3</v>
      </c>
      <c r="KY33" s="6" t="str">
        <f t="shared" si="1134"/>
        <v>M3</v>
      </c>
      <c r="KZ33" s="6" t="str">
        <f t="shared" si="1134"/>
        <v>M3</v>
      </c>
      <c r="LA33" s="6" t="str">
        <f t="shared" si="1134"/>
        <v>M3</v>
      </c>
      <c r="LB33" s="6" t="str">
        <f t="shared" si="1134"/>
        <v>M3</v>
      </c>
      <c r="LC33" s="6" t="str">
        <f t="shared" si="1134"/>
        <v>M3</v>
      </c>
      <c r="LD33" s="6" t="str">
        <f t="shared" si="1134"/>
        <v>M3</v>
      </c>
      <c r="LE33" s="6" t="str">
        <f t="shared" si="1134"/>
        <v>M4</v>
      </c>
      <c r="LF33" s="6" t="str">
        <f t="shared" si="1134"/>
        <v>M1</v>
      </c>
      <c r="LG33" s="6" t="str">
        <f t="shared" si="1134"/>
        <v>M1</v>
      </c>
      <c r="LH33" s="6" t="str">
        <f t="shared" si="1134"/>
        <v>M1</v>
      </c>
      <c r="LI33" s="6" t="str">
        <f t="shared" si="1134"/>
        <v>M1</v>
      </c>
      <c r="LJ33" s="6" t="str">
        <f t="shared" si="1134"/>
        <v>M1</v>
      </c>
      <c r="LK33" s="6" t="str">
        <f t="shared" si="1134"/>
        <v>M1</v>
      </c>
      <c r="LL33" s="6" t="str">
        <f t="shared" si="1134"/>
        <v>M1</v>
      </c>
      <c r="LM33" s="6" t="str">
        <f t="shared" ref="LM33:NX33" si="1135">IF(LM$34="M0","M0", IF(LM$35="M1","M1", IF(LM$36="M2","M2", IF(LM$37="M3","M3", IF(LM$38="M4","M4", "!")))))</f>
        <v>M1</v>
      </c>
      <c r="LN33" s="6" t="str">
        <f t="shared" si="1135"/>
        <v>M1</v>
      </c>
      <c r="LO33" s="6" t="str">
        <f t="shared" si="1135"/>
        <v>M1</v>
      </c>
      <c r="LP33" s="6" t="str">
        <f t="shared" si="1135"/>
        <v>M1</v>
      </c>
      <c r="LQ33" s="6" t="str">
        <f t="shared" si="1135"/>
        <v>M1</v>
      </c>
      <c r="LR33" s="6" t="str">
        <f t="shared" si="1135"/>
        <v>M1</v>
      </c>
      <c r="LS33" s="6" t="str">
        <f t="shared" si="1135"/>
        <v>M2</v>
      </c>
      <c r="LT33" s="6" t="str">
        <f t="shared" si="1135"/>
        <v>M3</v>
      </c>
      <c r="LU33" s="6" t="str">
        <f t="shared" si="1135"/>
        <v>M3</v>
      </c>
      <c r="LV33" s="6" t="str">
        <f t="shared" si="1135"/>
        <v>M3</v>
      </c>
      <c r="LW33" s="6" t="str">
        <f t="shared" si="1135"/>
        <v>M3</v>
      </c>
      <c r="LX33" s="6" t="str">
        <f t="shared" si="1135"/>
        <v>M3</v>
      </c>
      <c r="LY33" s="6" t="str">
        <f t="shared" si="1135"/>
        <v>M3</v>
      </c>
      <c r="LZ33" s="6" t="str">
        <f t="shared" si="1135"/>
        <v>M3</v>
      </c>
      <c r="MA33" s="6" t="str">
        <f t="shared" si="1135"/>
        <v>M3</v>
      </c>
      <c r="MB33" s="6" t="str">
        <f t="shared" si="1135"/>
        <v>M3</v>
      </c>
      <c r="MC33" s="6" t="str">
        <f t="shared" si="1135"/>
        <v>M3</v>
      </c>
      <c r="MD33" s="6" t="str">
        <f t="shared" si="1135"/>
        <v>M3</v>
      </c>
      <c r="ME33" s="6" t="str">
        <f t="shared" si="1135"/>
        <v>M3</v>
      </c>
      <c r="MF33" s="6" t="str">
        <f t="shared" si="1135"/>
        <v>M3</v>
      </c>
      <c r="MG33" s="6" t="str">
        <f t="shared" si="1135"/>
        <v>M3</v>
      </c>
      <c r="MH33" s="6" t="str">
        <f t="shared" si="1135"/>
        <v>M3</v>
      </c>
      <c r="MI33" s="6" t="str">
        <f t="shared" si="1135"/>
        <v>M3</v>
      </c>
      <c r="MJ33" s="6" t="str">
        <f t="shared" si="1135"/>
        <v>M3</v>
      </c>
      <c r="MK33" s="6" t="str">
        <f t="shared" si="1135"/>
        <v>M4</v>
      </c>
      <c r="ML33" s="6" t="str">
        <f t="shared" si="1135"/>
        <v>M1</v>
      </c>
      <c r="MM33" s="6" t="str">
        <f t="shared" si="1135"/>
        <v>M1</v>
      </c>
      <c r="MN33" s="6" t="str">
        <f t="shared" si="1135"/>
        <v>M1</v>
      </c>
      <c r="MO33" s="6" t="str">
        <f t="shared" si="1135"/>
        <v>M1</v>
      </c>
      <c r="MP33" s="6" t="str">
        <f t="shared" si="1135"/>
        <v>M1</v>
      </c>
      <c r="MQ33" s="6" t="str">
        <f t="shared" si="1135"/>
        <v>M1</v>
      </c>
      <c r="MR33" s="6" t="str">
        <f t="shared" si="1135"/>
        <v>M1</v>
      </c>
      <c r="MS33" s="6" t="str">
        <f t="shared" si="1135"/>
        <v>M1</v>
      </c>
      <c r="MT33" s="6" t="str">
        <f t="shared" si="1135"/>
        <v>M1</v>
      </c>
      <c r="MU33" s="6" t="str">
        <f t="shared" si="1135"/>
        <v>M1</v>
      </c>
      <c r="MV33" s="6" t="str">
        <f t="shared" si="1135"/>
        <v>M1</v>
      </c>
      <c r="MW33" s="6" t="str">
        <f t="shared" si="1135"/>
        <v>M1</v>
      </c>
      <c r="MX33" s="6" t="str">
        <f t="shared" si="1135"/>
        <v>M1</v>
      </c>
      <c r="MY33" s="6" t="str">
        <f t="shared" si="1135"/>
        <v>M2</v>
      </c>
      <c r="MZ33" s="6" t="str">
        <f t="shared" si="1135"/>
        <v>M3</v>
      </c>
      <c r="NA33" s="6" t="str">
        <f t="shared" si="1135"/>
        <v>M3</v>
      </c>
      <c r="NB33" s="6" t="str">
        <f t="shared" si="1135"/>
        <v>M3</v>
      </c>
      <c r="NC33" s="6" t="str">
        <f t="shared" si="1135"/>
        <v>M3</v>
      </c>
      <c r="ND33" s="6" t="str">
        <f t="shared" si="1135"/>
        <v>M3</v>
      </c>
      <c r="NE33" s="6" t="str">
        <f t="shared" si="1135"/>
        <v>M3</v>
      </c>
      <c r="NF33" s="6" t="str">
        <f t="shared" si="1135"/>
        <v>M3</v>
      </c>
      <c r="NG33" s="6" t="str">
        <f t="shared" si="1135"/>
        <v>M3</v>
      </c>
      <c r="NH33" s="6" t="str">
        <f t="shared" si="1135"/>
        <v>M3</v>
      </c>
      <c r="NI33" s="6" t="str">
        <f t="shared" si="1135"/>
        <v>M3</v>
      </c>
      <c r="NJ33" s="6" t="str">
        <f t="shared" si="1135"/>
        <v>M3</v>
      </c>
      <c r="NK33" s="6" t="str">
        <f t="shared" si="1135"/>
        <v>M3</v>
      </c>
      <c r="NL33" s="6" t="str">
        <f t="shared" si="1135"/>
        <v>M3</v>
      </c>
      <c r="NM33" s="6" t="str">
        <f t="shared" si="1135"/>
        <v>M3</v>
      </c>
      <c r="NN33" s="6" t="str">
        <f t="shared" si="1135"/>
        <v>M3</v>
      </c>
      <c r="NO33" s="6" t="str">
        <f t="shared" si="1135"/>
        <v>M3</v>
      </c>
      <c r="NP33" s="6" t="str">
        <f t="shared" si="1135"/>
        <v>M3</v>
      </c>
      <c r="NQ33" s="6" t="str">
        <f t="shared" si="1135"/>
        <v>M3</v>
      </c>
      <c r="NR33" s="6" t="str">
        <f t="shared" si="1135"/>
        <v>M3</v>
      </c>
      <c r="NS33" s="6" t="str">
        <f t="shared" si="1135"/>
        <v>M3</v>
      </c>
      <c r="NT33" s="6" t="str">
        <f t="shared" si="1135"/>
        <v>M3</v>
      </c>
      <c r="NU33" s="6" t="str">
        <f t="shared" si="1135"/>
        <v>M3</v>
      </c>
      <c r="NV33" s="6" t="str">
        <f t="shared" si="1135"/>
        <v>M3</v>
      </c>
      <c r="NW33" s="6" t="str">
        <f t="shared" si="1135"/>
        <v>M3</v>
      </c>
      <c r="NX33" s="6" t="str">
        <f t="shared" si="1135"/>
        <v>M3</v>
      </c>
      <c r="NY33" s="6" t="str">
        <f t="shared" ref="NY33:QJ33" si="1136">IF(NY$34="M0","M0", IF(NY$35="M1","M1", IF(NY$36="M2","M2", IF(NY$37="M3","M3", IF(NY$38="M4","M4", "!")))))</f>
        <v>M4</v>
      </c>
      <c r="NZ33" s="6" t="str">
        <f t="shared" si="1136"/>
        <v>M1</v>
      </c>
      <c r="OA33" s="6" t="str">
        <f t="shared" si="1136"/>
        <v>M1</v>
      </c>
      <c r="OB33" s="6" t="str">
        <f t="shared" si="1136"/>
        <v>M1</v>
      </c>
      <c r="OC33" s="6" t="str">
        <f t="shared" si="1136"/>
        <v>M1</v>
      </c>
      <c r="OD33" s="6" t="str">
        <f t="shared" si="1136"/>
        <v>M1</v>
      </c>
      <c r="OE33" s="6" t="str">
        <f t="shared" si="1136"/>
        <v>M1</v>
      </c>
      <c r="OF33" s="6" t="str">
        <f t="shared" si="1136"/>
        <v>M1</v>
      </c>
      <c r="OG33" s="6" t="str">
        <f t="shared" si="1136"/>
        <v>M1</v>
      </c>
      <c r="OH33" s="6" t="str">
        <f t="shared" si="1136"/>
        <v>M1</v>
      </c>
      <c r="OI33" s="6" t="str">
        <f t="shared" si="1136"/>
        <v>M1</v>
      </c>
      <c r="OJ33" s="6" t="str">
        <f t="shared" si="1136"/>
        <v>M1</v>
      </c>
      <c r="OK33" s="6" t="str">
        <f t="shared" si="1136"/>
        <v>M1</v>
      </c>
      <c r="OL33" s="6" t="str">
        <f t="shared" si="1136"/>
        <v>M1</v>
      </c>
      <c r="OM33" s="6" t="str">
        <f t="shared" si="1136"/>
        <v>M2</v>
      </c>
      <c r="ON33" s="6" t="str">
        <f t="shared" si="1136"/>
        <v>M3</v>
      </c>
      <c r="OO33" s="6" t="str">
        <f t="shared" si="1136"/>
        <v>M3</v>
      </c>
      <c r="OP33" s="6" t="str">
        <f t="shared" si="1136"/>
        <v>M3</v>
      </c>
      <c r="OQ33" s="6" t="str">
        <f t="shared" si="1136"/>
        <v>M3</v>
      </c>
      <c r="OR33" s="6" t="str">
        <f t="shared" si="1136"/>
        <v>M0</v>
      </c>
      <c r="OS33" s="6" t="str">
        <f t="shared" si="1136"/>
        <v>M0</v>
      </c>
      <c r="OT33" s="6" t="str">
        <f t="shared" si="1136"/>
        <v>M0</v>
      </c>
      <c r="OU33" s="6" t="str">
        <f t="shared" si="1136"/>
        <v>M0</v>
      </c>
      <c r="OV33" s="6" t="str">
        <f t="shared" si="1136"/>
        <v>M0</v>
      </c>
      <c r="OW33" s="6" t="str">
        <f t="shared" si="1136"/>
        <v>M0</v>
      </c>
      <c r="OX33" s="6" t="str">
        <f t="shared" si="1136"/>
        <v>M0</v>
      </c>
      <c r="OY33" s="6" t="str">
        <f t="shared" si="1136"/>
        <v>M0</v>
      </c>
      <c r="OZ33" s="6" t="str">
        <f t="shared" si="1136"/>
        <v>M0</v>
      </c>
      <c r="PA33" s="6" t="str">
        <f t="shared" si="1136"/>
        <v>M0</v>
      </c>
      <c r="PB33" s="6" t="str">
        <f t="shared" si="1136"/>
        <v>M0</v>
      </c>
      <c r="PC33" s="6" t="str">
        <f t="shared" si="1136"/>
        <v>M0</v>
      </c>
      <c r="PD33" s="6" t="str">
        <f t="shared" si="1136"/>
        <v>M0</v>
      </c>
      <c r="PE33" s="6" t="str">
        <f t="shared" si="1136"/>
        <v>M0</v>
      </c>
      <c r="PF33" s="6" t="str">
        <f t="shared" si="1136"/>
        <v>M0</v>
      </c>
      <c r="PG33" s="6" t="str">
        <f t="shared" si="1136"/>
        <v>M0</v>
      </c>
      <c r="PH33" s="6" t="str">
        <f t="shared" si="1136"/>
        <v>M0</v>
      </c>
      <c r="PI33" s="6" t="str">
        <f t="shared" si="1136"/>
        <v>M0</v>
      </c>
      <c r="PJ33" s="6" t="str">
        <f t="shared" si="1136"/>
        <v>M0</v>
      </c>
      <c r="PK33" s="6" t="str">
        <f t="shared" si="1136"/>
        <v>M0</v>
      </c>
      <c r="PL33" s="6" t="str">
        <f t="shared" si="1136"/>
        <v>M0</v>
      </c>
      <c r="PM33" s="6" t="str">
        <f t="shared" si="1136"/>
        <v>M0</v>
      </c>
      <c r="PN33" s="6" t="str">
        <f t="shared" si="1136"/>
        <v>M0</v>
      </c>
      <c r="PO33" s="6" t="str">
        <f t="shared" si="1136"/>
        <v>M0</v>
      </c>
      <c r="PP33" s="6" t="str">
        <f t="shared" si="1136"/>
        <v>M0</v>
      </c>
      <c r="PQ33" s="6" t="str">
        <f t="shared" si="1136"/>
        <v>M0</v>
      </c>
      <c r="PR33" s="6" t="str">
        <f t="shared" si="1136"/>
        <v>M0</v>
      </c>
      <c r="PS33" s="6" t="str">
        <f t="shared" si="1136"/>
        <v>M0</v>
      </c>
      <c r="PT33" s="6" t="str">
        <f t="shared" si="1136"/>
        <v>M3</v>
      </c>
      <c r="PU33" s="6" t="str">
        <f t="shared" si="1136"/>
        <v>M3</v>
      </c>
      <c r="PV33" s="6" t="str">
        <f t="shared" si="1136"/>
        <v>M3</v>
      </c>
      <c r="PW33" s="6" t="str">
        <f t="shared" si="1136"/>
        <v>M3</v>
      </c>
      <c r="PX33" s="6" t="str">
        <f t="shared" si="1136"/>
        <v>M3</v>
      </c>
      <c r="PY33" s="6" t="str">
        <f t="shared" si="1136"/>
        <v>M3</v>
      </c>
      <c r="PZ33" s="6" t="str">
        <f t="shared" si="1136"/>
        <v>M3</v>
      </c>
      <c r="QA33" s="6" t="str">
        <f t="shared" si="1136"/>
        <v>M3</v>
      </c>
      <c r="QB33" s="6" t="str">
        <f t="shared" si="1136"/>
        <v>M3</v>
      </c>
      <c r="QC33" s="6" t="str">
        <f t="shared" si="1136"/>
        <v>M3</v>
      </c>
      <c r="QD33" s="6" t="str">
        <f t="shared" si="1136"/>
        <v>M3</v>
      </c>
      <c r="QE33" s="6" t="str">
        <f t="shared" si="1136"/>
        <v>M3</v>
      </c>
      <c r="QF33" s="6" t="str">
        <f t="shared" si="1136"/>
        <v>M3</v>
      </c>
      <c r="QG33" s="6" t="str">
        <f t="shared" si="1136"/>
        <v>M3</v>
      </c>
      <c r="QH33" s="6" t="str">
        <f t="shared" si="1136"/>
        <v>M3</v>
      </c>
      <c r="QI33" s="6" t="str">
        <f t="shared" si="1136"/>
        <v>M3</v>
      </c>
      <c r="QJ33" s="6" t="str">
        <f t="shared" si="1136"/>
        <v>M3</v>
      </c>
      <c r="QK33" s="6" t="str">
        <f t="shared" ref="QK33:SV33" si="1137">IF(QK$34="M0","M0", IF(QK$35="M1","M1", IF(QK$36="M2","M2", IF(QK$37="M3","M3", IF(QK$38="M4","M4", "!")))))</f>
        <v>M3</v>
      </c>
      <c r="QL33" s="6" t="str">
        <f t="shared" si="1137"/>
        <v>M3</v>
      </c>
      <c r="QM33" s="6" t="str">
        <f t="shared" si="1137"/>
        <v>M3</v>
      </c>
      <c r="QN33" s="6" t="str">
        <f t="shared" si="1137"/>
        <v>M3</v>
      </c>
      <c r="QO33" s="6" t="str">
        <f t="shared" si="1137"/>
        <v>M3</v>
      </c>
      <c r="QP33" s="6" t="str">
        <f t="shared" si="1137"/>
        <v>M3</v>
      </c>
      <c r="QQ33" s="6" t="str">
        <f t="shared" si="1137"/>
        <v>M3</v>
      </c>
      <c r="QR33" s="6" t="str">
        <f t="shared" si="1137"/>
        <v>M3</v>
      </c>
      <c r="QS33" s="6" t="str">
        <f t="shared" si="1137"/>
        <v>M4</v>
      </c>
      <c r="QT33" s="6" t="str">
        <f t="shared" si="1137"/>
        <v>M1</v>
      </c>
      <c r="QU33" s="6" t="str">
        <f t="shared" si="1137"/>
        <v>M1</v>
      </c>
      <c r="QV33" s="6" t="str">
        <f t="shared" si="1137"/>
        <v>M1</v>
      </c>
      <c r="QW33" s="6" t="str">
        <f t="shared" si="1137"/>
        <v>M1</v>
      </c>
      <c r="QX33" s="6" t="str">
        <f t="shared" si="1137"/>
        <v>M1</v>
      </c>
      <c r="QY33" s="6" t="str">
        <f t="shared" si="1137"/>
        <v>M1</v>
      </c>
      <c r="QZ33" s="6" t="str">
        <f t="shared" si="1137"/>
        <v>M1</v>
      </c>
      <c r="RA33" s="6" t="str">
        <f t="shared" si="1137"/>
        <v>M1</v>
      </c>
      <c r="RB33" s="6" t="str">
        <f t="shared" si="1137"/>
        <v>M1</v>
      </c>
      <c r="RC33" s="6" t="str">
        <f t="shared" si="1137"/>
        <v>M1</v>
      </c>
      <c r="RD33" s="6" t="str">
        <f t="shared" si="1137"/>
        <v>M1</v>
      </c>
      <c r="RE33" s="6" t="str">
        <f t="shared" si="1137"/>
        <v>M1</v>
      </c>
      <c r="RF33" s="6" t="str">
        <f t="shared" si="1137"/>
        <v>M1</v>
      </c>
      <c r="RG33" s="6" t="str">
        <f t="shared" si="1137"/>
        <v>M2</v>
      </c>
      <c r="RH33" s="6" t="str">
        <f t="shared" si="1137"/>
        <v>M3</v>
      </c>
      <c r="RI33" s="6" t="str">
        <f t="shared" si="1137"/>
        <v>M3</v>
      </c>
      <c r="RJ33" s="6" t="str">
        <f t="shared" si="1137"/>
        <v>M3</v>
      </c>
      <c r="RK33" s="6" t="str">
        <f t="shared" si="1137"/>
        <v>M3</v>
      </c>
      <c r="RL33" s="6" t="str">
        <f t="shared" si="1137"/>
        <v>M3</v>
      </c>
      <c r="RM33" s="6" t="str">
        <f t="shared" si="1137"/>
        <v>M3</v>
      </c>
      <c r="RN33" s="6" t="str">
        <f t="shared" si="1137"/>
        <v>M3</v>
      </c>
      <c r="RO33" s="6" t="str">
        <f t="shared" si="1137"/>
        <v>M3</v>
      </c>
      <c r="RP33" s="6" t="str">
        <f t="shared" si="1137"/>
        <v>M3</v>
      </c>
      <c r="RQ33" s="6" t="str">
        <f t="shared" si="1137"/>
        <v>M3</v>
      </c>
      <c r="RR33" s="6" t="str">
        <f t="shared" si="1137"/>
        <v>M3</v>
      </c>
      <c r="RS33" s="6" t="str">
        <f t="shared" si="1137"/>
        <v>M3</v>
      </c>
      <c r="RT33" s="6" t="str">
        <f t="shared" si="1137"/>
        <v>M3</v>
      </c>
      <c r="RU33" s="6" t="str">
        <f t="shared" si="1137"/>
        <v>M3</v>
      </c>
      <c r="RV33" s="6" t="str">
        <f t="shared" si="1137"/>
        <v>M3</v>
      </c>
      <c r="RW33" s="6" t="str">
        <f t="shared" si="1137"/>
        <v>M3</v>
      </c>
      <c r="RX33" s="6" t="str">
        <f t="shared" si="1137"/>
        <v>M3</v>
      </c>
      <c r="RY33" s="6" t="str">
        <f t="shared" si="1137"/>
        <v>M4</v>
      </c>
      <c r="RZ33" s="6" t="str">
        <f t="shared" si="1137"/>
        <v>M1</v>
      </c>
      <c r="SA33" s="6" t="str">
        <f t="shared" si="1137"/>
        <v>M1</v>
      </c>
      <c r="SB33" s="6" t="str">
        <f t="shared" si="1137"/>
        <v>M1</v>
      </c>
      <c r="SC33" s="6" t="str">
        <f t="shared" si="1137"/>
        <v>M1</v>
      </c>
      <c r="SD33" s="6" t="str">
        <f t="shared" si="1137"/>
        <v>M1</v>
      </c>
      <c r="SE33" s="6" t="str">
        <f t="shared" si="1137"/>
        <v>M1</v>
      </c>
      <c r="SF33" s="6" t="str">
        <f t="shared" si="1137"/>
        <v>M1</v>
      </c>
      <c r="SG33" s="6" t="str">
        <f t="shared" si="1137"/>
        <v>M1</v>
      </c>
      <c r="SH33" s="6" t="str">
        <f t="shared" si="1137"/>
        <v>M1</v>
      </c>
      <c r="SI33" s="6" t="str">
        <f t="shared" si="1137"/>
        <v>M1</v>
      </c>
      <c r="SJ33" s="6" t="str">
        <f t="shared" si="1137"/>
        <v>M1</v>
      </c>
      <c r="SK33" s="6" t="str">
        <f t="shared" si="1137"/>
        <v>M1</v>
      </c>
      <c r="SL33" s="6" t="str">
        <f t="shared" si="1137"/>
        <v>M1</v>
      </c>
      <c r="SM33" s="6" t="str">
        <f t="shared" si="1137"/>
        <v>M2</v>
      </c>
      <c r="SN33" s="6" t="str">
        <f t="shared" si="1137"/>
        <v>M3</v>
      </c>
      <c r="SO33" s="6" t="str">
        <f t="shared" si="1137"/>
        <v>M3</v>
      </c>
      <c r="SP33" s="6" t="str">
        <f t="shared" si="1137"/>
        <v>M3</v>
      </c>
      <c r="SQ33" s="6" t="str">
        <f t="shared" si="1137"/>
        <v>M3</v>
      </c>
      <c r="SR33" s="6" t="str">
        <f t="shared" si="1137"/>
        <v>M3</v>
      </c>
      <c r="SS33" s="6" t="str">
        <f t="shared" si="1137"/>
        <v>M3</v>
      </c>
      <c r="ST33" s="6" t="str">
        <f t="shared" si="1137"/>
        <v>M3</v>
      </c>
      <c r="SU33" s="6" t="str">
        <f t="shared" si="1137"/>
        <v>M3</v>
      </c>
      <c r="SV33" s="6" t="str">
        <f t="shared" si="1137"/>
        <v>M3</v>
      </c>
      <c r="SW33" s="6" t="str">
        <f t="shared" ref="SW33:VH33" si="1138">IF(SW$34="M0","M0", IF(SW$35="M1","M1", IF(SW$36="M2","M2", IF(SW$37="M3","M3", IF(SW$38="M4","M4", "!")))))</f>
        <v>M3</v>
      </c>
      <c r="SX33" s="6" t="str">
        <f t="shared" si="1138"/>
        <v>M3</v>
      </c>
      <c r="SY33" s="6" t="str">
        <f t="shared" si="1138"/>
        <v>M3</v>
      </c>
      <c r="SZ33" s="6" t="str">
        <f t="shared" si="1138"/>
        <v>M3</v>
      </c>
      <c r="TA33" s="6" t="str">
        <f t="shared" si="1138"/>
        <v>M3</v>
      </c>
      <c r="TB33" s="6" t="str">
        <f t="shared" si="1138"/>
        <v>M3</v>
      </c>
      <c r="TC33" s="6" t="str">
        <f t="shared" si="1138"/>
        <v>M3</v>
      </c>
      <c r="TD33" s="6" t="str">
        <f t="shared" si="1138"/>
        <v>M3</v>
      </c>
      <c r="TE33" s="6" t="str">
        <f t="shared" si="1138"/>
        <v>M3</v>
      </c>
      <c r="TF33" s="6" t="str">
        <f t="shared" si="1138"/>
        <v>M3</v>
      </c>
      <c r="TG33" s="6" t="str">
        <f t="shared" si="1138"/>
        <v>M3</v>
      </c>
      <c r="TH33" s="6" t="str">
        <f t="shared" si="1138"/>
        <v>M3</v>
      </c>
      <c r="TI33" s="6" t="str">
        <f t="shared" si="1138"/>
        <v>M3</v>
      </c>
      <c r="TJ33" s="6" t="str">
        <f t="shared" si="1138"/>
        <v>M3</v>
      </c>
      <c r="TK33" s="6" t="str">
        <f t="shared" si="1138"/>
        <v>M3</v>
      </c>
      <c r="TL33" s="6" t="str">
        <f t="shared" si="1138"/>
        <v>M3</v>
      </c>
      <c r="TM33" s="6" t="str">
        <f t="shared" si="1138"/>
        <v>M4</v>
      </c>
      <c r="TN33" s="6" t="str">
        <f t="shared" si="1138"/>
        <v>M1</v>
      </c>
      <c r="TO33" s="6" t="str">
        <f t="shared" si="1138"/>
        <v>M1</v>
      </c>
      <c r="TP33" s="6" t="str">
        <f t="shared" si="1138"/>
        <v>M1</v>
      </c>
      <c r="TQ33" s="6" t="str">
        <f t="shared" si="1138"/>
        <v>M1</v>
      </c>
      <c r="TR33" s="6" t="str">
        <f t="shared" si="1138"/>
        <v>M1</v>
      </c>
      <c r="TS33" s="6" t="str">
        <f t="shared" si="1138"/>
        <v>M1</v>
      </c>
      <c r="TT33" s="6" t="str">
        <f t="shared" si="1138"/>
        <v>M1</v>
      </c>
      <c r="TU33" s="6" t="str">
        <f t="shared" si="1138"/>
        <v>M1</v>
      </c>
      <c r="TV33" s="6" t="str">
        <f t="shared" si="1138"/>
        <v>M1</v>
      </c>
      <c r="TW33" s="6" t="str">
        <f t="shared" si="1138"/>
        <v>M1</v>
      </c>
      <c r="TX33" s="6" t="str">
        <f t="shared" si="1138"/>
        <v>M1</v>
      </c>
      <c r="TY33" s="6" t="str">
        <f t="shared" si="1138"/>
        <v>M1</v>
      </c>
      <c r="TZ33" s="6" t="str">
        <f t="shared" si="1138"/>
        <v>M1</v>
      </c>
      <c r="UA33" s="6" t="str">
        <f t="shared" si="1138"/>
        <v>M2</v>
      </c>
      <c r="UB33" s="6" t="str">
        <f t="shared" si="1138"/>
        <v>M3</v>
      </c>
      <c r="UC33" s="6" t="str">
        <f t="shared" si="1138"/>
        <v>M3</v>
      </c>
      <c r="UD33" s="6" t="str">
        <f t="shared" si="1138"/>
        <v>M3</v>
      </c>
      <c r="UE33" s="6" t="str">
        <f t="shared" si="1138"/>
        <v>M3</v>
      </c>
      <c r="UF33" s="6" t="str">
        <f t="shared" si="1138"/>
        <v>M0</v>
      </c>
      <c r="UG33" s="6" t="str">
        <f t="shared" si="1138"/>
        <v>M0</v>
      </c>
      <c r="UH33" s="6" t="str">
        <f t="shared" si="1138"/>
        <v>M0</v>
      </c>
      <c r="UI33" s="6" t="str">
        <f t="shared" si="1138"/>
        <v>M0</v>
      </c>
      <c r="UJ33" s="6" t="str">
        <f t="shared" si="1138"/>
        <v>M0</v>
      </c>
      <c r="UK33" s="6" t="str">
        <f t="shared" si="1138"/>
        <v>M0</v>
      </c>
      <c r="UL33" s="6" t="str">
        <f t="shared" si="1138"/>
        <v>M0</v>
      </c>
      <c r="UM33" s="6" t="str">
        <f t="shared" si="1138"/>
        <v>M0</v>
      </c>
      <c r="UN33" s="6" t="str">
        <f t="shared" si="1138"/>
        <v>M0</v>
      </c>
      <c r="UO33" s="6" t="str">
        <f t="shared" si="1138"/>
        <v>M0</v>
      </c>
      <c r="UP33" s="6" t="str">
        <f t="shared" si="1138"/>
        <v>M0</v>
      </c>
      <c r="UQ33" s="6" t="str">
        <f t="shared" si="1138"/>
        <v>M0</v>
      </c>
      <c r="UR33" s="6" t="str">
        <f t="shared" si="1138"/>
        <v>M0</v>
      </c>
      <c r="US33" s="6" t="str">
        <f t="shared" si="1138"/>
        <v>M0</v>
      </c>
      <c r="UT33" s="6" t="str">
        <f t="shared" si="1138"/>
        <v>M0</v>
      </c>
      <c r="UU33" s="6" t="str">
        <f t="shared" si="1138"/>
        <v>M0</v>
      </c>
      <c r="UV33" s="6" t="str">
        <f t="shared" si="1138"/>
        <v>M0</v>
      </c>
      <c r="UW33" s="6" t="str">
        <f t="shared" si="1138"/>
        <v>M0</v>
      </c>
      <c r="UX33" s="6" t="str">
        <f t="shared" si="1138"/>
        <v>M0</v>
      </c>
      <c r="UY33" s="6" t="str">
        <f t="shared" si="1138"/>
        <v>M0</v>
      </c>
      <c r="UZ33" s="6" t="str">
        <f t="shared" si="1138"/>
        <v>M0</v>
      </c>
      <c r="VA33" s="6" t="str">
        <f t="shared" si="1138"/>
        <v>M0</v>
      </c>
      <c r="VB33" s="6" t="str">
        <f t="shared" si="1138"/>
        <v>M0</v>
      </c>
      <c r="VC33" s="6" t="str">
        <f t="shared" si="1138"/>
        <v>M0</v>
      </c>
      <c r="VD33" s="6" t="str">
        <f t="shared" si="1138"/>
        <v>M0</v>
      </c>
      <c r="VE33" s="6" t="str">
        <f t="shared" si="1138"/>
        <v>M0</v>
      </c>
      <c r="VF33" s="6" t="str">
        <f t="shared" si="1138"/>
        <v>M0</v>
      </c>
      <c r="VG33" s="6" t="str">
        <f t="shared" si="1138"/>
        <v>M0</v>
      </c>
      <c r="VH33" s="6" t="str">
        <f t="shared" si="1138"/>
        <v>M3</v>
      </c>
      <c r="VI33" s="6" t="str">
        <f t="shared" ref="VI33:XT33" si="1139">IF(VI$34="M0","M0", IF(VI$35="M1","M1", IF(VI$36="M2","M2", IF(VI$37="M3","M3", IF(VI$38="M4","M4", "!")))))</f>
        <v>M3</v>
      </c>
      <c r="VJ33" s="6" t="str">
        <f t="shared" si="1139"/>
        <v>M3</v>
      </c>
      <c r="VK33" s="6" t="str">
        <f t="shared" si="1139"/>
        <v>M3</v>
      </c>
      <c r="VL33" s="6" t="str">
        <f t="shared" si="1139"/>
        <v>M3</v>
      </c>
      <c r="VM33" s="6" t="str">
        <f t="shared" si="1139"/>
        <v>M3</v>
      </c>
      <c r="VN33" s="6" t="str">
        <f t="shared" si="1139"/>
        <v>M3</v>
      </c>
      <c r="VO33" s="6" t="str">
        <f t="shared" si="1139"/>
        <v>M3</v>
      </c>
      <c r="VP33" s="6" t="str">
        <f t="shared" si="1139"/>
        <v>M3</v>
      </c>
      <c r="VQ33" s="6" t="str">
        <f t="shared" si="1139"/>
        <v>M3</v>
      </c>
      <c r="VR33" s="6" t="str">
        <f t="shared" si="1139"/>
        <v>M3</v>
      </c>
      <c r="VS33" s="6" t="str">
        <f t="shared" si="1139"/>
        <v>M3</v>
      </c>
      <c r="VT33" s="6" t="str">
        <f t="shared" si="1139"/>
        <v>M3</v>
      </c>
      <c r="VU33" s="6" t="str">
        <f t="shared" si="1139"/>
        <v>M3</v>
      </c>
      <c r="VV33" s="6" t="str">
        <f t="shared" si="1139"/>
        <v>M3</v>
      </c>
      <c r="VW33" s="6" t="str">
        <f t="shared" si="1139"/>
        <v>M3</v>
      </c>
      <c r="VX33" s="6" t="str">
        <f t="shared" si="1139"/>
        <v>M3</v>
      </c>
      <c r="VY33" s="6" t="str">
        <f t="shared" si="1139"/>
        <v>M3</v>
      </c>
      <c r="VZ33" s="6" t="str">
        <f t="shared" si="1139"/>
        <v>M3</v>
      </c>
      <c r="WA33" s="6" t="str">
        <f t="shared" si="1139"/>
        <v>M3</v>
      </c>
      <c r="WB33" s="6" t="str">
        <f t="shared" si="1139"/>
        <v>M3</v>
      </c>
      <c r="WC33" s="6" t="str">
        <f t="shared" si="1139"/>
        <v>M3</v>
      </c>
      <c r="WD33" s="6" t="str">
        <f t="shared" si="1139"/>
        <v>M3</v>
      </c>
      <c r="WE33" s="6" t="str">
        <f t="shared" si="1139"/>
        <v>M3</v>
      </c>
      <c r="WF33" s="6" t="str">
        <f t="shared" si="1139"/>
        <v>M3</v>
      </c>
      <c r="WG33" s="6" t="str">
        <f t="shared" si="1139"/>
        <v>M4</v>
      </c>
      <c r="WH33" s="6" t="str">
        <f t="shared" si="1139"/>
        <v>M1</v>
      </c>
      <c r="WI33" s="6" t="str">
        <f t="shared" si="1139"/>
        <v>M1</v>
      </c>
      <c r="WJ33" s="6" t="str">
        <f t="shared" si="1139"/>
        <v>M1</v>
      </c>
      <c r="WK33" s="6" t="str">
        <f t="shared" si="1139"/>
        <v>M1</v>
      </c>
      <c r="WL33" s="6" t="str">
        <f t="shared" si="1139"/>
        <v>M1</v>
      </c>
      <c r="WM33" s="6" t="str">
        <f t="shared" si="1139"/>
        <v>M1</v>
      </c>
      <c r="WN33" s="6" t="str">
        <f t="shared" si="1139"/>
        <v>M1</v>
      </c>
      <c r="WO33" s="6" t="str">
        <f t="shared" si="1139"/>
        <v>M1</v>
      </c>
      <c r="WP33" s="6" t="str">
        <f t="shared" si="1139"/>
        <v>M1</v>
      </c>
      <c r="WQ33" s="6" t="str">
        <f t="shared" si="1139"/>
        <v>M1</v>
      </c>
      <c r="WR33" s="6" t="str">
        <f t="shared" si="1139"/>
        <v>M1</v>
      </c>
      <c r="WS33" s="6" t="str">
        <f t="shared" si="1139"/>
        <v>M1</v>
      </c>
      <c r="WT33" s="6" t="str">
        <f t="shared" si="1139"/>
        <v>M1</v>
      </c>
      <c r="WU33" s="6" t="str">
        <f t="shared" si="1139"/>
        <v>M2</v>
      </c>
      <c r="WV33" s="6" t="str">
        <f t="shared" si="1139"/>
        <v>M3</v>
      </c>
      <c r="WW33" s="6" t="str">
        <f t="shared" si="1139"/>
        <v>M3</v>
      </c>
      <c r="WX33" s="6" t="str">
        <f t="shared" si="1139"/>
        <v>M3</v>
      </c>
      <c r="WY33" s="6" t="str">
        <f t="shared" si="1139"/>
        <v>M3</v>
      </c>
      <c r="WZ33" s="6" t="str">
        <f t="shared" si="1139"/>
        <v>M3</v>
      </c>
      <c r="XA33" s="6" t="str">
        <f t="shared" si="1139"/>
        <v>M3</v>
      </c>
      <c r="XB33" s="6" t="str">
        <f t="shared" si="1139"/>
        <v>M3</v>
      </c>
      <c r="XC33" s="6" t="str">
        <f t="shared" si="1139"/>
        <v>M3</v>
      </c>
      <c r="XD33" s="6" t="str">
        <f t="shared" si="1139"/>
        <v>M3</v>
      </c>
      <c r="XE33" s="6" t="str">
        <f t="shared" si="1139"/>
        <v>M3</v>
      </c>
      <c r="XF33" s="6" t="str">
        <f t="shared" si="1139"/>
        <v>M3</v>
      </c>
      <c r="XG33" s="6" t="str">
        <f t="shared" si="1139"/>
        <v>M3</v>
      </c>
      <c r="XH33" s="6" t="str">
        <f t="shared" si="1139"/>
        <v>M3</v>
      </c>
      <c r="XI33" s="6" t="str">
        <f t="shared" si="1139"/>
        <v>M3</v>
      </c>
      <c r="XJ33" s="6" t="str">
        <f t="shared" si="1139"/>
        <v>M3</v>
      </c>
      <c r="XK33" s="6" t="str">
        <f t="shared" si="1139"/>
        <v>M3</v>
      </c>
      <c r="XL33" s="6" t="str">
        <f t="shared" si="1139"/>
        <v>M3</v>
      </c>
      <c r="XM33" s="6" t="str">
        <f t="shared" si="1139"/>
        <v>M4</v>
      </c>
      <c r="XN33" s="6" t="str">
        <f t="shared" si="1139"/>
        <v>M1</v>
      </c>
      <c r="XO33" s="6" t="str">
        <f t="shared" si="1139"/>
        <v>M1</v>
      </c>
      <c r="XP33" s="6" t="str">
        <f t="shared" si="1139"/>
        <v>M1</v>
      </c>
      <c r="XQ33" s="6" t="str">
        <f t="shared" si="1139"/>
        <v>M1</v>
      </c>
      <c r="XR33" s="6" t="str">
        <f t="shared" si="1139"/>
        <v>M1</v>
      </c>
      <c r="XS33" s="6" t="str">
        <f t="shared" si="1139"/>
        <v>M1</v>
      </c>
      <c r="XT33" s="6" t="str">
        <f t="shared" si="1139"/>
        <v>M1</v>
      </c>
      <c r="XU33" s="6" t="str">
        <f t="shared" ref="XU33:AAF33" si="1140">IF(XU$34="M0","M0", IF(XU$35="M1","M1", IF(XU$36="M2","M2", IF(XU$37="M3","M3", IF(XU$38="M4","M4", "!")))))</f>
        <v>M1</v>
      </c>
      <c r="XV33" s="6" t="str">
        <f t="shared" si="1140"/>
        <v>M1</v>
      </c>
      <c r="XW33" s="6" t="str">
        <f t="shared" si="1140"/>
        <v>M1</v>
      </c>
      <c r="XX33" s="6" t="str">
        <f t="shared" si="1140"/>
        <v>M1</v>
      </c>
      <c r="XY33" s="6" t="str">
        <f t="shared" si="1140"/>
        <v>M1</v>
      </c>
      <c r="XZ33" s="6" t="str">
        <f t="shared" si="1140"/>
        <v>M1</v>
      </c>
      <c r="YA33" s="6" t="str">
        <f t="shared" si="1140"/>
        <v>M2</v>
      </c>
      <c r="YB33" s="6" t="str">
        <f t="shared" si="1140"/>
        <v>M3</v>
      </c>
      <c r="YC33" s="6" t="str">
        <f t="shared" si="1140"/>
        <v>M3</v>
      </c>
      <c r="YD33" s="6" t="str">
        <f t="shared" si="1140"/>
        <v>M3</v>
      </c>
      <c r="YE33" s="6" t="str">
        <f t="shared" si="1140"/>
        <v>M3</v>
      </c>
      <c r="YF33" s="6" t="str">
        <f t="shared" si="1140"/>
        <v>M3</v>
      </c>
      <c r="YG33" s="6" t="str">
        <f t="shared" si="1140"/>
        <v>M3</v>
      </c>
      <c r="YH33" s="6" t="str">
        <f t="shared" si="1140"/>
        <v>M3</v>
      </c>
      <c r="YI33" s="6" t="str">
        <f t="shared" si="1140"/>
        <v>M3</v>
      </c>
      <c r="YJ33" s="6" t="str">
        <f t="shared" si="1140"/>
        <v>M3</v>
      </c>
      <c r="YK33" s="6" t="str">
        <f t="shared" si="1140"/>
        <v>M3</v>
      </c>
      <c r="YL33" s="6" t="str">
        <f t="shared" si="1140"/>
        <v>M3</v>
      </c>
      <c r="YM33" s="6" t="str">
        <f t="shared" si="1140"/>
        <v>M3</v>
      </c>
      <c r="YN33" s="6" t="str">
        <f t="shared" si="1140"/>
        <v>M3</v>
      </c>
      <c r="YO33" s="6" t="str">
        <f t="shared" si="1140"/>
        <v>M3</v>
      </c>
      <c r="YP33" s="6" t="str">
        <f t="shared" si="1140"/>
        <v>M3</v>
      </c>
      <c r="YQ33" s="6" t="str">
        <f t="shared" si="1140"/>
        <v>M3</v>
      </c>
      <c r="YR33" s="6" t="str">
        <f t="shared" si="1140"/>
        <v>M3</v>
      </c>
      <c r="YS33" s="6" t="str">
        <f t="shared" si="1140"/>
        <v>M3</v>
      </c>
      <c r="YT33" s="6" t="str">
        <f t="shared" si="1140"/>
        <v>M3</v>
      </c>
      <c r="YU33" s="6" t="str">
        <f t="shared" si="1140"/>
        <v>M3</v>
      </c>
      <c r="YV33" s="6" t="str">
        <f t="shared" si="1140"/>
        <v>M3</v>
      </c>
      <c r="YW33" s="6" t="str">
        <f t="shared" si="1140"/>
        <v>M3</v>
      </c>
      <c r="YX33" s="6" t="str">
        <f t="shared" si="1140"/>
        <v>M3</v>
      </c>
      <c r="YY33" s="6" t="str">
        <f t="shared" si="1140"/>
        <v>M3</v>
      </c>
      <c r="YZ33" s="6" t="str">
        <f t="shared" si="1140"/>
        <v>M3</v>
      </c>
      <c r="ZA33" s="6" t="str">
        <f t="shared" si="1140"/>
        <v>M4</v>
      </c>
      <c r="ZB33" s="6" t="str">
        <f t="shared" si="1140"/>
        <v>M1</v>
      </c>
      <c r="ZC33" s="6" t="str">
        <f t="shared" si="1140"/>
        <v>M1</v>
      </c>
      <c r="ZD33" s="6" t="str">
        <f t="shared" si="1140"/>
        <v>M1</v>
      </c>
      <c r="ZE33" s="6" t="str">
        <f t="shared" si="1140"/>
        <v>M1</v>
      </c>
      <c r="ZF33" s="6" t="str">
        <f t="shared" si="1140"/>
        <v>M1</v>
      </c>
      <c r="ZG33" s="6" t="str">
        <f t="shared" si="1140"/>
        <v>M1</v>
      </c>
      <c r="ZH33" s="6" t="str">
        <f t="shared" si="1140"/>
        <v>M1</v>
      </c>
      <c r="ZI33" s="6" t="str">
        <f t="shared" si="1140"/>
        <v>M1</v>
      </c>
      <c r="ZJ33" s="6" t="str">
        <f t="shared" si="1140"/>
        <v>M1</v>
      </c>
      <c r="ZK33" s="6" t="str">
        <f t="shared" si="1140"/>
        <v>M1</v>
      </c>
      <c r="ZL33" s="6" t="str">
        <f t="shared" si="1140"/>
        <v>M1</v>
      </c>
      <c r="ZM33" s="6" t="str">
        <f t="shared" si="1140"/>
        <v>M1</v>
      </c>
      <c r="ZN33" s="6" t="str">
        <f t="shared" si="1140"/>
        <v>M1</v>
      </c>
      <c r="ZO33" s="6" t="str">
        <f t="shared" si="1140"/>
        <v>M2</v>
      </c>
      <c r="ZP33" s="6" t="str">
        <f t="shared" si="1140"/>
        <v>M3</v>
      </c>
      <c r="ZQ33" s="6" t="str">
        <f t="shared" si="1140"/>
        <v>M3</v>
      </c>
      <c r="ZR33" s="6" t="str">
        <f t="shared" si="1140"/>
        <v>M3</v>
      </c>
      <c r="ZS33" s="6" t="str">
        <f t="shared" si="1140"/>
        <v>M3</v>
      </c>
      <c r="ZT33" s="6" t="str">
        <f t="shared" si="1140"/>
        <v>M0</v>
      </c>
      <c r="ZU33" s="6" t="str">
        <f t="shared" si="1140"/>
        <v>M0</v>
      </c>
      <c r="ZV33" s="6" t="str">
        <f t="shared" si="1140"/>
        <v>M0</v>
      </c>
      <c r="ZW33" s="6" t="str">
        <f t="shared" si="1140"/>
        <v>M0</v>
      </c>
      <c r="ZX33" s="6" t="str">
        <f t="shared" si="1140"/>
        <v>M0</v>
      </c>
      <c r="ZY33" s="6" t="str">
        <f t="shared" si="1140"/>
        <v>M0</v>
      </c>
      <c r="ZZ33" s="6" t="str">
        <f t="shared" si="1140"/>
        <v>M0</v>
      </c>
      <c r="AAA33" s="6" t="str">
        <f t="shared" si="1140"/>
        <v>M0</v>
      </c>
      <c r="AAB33" s="6" t="str">
        <f t="shared" si="1140"/>
        <v>M0</v>
      </c>
      <c r="AAC33" s="6" t="str">
        <f t="shared" si="1140"/>
        <v>M0</v>
      </c>
      <c r="AAD33" s="6" t="str">
        <f t="shared" si="1140"/>
        <v>M0</v>
      </c>
      <c r="AAE33" s="6" t="str">
        <f t="shared" si="1140"/>
        <v>M0</v>
      </c>
      <c r="AAF33" s="6" t="str">
        <f t="shared" si="1140"/>
        <v>M0</v>
      </c>
      <c r="AAG33" s="6" t="str">
        <f t="shared" ref="AAG33:ACR33" si="1141">IF(AAG$34="M0","M0", IF(AAG$35="M1","M1", IF(AAG$36="M2","M2", IF(AAG$37="M3","M3", IF(AAG$38="M4","M4", "!")))))</f>
        <v>M0</v>
      </c>
      <c r="AAH33" s="6" t="str">
        <f t="shared" si="1141"/>
        <v>M0</v>
      </c>
      <c r="AAI33" s="6" t="str">
        <f t="shared" si="1141"/>
        <v>M0</v>
      </c>
      <c r="AAJ33" s="6" t="str">
        <f t="shared" si="1141"/>
        <v>M0</v>
      </c>
      <c r="AAK33" s="6" t="str">
        <f t="shared" si="1141"/>
        <v>M0</v>
      </c>
      <c r="AAL33" s="6" t="str">
        <f t="shared" si="1141"/>
        <v>M0</v>
      </c>
      <c r="AAM33" s="6" t="str">
        <f t="shared" si="1141"/>
        <v>M0</v>
      </c>
      <c r="AAN33" s="6" t="str">
        <f t="shared" si="1141"/>
        <v>M0</v>
      </c>
      <c r="AAO33" s="6" t="str">
        <f t="shared" si="1141"/>
        <v>M0</v>
      </c>
      <c r="AAP33" s="6" t="str">
        <f t="shared" si="1141"/>
        <v>M0</v>
      </c>
      <c r="AAQ33" s="6" t="str">
        <f t="shared" si="1141"/>
        <v>M0</v>
      </c>
      <c r="AAR33" s="6" t="str">
        <f t="shared" si="1141"/>
        <v>M0</v>
      </c>
      <c r="AAS33" s="6" t="str">
        <f t="shared" si="1141"/>
        <v>M0</v>
      </c>
      <c r="AAT33" s="6" t="str">
        <f t="shared" si="1141"/>
        <v>M0</v>
      </c>
      <c r="AAU33" s="6" t="str">
        <f t="shared" si="1141"/>
        <v>M0</v>
      </c>
      <c r="AAV33" s="6" t="str">
        <f t="shared" si="1141"/>
        <v>M3</v>
      </c>
      <c r="AAW33" s="6" t="str">
        <f t="shared" si="1141"/>
        <v>M3</v>
      </c>
      <c r="AAX33" s="6" t="str">
        <f t="shared" si="1141"/>
        <v>M3</v>
      </c>
      <c r="AAY33" s="6" t="str">
        <f t="shared" si="1141"/>
        <v>M3</v>
      </c>
      <c r="AAZ33" s="6" t="str">
        <f t="shared" si="1141"/>
        <v>M3</v>
      </c>
      <c r="ABA33" s="6" t="str">
        <f t="shared" si="1141"/>
        <v>M3</v>
      </c>
      <c r="ABB33" s="6" t="str">
        <f t="shared" si="1141"/>
        <v>M3</v>
      </c>
      <c r="ABC33" s="6" t="str">
        <f t="shared" si="1141"/>
        <v>M3</v>
      </c>
      <c r="ABD33" s="6" t="str">
        <f t="shared" si="1141"/>
        <v>M3</v>
      </c>
      <c r="ABE33" s="6" t="str">
        <f t="shared" si="1141"/>
        <v>M3</v>
      </c>
      <c r="ABF33" s="6" t="str">
        <f t="shared" si="1141"/>
        <v>M3</v>
      </c>
      <c r="ABG33" s="6" t="str">
        <f t="shared" si="1141"/>
        <v>M3</v>
      </c>
      <c r="ABH33" s="6" t="str">
        <f t="shared" si="1141"/>
        <v>M3</v>
      </c>
      <c r="ABI33" s="6" t="str">
        <f t="shared" si="1141"/>
        <v>M3</v>
      </c>
      <c r="ABJ33" s="6" t="str">
        <f t="shared" si="1141"/>
        <v>M3</v>
      </c>
      <c r="ABK33" s="6" t="str">
        <f t="shared" si="1141"/>
        <v>M3</v>
      </c>
      <c r="ABL33" s="6" t="str">
        <f t="shared" si="1141"/>
        <v>M3</v>
      </c>
      <c r="ABM33" s="6" t="str">
        <f t="shared" si="1141"/>
        <v>M3</v>
      </c>
      <c r="ABN33" s="6" t="str">
        <f t="shared" si="1141"/>
        <v>M3</v>
      </c>
      <c r="ABO33" s="6" t="str">
        <f t="shared" si="1141"/>
        <v>M3</v>
      </c>
      <c r="ABP33" s="6" t="str">
        <f t="shared" si="1141"/>
        <v>M3</v>
      </c>
      <c r="ABQ33" s="6" t="str">
        <f t="shared" si="1141"/>
        <v>M3</v>
      </c>
      <c r="ABR33" s="6" t="str">
        <f t="shared" si="1141"/>
        <v>M3</v>
      </c>
      <c r="ABS33" s="6" t="str">
        <f t="shared" si="1141"/>
        <v>M3</v>
      </c>
      <c r="ABT33" s="6" t="str">
        <f t="shared" si="1141"/>
        <v>M3</v>
      </c>
      <c r="ABU33" s="6" t="str">
        <f t="shared" si="1141"/>
        <v>M4</v>
      </c>
      <c r="ABV33" s="6" t="str">
        <f t="shared" si="1141"/>
        <v>M1</v>
      </c>
      <c r="ABW33" s="6" t="str">
        <f t="shared" si="1141"/>
        <v>M1</v>
      </c>
      <c r="ABX33" s="6" t="str">
        <f t="shared" si="1141"/>
        <v>M1</v>
      </c>
      <c r="ABY33" s="6" t="str">
        <f t="shared" si="1141"/>
        <v>M1</v>
      </c>
      <c r="ABZ33" s="6" t="str">
        <f t="shared" si="1141"/>
        <v>M1</v>
      </c>
      <c r="ACA33" s="6" t="str">
        <f t="shared" si="1141"/>
        <v>M1</v>
      </c>
      <c r="ACB33" s="6" t="str">
        <f t="shared" si="1141"/>
        <v>M1</v>
      </c>
      <c r="ACC33" s="6" t="str">
        <f t="shared" si="1141"/>
        <v>M1</v>
      </c>
      <c r="ACD33" s="6" t="str">
        <f t="shared" si="1141"/>
        <v>M1</v>
      </c>
      <c r="ACE33" s="6" t="str">
        <f t="shared" si="1141"/>
        <v>M1</v>
      </c>
      <c r="ACF33" s="6" t="str">
        <f t="shared" si="1141"/>
        <v>M1</v>
      </c>
      <c r="ACG33" s="6" t="str">
        <f t="shared" si="1141"/>
        <v>M1</v>
      </c>
      <c r="ACH33" s="6" t="str">
        <f t="shared" si="1141"/>
        <v>M1</v>
      </c>
      <c r="ACI33" s="6" t="str">
        <f t="shared" si="1141"/>
        <v>M2</v>
      </c>
      <c r="ACJ33" s="6" t="str">
        <f t="shared" si="1141"/>
        <v>M3</v>
      </c>
      <c r="ACK33" s="6" t="str">
        <f t="shared" si="1141"/>
        <v>M3</v>
      </c>
      <c r="ACL33" s="6" t="str">
        <f t="shared" si="1141"/>
        <v>M3</v>
      </c>
      <c r="ACM33" s="6" t="str">
        <f t="shared" si="1141"/>
        <v>M3</v>
      </c>
      <c r="ACN33" s="6" t="str">
        <f t="shared" si="1141"/>
        <v>M3</v>
      </c>
      <c r="ACO33" s="6" t="str">
        <f t="shared" si="1141"/>
        <v>M3</v>
      </c>
      <c r="ACP33" s="6" t="str">
        <f t="shared" si="1141"/>
        <v>M3</v>
      </c>
      <c r="ACQ33" s="6" t="str">
        <f t="shared" si="1141"/>
        <v>M3</v>
      </c>
      <c r="ACR33" s="6" t="str">
        <f t="shared" si="1141"/>
        <v>M3</v>
      </c>
      <c r="ACS33" s="6" t="str">
        <f t="shared" ref="ACS33:AFD33" si="1142">IF(ACS$34="M0","M0", IF(ACS$35="M1","M1", IF(ACS$36="M2","M2", IF(ACS$37="M3","M3", IF(ACS$38="M4","M4", "!")))))</f>
        <v>M3</v>
      </c>
      <c r="ACT33" s="6" t="str">
        <f t="shared" si="1142"/>
        <v>M3</v>
      </c>
      <c r="ACU33" s="6" t="str">
        <f t="shared" si="1142"/>
        <v>M3</v>
      </c>
      <c r="ACV33" s="6" t="str">
        <f t="shared" si="1142"/>
        <v>M3</v>
      </c>
      <c r="ACW33" s="6" t="str">
        <f t="shared" si="1142"/>
        <v>M3</v>
      </c>
      <c r="ACX33" s="6" t="str">
        <f t="shared" si="1142"/>
        <v>M3</v>
      </c>
      <c r="ACY33" s="6" t="str">
        <f t="shared" si="1142"/>
        <v>M3</v>
      </c>
      <c r="ACZ33" s="6" t="str">
        <f t="shared" si="1142"/>
        <v>M3</v>
      </c>
      <c r="ADA33" s="6" t="str">
        <f t="shared" si="1142"/>
        <v>M4</v>
      </c>
      <c r="ADB33" s="6" t="str">
        <f t="shared" si="1142"/>
        <v>M1</v>
      </c>
      <c r="ADC33" s="6" t="str">
        <f t="shared" si="1142"/>
        <v>M1</v>
      </c>
      <c r="ADD33" s="6" t="str">
        <f t="shared" si="1142"/>
        <v>M1</v>
      </c>
      <c r="ADE33" s="6" t="str">
        <f t="shared" si="1142"/>
        <v>M1</v>
      </c>
      <c r="ADF33" s="6" t="str">
        <f t="shared" si="1142"/>
        <v>M1</v>
      </c>
      <c r="ADG33" s="6" t="str">
        <f t="shared" si="1142"/>
        <v>M1</v>
      </c>
      <c r="ADH33" s="6" t="str">
        <f t="shared" si="1142"/>
        <v>M1</v>
      </c>
      <c r="ADI33" s="6" t="str">
        <f t="shared" si="1142"/>
        <v>M1</v>
      </c>
      <c r="ADJ33" s="6" t="str">
        <f t="shared" si="1142"/>
        <v>M1</v>
      </c>
      <c r="ADK33" s="6" t="str">
        <f t="shared" si="1142"/>
        <v>M1</v>
      </c>
      <c r="ADL33" s="6" t="str">
        <f t="shared" si="1142"/>
        <v>M1</v>
      </c>
      <c r="ADM33" s="6" t="str">
        <f t="shared" si="1142"/>
        <v>M1</v>
      </c>
      <c r="ADN33" s="6" t="str">
        <f t="shared" si="1142"/>
        <v>M1</v>
      </c>
      <c r="ADO33" s="6" t="str">
        <f t="shared" si="1142"/>
        <v>M2</v>
      </c>
      <c r="ADP33" s="6" t="str">
        <f t="shared" si="1142"/>
        <v>M3</v>
      </c>
      <c r="ADQ33" s="6" t="str">
        <f t="shared" si="1142"/>
        <v>M3</v>
      </c>
      <c r="ADR33" s="6" t="str">
        <f t="shared" si="1142"/>
        <v>M3</v>
      </c>
      <c r="ADS33" s="6" t="str">
        <f t="shared" si="1142"/>
        <v>M3</v>
      </c>
      <c r="ADT33" s="6" t="str">
        <f t="shared" si="1142"/>
        <v>M3</v>
      </c>
      <c r="ADU33" s="6" t="str">
        <f t="shared" si="1142"/>
        <v>M3</v>
      </c>
      <c r="ADV33" s="6" t="str">
        <f t="shared" si="1142"/>
        <v>M3</v>
      </c>
      <c r="ADW33" s="6" t="str">
        <f t="shared" si="1142"/>
        <v>M3</v>
      </c>
      <c r="ADX33" s="6" t="str">
        <f t="shared" si="1142"/>
        <v>M3</v>
      </c>
      <c r="ADY33" s="6" t="str">
        <f t="shared" si="1142"/>
        <v>M3</v>
      </c>
      <c r="ADZ33" s="6" t="str">
        <f t="shared" si="1142"/>
        <v>M3</v>
      </c>
      <c r="AEA33" s="6" t="str">
        <f t="shared" si="1142"/>
        <v>M3</v>
      </c>
      <c r="AEB33" s="6" t="str">
        <f t="shared" si="1142"/>
        <v>M3</v>
      </c>
      <c r="AEC33" s="6" t="str">
        <f t="shared" si="1142"/>
        <v>M3</v>
      </c>
      <c r="AED33" s="6" t="str">
        <f t="shared" si="1142"/>
        <v>M3</v>
      </c>
      <c r="AEE33" s="6" t="str">
        <f t="shared" si="1142"/>
        <v>M3</v>
      </c>
      <c r="AEF33" s="6" t="str">
        <f t="shared" si="1142"/>
        <v>M3</v>
      </c>
      <c r="AEG33" s="6" t="str">
        <f t="shared" si="1142"/>
        <v>M3</v>
      </c>
      <c r="AEH33" s="6" t="str">
        <f t="shared" si="1142"/>
        <v>M3</v>
      </c>
      <c r="AEI33" s="6" t="str">
        <f t="shared" si="1142"/>
        <v>M3</v>
      </c>
      <c r="AEJ33" s="6" t="str">
        <f t="shared" si="1142"/>
        <v>M3</v>
      </c>
      <c r="AEK33" s="6" t="str">
        <f t="shared" si="1142"/>
        <v>M3</v>
      </c>
      <c r="AEL33" s="6" t="str">
        <f t="shared" si="1142"/>
        <v>M3</v>
      </c>
      <c r="AEM33" s="6" t="str">
        <f t="shared" si="1142"/>
        <v>M3</v>
      </c>
      <c r="AEN33" s="6" t="str">
        <f t="shared" si="1142"/>
        <v>M3</v>
      </c>
      <c r="AEO33" s="6" t="str">
        <f t="shared" si="1142"/>
        <v>M4</v>
      </c>
      <c r="AEP33" s="6" t="str">
        <f t="shared" si="1142"/>
        <v>M1</v>
      </c>
      <c r="AEQ33" s="6" t="str">
        <f t="shared" si="1142"/>
        <v>M1</v>
      </c>
      <c r="AER33" s="6" t="str">
        <f t="shared" si="1142"/>
        <v>M1</v>
      </c>
      <c r="AES33" s="6" t="str">
        <f t="shared" si="1142"/>
        <v>M1</v>
      </c>
      <c r="AET33" s="6" t="str">
        <f t="shared" si="1142"/>
        <v>M1</v>
      </c>
      <c r="AEU33" s="6" t="str">
        <f t="shared" si="1142"/>
        <v>M1</v>
      </c>
      <c r="AEV33" s="6" t="str">
        <f t="shared" si="1142"/>
        <v>M1</v>
      </c>
      <c r="AEW33" s="6" t="str">
        <f t="shared" si="1142"/>
        <v>M1</v>
      </c>
      <c r="AEX33" s="6" t="str">
        <f t="shared" si="1142"/>
        <v>M1</v>
      </c>
      <c r="AEY33" s="6" t="str">
        <f t="shared" si="1142"/>
        <v>M1</v>
      </c>
      <c r="AEZ33" s="6" t="str">
        <f t="shared" si="1142"/>
        <v>M1</v>
      </c>
      <c r="AFA33" s="6" t="str">
        <f t="shared" si="1142"/>
        <v>M1</v>
      </c>
      <c r="AFB33" s="6" t="str">
        <f t="shared" si="1142"/>
        <v>M1</v>
      </c>
      <c r="AFC33" s="6" t="str">
        <f t="shared" si="1142"/>
        <v>M2</v>
      </c>
      <c r="AFD33" s="6" t="str">
        <f t="shared" si="1142"/>
        <v>M3</v>
      </c>
      <c r="AFE33" s="6" t="str">
        <f t="shared" ref="AFE33:AHP33" si="1143">IF(AFE$34="M0","M0", IF(AFE$35="M1","M1", IF(AFE$36="M2","M2", IF(AFE$37="M3","M3", IF(AFE$38="M4","M4", "!")))))</f>
        <v>M3</v>
      </c>
      <c r="AFF33" s="6" t="str">
        <f t="shared" si="1143"/>
        <v>M3</v>
      </c>
      <c r="AFG33" s="6" t="str">
        <f t="shared" si="1143"/>
        <v>M3</v>
      </c>
      <c r="AFH33" s="6" t="str">
        <f t="shared" si="1143"/>
        <v>M0</v>
      </c>
      <c r="AFI33" s="6" t="str">
        <f t="shared" si="1143"/>
        <v>M0</v>
      </c>
      <c r="AFJ33" s="6" t="str">
        <f t="shared" si="1143"/>
        <v>M0</v>
      </c>
      <c r="AFK33" s="6" t="str">
        <f t="shared" si="1143"/>
        <v>M0</v>
      </c>
      <c r="AFL33" s="6" t="str">
        <f t="shared" si="1143"/>
        <v>M0</v>
      </c>
      <c r="AFM33" s="6" t="str">
        <f t="shared" si="1143"/>
        <v>M0</v>
      </c>
      <c r="AFN33" s="6" t="str">
        <f t="shared" si="1143"/>
        <v>M0</v>
      </c>
      <c r="AFO33" s="6" t="str">
        <f t="shared" si="1143"/>
        <v>M0</v>
      </c>
      <c r="AFP33" s="6" t="str">
        <f t="shared" si="1143"/>
        <v>M0</v>
      </c>
      <c r="AFQ33" s="6" t="str">
        <f t="shared" si="1143"/>
        <v>M0</v>
      </c>
      <c r="AFR33" s="6" t="str">
        <f t="shared" si="1143"/>
        <v>M0</v>
      </c>
      <c r="AFS33" s="6" t="str">
        <f t="shared" si="1143"/>
        <v>M0</v>
      </c>
      <c r="AFT33" s="6" t="str">
        <f t="shared" si="1143"/>
        <v>M0</v>
      </c>
      <c r="AFU33" s="6" t="str">
        <f t="shared" si="1143"/>
        <v>M0</v>
      </c>
      <c r="AFV33" s="6" t="str">
        <f t="shared" si="1143"/>
        <v>M0</v>
      </c>
      <c r="AFW33" s="6" t="str">
        <f t="shared" si="1143"/>
        <v>M0</v>
      </c>
      <c r="AFX33" s="6" t="str">
        <f t="shared" si="1143"/>
        <v>M0</v>
      </c>
      <c r="AFY33" s="6" t="str">
        <f t="shared" si="1143"/>
        <v>M0</v>
      </c>
      <c r="AFZ33" s="6" t="str">
        <f t="shared" si="1143"/>
        <v>M0</v>
      </c>
      <c r="AGA33" s="6" t="str">
        <f t="shared" si="1143"/>
        <v>M0</v>
      </c>
      <c r="AGB33" s="6" t="str">
        <f t="shared" si="1143"/>
        <v>M0</v>
      </c>
      <c r="AGC33" s="6" t="str">
        <f t="shared" si="1143"/>
        <v>M0</v>
      </c>
      <c r="AGD33" s="6" t="str">
        <f t="shared" si="1143"/>
        <v>M0</v>
      </c>
      <c r="AGE33" s="6" t="str">
        <f t="shared" si="1143"/>
        <v>M0</v>
      </c>
      <c r="AGF33" s="6" t="str">
        <f t="shared" si="1143"/>
        <v>M0</v>
      </c>
      <c r="AGG33" s="6" t="str">
        <f t="shared" si="1143"/>
        <v>M0</v>
      </c>
      <c r="AGH33" s="6" t="str">
        <f t="shared" si="1143"/>
        <v>M0</v>
      </c>
      <c r="AGI33" s="6" t="str">
        <f t="shared" si="1143"/>
        <v>M0</v>
      </c>
      <c r="AGJ33" s="6" t="str">
        <f t="shared" si="1143"/>
        <v>M3</v>
      </c>
      <c r="AGK33" s="6" t="str">
        <f t="shared" si="1143"/>
        <v>M3</v>
      </c>
      <c r="AGL33" s="6" t="str">
        <f t="shared" si="1143"/>
        <v>M3</v>
      </c>
      <c r="AGM33" s="6" t="str">
        <f t="shared" si="1143"/>
        <v>M3</v>
      </c>
      <c r="AGN33" s="6" t="str">
        <f t="shared" si="1143"/>
        <v>M3</v>
      </c>
      <c r="AGO33" s="6" t="str">
        <f t="shared" si="1143"/>
        <v>M3</v>
      </c>
      <c r="AGP33" s="6" t="str">
        <f t="shared" si="1143"/>
        <v>M3</v>
      </c>
      <c r="AGQ33" s="6" t="str">
        <f t="shared" si="1143"/>
        <v>M3</v>
      </c>
      <c r="AGR33" s="6" t="str">
        <f t="shared" si="1143"/>
        <v>M3</v>
      </c>
      <c r="AGS33" s="6" t="str">
        <f t="shared" si="1143"/>
        <v>M3</v>
      </c>
      <c r="AGT33" s="6" t="str">
        <f t="shared" si="1143"/>
        <v>M3</v>
      </c>
      <c r="AGU33" s="6" t="str">
        <f t="shared" si="1143"/>
        <v>M3</v>
      </c>
      <c r="AGV33" s="6" t="str">
        <f t="shared" si="1143"/>
        <v>M3</v>
      </c>
      <c r="AGW33" s="6" t="str">
        <f t="shared" si="1143"/>
        <v>M3</v>
      </c>
      <c r="AGX33" s="6" t="str">
        <f t="shared" si="1143"/>
        <v>M3</v>
      </c>
      <c r="AGY33" s="6" t="str">
        <f t="shared" si="1143"/>
        <v>M3</v>
      </c>
      <c r="AGZ33" s="6" t="str">
        <f t="shared" si="1143"/>
        <v>M3</v>
      </c>
      <c r="AHA33" s="6" t="str">
        <f t="shared" si="1143"/>
        <v>M3</v>
      </c>
      <c r="AHB33" s="6" t="str">
        <f t="shared" si="1143"/>
        <v>M3</v>
      </c>
      <c r="AHC33" s="6" t="str">
        <f t="shared" si="1143"/>
        <v>M3</v>
      </c>
      <c r="AHD33" s="6" t="str">
        <f t="shared" si="1143"/>
        <v>M3</v>
      </c>
      <c r="AHE33" s="6" t="str">
        <f t="shared" si="1143"/>
        <v>M3</v>
      </c>
      <c r="AHF33" s="6" t="str">
        <f t="shared" si="1143"/>
        <v>M3</v>
      </c>
      <c r="AHG33" s="6" t="str">
        <f t="shared" si="1143"/>
        <v>M3</v>
      </c>
      <c r="AHH33" s="6" t="str">
        <f t="shared" si="1143"/>
        <v>M3</v>
      </c>
      <c r="AHI33" s="6" t="str">
        <f t="shared" si="1143"/>
        <v>M4</v>
      </c>
      <c r="AHJ33" s="6" t="str">
        <f t="shared" si="1143"/>
        <v>M1</v>
      </c>
      <c r="AHK33" s="6" t="str">
        <f t="shared" si="1143"/>
        <v>M1</v>
      </c>
      <c r="AHL33" s="6" t="str">
        <f t="shared" si="1143"/>
        <v>M1</v>
      </c>
      <c r="AHM33" s="6" t="str">
        <f t="shared" si="1143"/>
        <v>M1</v>
      </c>
      <c r="AHN33" s="6" t="str">
        <f t="shared" si="1143"/>
        <v>M1</v>
      </c>
      <c r="AHO33" s="6" t="str">
        <f t="shared" si="1143"/>
        <v>M1</v>
      </c>
      <c r="AHP33" s="6" t="str">
        <f t="shared" si="1143"/>
        <v>M1</v>
      </c>
      <c r="AHQ33" s="6" t="str">
        <f t="shared" ref="AHQ33:AKB33" si="1144">IF(AHQ$34="M0","M0", IF(AHQ$35="M1","M1", IF(AHQ$36="M2","M2", IF(AHQ$37="M3","M3", IF(AHQ$38="M4","M4", "!")))))</f>
        <v>M1</v>
      </c>
      <c r="AHR33" s="6" t="str">
        <f t="shared" si="1144"/>
        <v>M1</v>
      </c>
      <c r="AHS33" s="6" t="str">
        <f t="shared" si="1144"/>
        <v>M1</v>
      </c>
      <c r="AHT33" s="6" t="str">
        <f t="shared" si="1144"/>
        <v>M1</v>
      </c>
      <c r="AHU33" s="6" t="str">
        <f t="shared" si="1144"/>
        <v>M1</v>
      </c>
      <c r="AHV33" s="6" t="str">
        <f t="shared" si="1144"/>
        <v>M1</v>
      </c>
      <c r="AHW33" s="6" t="str">
        <f t="shared" si="1144"/>
        <v>M2</v>
      </c>
      <c r="AHX33" s="6" t="str">
        <f t="shared" si="1144"/>
        <v>M3</v>
      </c>
      <c r="AHY33" s="6" t="str">
        <f t="shared" si="1144"/>
        <v>M3</v>
      </c>
      <c r="AHZ33" s="6" t="str">
        <f t="shared" si="1144"/>
        <v>M3</v>
      </c>
      <c r="AIA33" s="6" t="str">
        <f t="shared" si="1144"/>
        <v>M3</v>
      </c>
      <c r="AIB33" s="6" t="str">
        <f t="shared" si="1144"/>
        <v>M3</v>
      </c>
      <c r="AIC33" s="6" t="str">
        <f t="shared" si="1144"/>
        <v>M3</v>
      </c>
      <c r="AID33" s="6" t="str">
        <f t="shared" si="1144"/>
        <v>M3</v>
      </c>
      <c r="AIE33" s="6" t="str">
        <f t="shared" si="1144"/>
        <v>M3</v>
      </c>
      <c r="AIF33" s="6" t="str">
        <f t="shared" si="1144"/>
        <v>M3</v>
      </c>
      <c r="AIG33" s="6" t="str">
        <f t="shared" si="1144"/>
        <v>M3</v>
      </c>
      <c r="AIH33" s="6" t="str">
        <f t="shared" si="1144"/>
        <v>M3</v>
      </c>
      <c r="AII33" s="6" t="str">
        <f t="shared" si="1144"/>
        <v>M3</v>
      </c>
      <c r="AIJ33" s="6" t="str">
        <f t="shared" si="1144"/>
        <v>M3</v>
      </c>
      <c r="AIK33" s="6" t="str">
        <f t="shared" si="1144"/>
        <v>M3</v>
      </c>
      <c r="AIL33" s="6" t="str">
        <f t="shared" si="1144"/>
        <v>M3</v>
      </c>
      <c r="AIM33" s="6" t="str">
        <f t="shared" si="1144"/>
        <v>M3</v>
      </c>
      <c r="AIN33" s="6" t="str">
        <f t="shared" si="1144"/>
        <v>M3</v>
      </c>
      <c r="AIO33" s="6" t="str">
        <f t="shared" si="1144"/>
        <v>M4</v>
      </c>
      <c r="AIP33" s="6" t="str">
        <f t="shared" si="1144"/>
        <v>M1</v>
      </c>
      <c r="AIQ33" s="6" t="str">
        <f t="shared" si="1144"/>
        <v>M1</v>
      </c>
      <c r="AIR33" s="6" t="str">
        <f t="shared" si="1144"/>
        <v>M1</v>
      </c>
      <c r="AIS33" s="6" t="str">
        <f t="shared" si="1144"/>
        <v>M1</v>
      </c>
      <c r="AIT33" s="6" t="str">
        <f t="shared" si="1144"/>
        <v>M1</v>
      </c>
      <c r="AIU33" s="6" t="str">
        <f t="shared" si="1144"/>
        <v>M1</v>
      </c>
      <c r="AIV33" s="6" t="str">
        <f t="shared" si="1144"/>
        <v>M1</v>
      </c>
      <c r="AIW33" s="6" t="str">
        <f t="shared" si="1144"/>
        <v>M1</v>
      </c>
      <c r="AIX33" s="6" t="str">
        <f t="shared" si="1144"/>
        <v>M1</v>
      </c>
      <c r="AIY33" s="6" t="str">
        <f t="shared" si="1144"/>
        <v>M1</v>
      </c>
      <c r="AIZ33" s="6" t="str">
        <f t="shared" si="1144"/>
        <v>M1</v>
      </c>
      <c r="AJA33" s="6" t="str">
        <f t="shared" si="1144"/>
        <v>M1</v>
      </c>
      <c r="AJB33" s="6" t="str">
        <f t="shared" si="1144"/>
        <v>M1</v>
      </c>
      <c r="AJC33" s="6" t="str">
        <f t="shared" si="1144"/>
        <v>M2</v>
      </c>
      <c r="AJD33" s="6" t="str">
        <f t="shared" si="1144"/>
        <v>M3</v>
      </c>
      <c r="AJE33" s="6" t="str">
        <f t="shared" si="1144"/>
        <v>M3</v>
      </c>
      <c r="AJF33" s="6" t="str">
        <f t="shared" si="1144"/>
        <v>M3</v>
      </c>
      <c r="AJG33" s="6" t="str">
        <f t="shared" si="1144"/>
        <v>M3</v>
      </c>
      <c r="AJH33" s="6" t="str">
        <f t="shared" si="1144"/>
        <v>M3</v>
      </c>
      <c r="AJI33" s="6" t="str">
        <f t="shared" si="1144"/>
        <v>M3</v>
      </c>
      <c r="AJJ33" s="6" t="str">
        <f t="shared" si="1144"/>
        <v>M3</v>
      </c>
      <c r="AJK33" s="6" t="str">
        <f t="shared" si="1144"/>
        <v>M3</v>
      </c>
      <c r="AJL33" s="6" t="str">
        <f t="shared" si="1144"/>
        <v>M3</v>
      </c>
      <c r="AJM33" s="6" t="str">
        <f t="shared" si="1144"/>
        <v>M3</v>
      </c>
      <c r="AJN33" s="6" t="str">
        <f t="shared" si="1144"/>
        <v>M3</v>
      </c>
      <c r="AJO33" s="6" t="str">
        <f t="shared" si="1144"/>
        <v>M3</v>
      </c>
      <c r="AJP33" s="6" t="str">
        <f t="shared" si="1144"/>
        <v>M3</v>
      </c>
      <c r="AJQ33" s="6" t="str">
        <f t="shared" si="1144"/>
        <v>M3</v>
      </c>
      <c r="AJR33" s="6" t="str">
        <f t="shared" si="1144"/>
        <v>M3</v>
      </c>
      <c r="AJS33" s="6" t="str">
        <f t="shared" si="1144"/>
        <v>M3</v>
      </c>
      <c r="AJT33" s="6" t="str">
        <f t="shared" si="1144"/>
        <v>M3</v>
      </c>
      <c r="AJU33" s="6" t="str">
        <f t="shared" si="1144"/>
        <v>M3</v>
      </c>
      <c r="AJV33" s="6" t="str">
        <f t="shared" si="1144"/>
        <v>M3</v>
      </c>
      <c r="AJW33" s="6" t="str">
        <f t="shared" si="1144"/>
        <v>M3</v>
      </c>
      <c r="AJX33" s="6" t="str">
        <f t="shared" si="1144"/>
        <v>M3</v>
      </c>
      <c r="AJY33" s="6" t="str">
        <f t="shared" si="1144"/>
        <v>M3</v>
      </c>
      <c r="AJZ33" s="6" t="str">
        <f t="shared" si="1144"/>
        <v>M3</v>
      </c>
      <c r="AKA33" s="6" t="str">
        <f t="shared" si="1144"/>
        <v>M3</v>
      </c>
      <c r="AKB33" s="6" t="str">
        <f t="shared" si="1144"/>
        <v>M3</v>
      </c>
      <c r="AKC33" s="6" t="str">
        <f t="shared" ref="AKC33:ALW33" si="1145">IF(AKC$34="M0","M0", IF(AKC$35="M1","M1", IF(AKC$36="M2","M2", IF(AKC$37="M3","M3", IF(AKC$38="M4","M4", "!")))))</f>
        <v>M4</v>
      </c>
      <c r="AKD33" s="6" t="str">
        <f t="shared" si="1145"/>
        <v>M1</v>
      </c>
      <c r="AKE33" s="6" t="str">
        <f t="shared" si="1145"/>
        <v>M1</v>
      </c>
      <c r="AKF33" s="6" t="str">
        <f t="shared" si="1145"/>
        <v>M1</v>
      </c>
      <c r="AKG33" s="6" t="str">
        <f t="shared" si="1145"/>
        <v>M1</v>
      </c>
      <c r="AKH33" s="6" t="str">
        <f t="shared" si="1145"/>
        <v>M1</v>
      </c>
      <c r="AKI33" s="6" t="str">
        <f t="shared" si="1145"/>
        <v>M1</v>
      </c>
      <c r="AKJ33" s="6" t="str">
        <f t="shared" si="1145"/>
        <v>M1</v>
      </c>
      <c r="AKK33" s="6" t="str">
        <f t="shared" si="1145"/>
        <v>M1</v>
      </c>
      <c r="AKL33" s="6" t="str">
        <f t="shared" si="1145"/>
        <v>M1</v>
      </c>
      <c r="AKM33" s="6" t="str">
        <f t="shared" si="1145"/>
        <v>M1</v>
      </c>
      <c r="AKN33" s="6" t="str">
        <f t="shared" si="1145"/>
        <v>M1</v>
      </c>
      <c r="AKO33" s="6" t="str">
        <f t="shared" si="1145"/>
        <v>M1</v>
      </c>
      <c r="AKP33" s="6" t="str">
        <f t="shared" si="1145"/>
        <v>M1</v>
      </c>
      <c r="AKQ33" s="6" t="str">
        <f t="shared" si="1145"/>
        <v>M2</v>
      </c>
      <c r="AKR33" s="6" t="str">
        <f t="shared" si="1145"/>
        <v>M3</v>
      </c>
      <c r="AKS33" s="6" t="str">
        <f t="shared" si="1145"/>
        <v>M3</v>
      </c>
      <c r="AKT33" s="6" t="str">
        <f t="shared" si="1145"/>
        <v>M3</v>
      </c>
      <c r="AKU33" s="6" t="str">
        <f t="shared" si="1145"/>
        <v>M3</v>
      </c>
      <c r="AKV33" s="6" t="str">
        <f t="shared" si="1145"/>
        <v>M0</v>
      </c>
      <c r="AKW33" s="6" t="str">
        <f t="shared" si="1145"/>
        <v>M0</v>
      </c>
      <c r="AKX33" s="6" t="str">
        <f t="shared" si="1145"/>
        <v>M0</v>
      </c>
      <c r="AKY33" s="6" t="str">
        <f t="shared" si="1145"/>
        <v>M0</v>
      </c>
      <c r="AKZ33" s="6" t="str">
        <f t="shared" si="1145"/>
        <v>M0</v>
      </c>
      <c r="ALA33" s="6" t="str">
        <f t="shared" si="1145"/>
        <v>M0</v>
      </c>
      <c r="ALB33" s="6" t="str">
        <f t="shared" si="1145"/>
        <v>M0</v>
      </c>
      <c r="ALC33" s="6" t="str">
        <f t="shared" si="1145"/>
        <v>M0</v>
      </c>
      <c r="ALD33" s="6" t="str">
        <f t="shared" si="1145"/>
        <v>M0</v>
      </c>
      <c r="ALE33" s="6" t="str">
        <f t="shared" si="1145"/>
        <v>M0</v>
      </c>
      <c r="ALF33" s="6" t="str">
        <f t="shared" si="1145"/>
        <v>M0</v>
      </c>
      <c r="ALG33" s="6" t="str">
        <f t="shared" si="1145"/>
        <v>M0</v>
      </c>
      <c r="ALH33" s="6" t="str">
        <f t="shared" si="1145"/>
        <v>M0</v>
      </c>
      <c r="ALI33" s="6" t="str">
        <f t="shared" si="1145"/>
        <v>M0</v>
      </c>
      <c r="ALJ33" s="6" t="str">
        <f t="shared" si="1145"/>
        <v>M0</v>
      </c>
      <c r="ALK33" s="6" t="str">
        <f t="shared" si="1145"/>
        <v>M0</v>
      </c>
      <c r="ALL33" s="6" t="str">
        <f t="shared" si="1145"/>
        <v>M0</v>
      </c>
      <c r="ALM33" s="6" t="str">
        <f t="shared" si="1145"/>
        <v>M0</v>
      </c>
      <c r="ALN33" s="6" t="str">
        <f t="shared" si="1145"/>
        <v>M0</v>
      </c>
      <c r="ALO33" s="6" t="str">
        <f t="shared" si="1145"/>
        <v>M0</v>
      </c>
      <c r="ALP33" s="6" t="str">
        <f t="shared" si="1145"/>
        <v>M0</v>
      </c>
      <c r="ALQ33" s="6" t="str">
        <f t="shared" si="1145"/>
        <v>M0</v>
      </c>
      <c r="ALR33" s="6" t="str">
        <f t="shared" si="1145"/>
        <v>M0</v>
      </c>
      <c r="ALS33" s="6" t="str">
        <f t="shared" si="1145"/>
        <v>M0</v>
      </c>
      <c r="ALT33" s="6" t="str">
        <f t="shared" si="1145"/>
        <v>M0</v>
      </c>
      <c r="ALU33" s="6" t="str">
        <f t="shared" si="1145"/>
        <v>M0</v>
      </c>
      <c r="ALV33" s="6" t="str">
        <f t="shared" si="1145"/>
        <v>M0</v>
      </c>
      <c r="ALW33" s="6" t="str">
        <f t="shared" si="1145"/>
        <v>M0</v>
      </c>
    </row>
    <row r="34" spans="2:1011" outlineLevel="1" x14ac:dyDescent="0.25">
      <c r="C34" s="5" t="s">
        <v>6</v>
      </c>
      <c r="D34" s="6" t="str">
        <f>IF(OR(D$35="M1", D36="M2",D37="M3",D38="M4"),"", "M0")</f>
        <v/>
      </c>
      <c r="E34" s="6" t="str">
        <f t="shared" ref="E34:BH34" si="1146">IF(OR(E$35="M1", E36="M2",E37="M3",E38="M4"),"", "M0")</f>
        <v/>
      </c>
      <c r="F34" s="6" t="str">
        <f t="shared" si="1146"/>
        <v/>
      </c>
      <c r="G34" s="6" t="str">
        <f t="shared" si="1146"/>
        <v/>
      </c>
      <c r="H34" s="6" t="str">
        <f t="shared" si="1146"/>
        <v/>
      </c>
      <c r="I34" s="6" t="str">
        <f t="shared" si="1146"/>
        <v/>
      </c>
      <c r="J34" s="6" t="str">
        <f t="shared" si="1146"/>
        <v/>
      </c>
      <c r="K34" s="6" t="str">
        <f t="shared" si="1146"/>
        <v/>
      </c>
      <c r="L34" s="6" t="str">
        <f t="shared" si="1146"/>
        <v/>
      </c>
      <c r="M34" s="6" t="str">
        <f t="shared" si="1146"/>
        <v/>
      </c>
      <c r="N34" s="6" t="str">
        <f t="shared" si="1146"/>
        <v/>
      </c>
      <c r="O34" s="6" t="str">
        <f t="shared" si="1146"/>
        <v/>
      </c>
      <c r="P34" s="6" t="str">
        <f t="shared" si="1146"/>
        <v/>
      </c>
      <c r="Q34" s="6" t="str">
        <f t="shared" si="1146"/>
        <v/>
      </c>
      <c r="R34" s="6" t="str">
        <f t="shared" si="1146"/>
        <v/>
      </c>
      <c r="S34" s="6" t="str">
        <f t="shared" si="1146"/>
        <v/>
      </c>
      <c r="T34" s="6" t="str">
        <f t="shared" si="1146"/>
        <v/>
      </c>
      <c r="U34" s="6" t="str">
        <f t="shared" si="1146"/>
        <v/>
      </c>
      <c r="V34" s="6" t="str">
        <f t="shared" si="1146"/>
        <v/>
      </c>
      <c r="W34" s="6" t="str">
        <f t="shared" si="1146"/>
        <v/>
      </c>
      <c r="X34" s="6" t="str">
        <f t="shared" si="1146"/>
        <v/>
      </c>
      <c r="Y34" s="6" t="str">
        <f t="shared" si="1146"/>
        <v/>
      </c>
      <c r="Z34" s="6" t="str">
        <f t="shared" si="1146"/>
        <v/>
      </c>
      <c r="AA34" s="6" t="str">
        <f t="shared" si="1146"/>
        <v/>
      </c>
      <c r="AB34" s="6" t="str">
        <f t="shared" si="1146"/>
        <v/>
      </c>
      <c r="AC34" s="6" t="str">
        <f t="shared" si="1146"/>
        <v/>
      </c>
      <c r="AD34" s="6" t="str">
        <f t="shared" si="1146"/>
        <v/>
      </c>
      <c r="AE34" s="6" t="str">
        <f t="shared" si="1146"/>
        <v/>
      </c>
      <c r="AF34" s="6" t="str">
        <f t="shared" si="1146"/>
        <v/>
      </c>
      <c r="AG34" s="6" t="str">
        <f t="shared" si="1146"/>
        <v/>
      </c>
      <c r="AH34" s="6" t="str">
        <f t="shared" si="1146"/>
        <v/>
      </c>
      <c r="AI34" s="6" t="str">
        <f t="shared" si="1146"/>
        <v/>
      </c>
      <c r="AJ34" s="6" t="str">
        <f t="shared" si="1146"/>
        <v/>
      </c>
      <c r="AK34" s="6" t="str">
        <f t="shared" si="1146"/>
        <v/>
      </c>
      <c r="AL34" s="6" t="str">
        <f t="shared" si="1146"/>
        <v/>
      </c>
      <c r="AM34" s="6" t="str">
        <f t="shared" si="1146"/>
        <v/>
      </c>
      <c r="AN34" s="6" t="str">
        <f t="shared" si="1146"/>
        <v/>
      </c>
      <c r="AO34" s="6" t="str">
        <f t="shared" si="1146"/>
        <v/>
      </c>
      <c r="AP34" s="6" t="str">
        <f t="shared" si="1146"/>
        <v/>
      </c>
      <c r="AQ34" s="6" t="str">
        <f t="shared" si="1146"/>
        <v/>
      </c>
      <c r="AR34" s="6" t="str">
        <f t="shared" si="1146"/>
        <v/>
      </c>
      <c r="AS34" s="6" t="str">
        <f t="shared" si="1146"/>
        <v/>
      </c>
      <c r="AT34" s="6" t="str">
        <f t="shared" si="1146"/>
        <v/>
      </c>
      <c r="AU34" s="6" t="str">
        <f t="shared" si="1146"/>
        <v/>
      </c>
      <c r="AV34" s="6" t="str">
        <f t="shared" si="1146"/>
        <v/>
      </c>
      <c r="AW34" s="6" t="str">
        <f t="shared" si="1146"/>
        <v/>
      </c>
      <c r="AX34" s="6" t="str">
        <f t="shared" si="1146"/>
        <v/>
      </c>
      <c r="AY34" s="6" t="str">
        <f t="shared" si="1146"/>
        <v/>
      </c>
      <c r="AZ34" s="6" t="str">
        <f t="shared" si="1146"/>
        <v/>
      </c>
      <c r="BA34" s="6" t="str">
        <f t="shared" si="1146"/>
        <v/>
      </c>
      <c r="BB34" s="6" t="str">
        <f t="shared" si="1146"/>
        <v/>
      </c>
      <c r="BC34" s="6" t="str">
        <f t="shared" si="1146"/>
        <v/>
      </c>
      <c r="BD34" s="6" t="str">
        <f t="shared" si="1146"/>
        <v/>
      </c>
      <c r="BE34" s="6" t="str">
        <f t="shared" si="1146"/>
        <v/>
      </c>
      <c r="BF34" s="6" t="str">
        <f t="shared" si="1146"/>
        <v/>
      </c>
      <c r="BG34" s="6" t="str">
        <f t="shared" si="1146"/>
        <v/>
      </c>
      <c r="BH34" s="6" t="str">
        <f t="shared" si="1146"/>
        <v/>
      </c>
      <c r="BI34" s="6" t="str">
        <f t="shared" ref="BI34:BW34" si="1147">IF(OR(BI$35="M1", BI36="M2",BI37="M3",BI38="M4"),"", "M0")</f>
        <v/>
      </c>
      <c r="BJ34" s="6" t="str">
        <f t="shared" si="1147"/>
        <v/>
      </c>
      <c r="BK34" s="6" t="str">
        <f t="shared" si="1147"/>
        <v/>
      </c>
      <c r="BL34" s="6" t="str">
        <f t="shared" si="1147"/>
        <v/>
      </c>
      <c r="BM34" s="6" t="str">
        <f t="shared" si="1147"/>
        <v/>
      </c>
      <c r="BN34" s="6" t="str">
        <f t="shared" si="1147"/>
        <v/>
      </c>
      <c r="BO34" s="6" t="str">
        <f t="shared" si="1147"/>
        <v/>
      </c>
      <c r="BP34" s="6" t="str">
        <f t="shared" si="1147"/>
        <v/>
      </c>
      <c r="BQ34" s="6" t="str">
        <f t="shared" si="1147"/>
        <v/>
      </c>
      <c r="BR34" s="6" t="str">
        <f t="shared" si="1147"/>
        <v/>
      </c>
      <c r="BS34" s="6" t="str">
        <f t="shared" si="1147"/>
        <v/>
      </c>
      <c r="BT34" s="6" t="str">
        <f t="shared" si="1147"/>
        <v/>
      </c>
      <c r="BU34" s="6" t="str">
        <f t="shared" si="1147"/>
        <v/>
      </c>
      <c r="BV34" s="6" t="str">
        <f t="shared" si="1147"/>
        <v/>
      </c>
      <c r="BW34" s="6" t="str">
        <f t="shared" si="1147"/>
        <v/>
      </c>
      <c r="BX34" s="6" t="str">
        <f t="shared" ref="BX34:EB34" si="1148">IF(OR(BX$35="M1", BX36="M2",BX37="M3",BX38="M4"),"", "M0")</f>
        <v/>
      </c>
      <c r="BY34" s="6" t="str">
        <f t="shared" si="1148"/>
        <v/>
      </c>
      <c r="BZ34" s="6" t="str">
        <f t="shared" si="1148"/>
        <v/>
      </c>
      <c r="CA34" s="6" t="str">
        <f t="shared" si="1148"/>
        <v/>
      </c>
      <c r="CB34" s="6" t="str">
        <f t="shared" si="1148"/>
        <v/>
      </c>
      <c r="CC34" s="6" t="str">
        <f t="shared" si="1148"/>
        <v/>
      </c>
      <c r="CD34" s="6" t="str">
        <f t="shared" si="1148"/>
        <v/>
      </c>
      <c r="CE34" s="6" t="str">
        <f t="shared" si="1148"/>
        <v/>
      </c>
      <c r="CF34" s="6" t="str">
        <f t="shared" si="1148"/>
        <v/>
      </c>
      <c r="CG34" s="6" t="str">
        <f t="shared" si="1148"/>
        <v/>
      </c>
      <c r="CH34" s="6" t="str">
        <f t="shared" si="1148"/>
        <v/>
      </c>
      <c r="CI34" s="6" t="str">
        <f t="shared" si="1148"/>
        <v/>
      </c>
      <c r="CJ34" s="6" t="str">
        <f t="shared" si="1148"/>
        <v/>
      </c>
      <c r="CK34" s="6" t="str">
        <f t="shared" si="1148"/>
        <v/>
      </c>
      <c r="CL34" s="6" t="str">
        <f t="shared" si="1148"/>
        <v/>
      </c>
      <c r="CM34" s="6" t="str">
        <f t="shared" si="1148"/>
        <v/>
      </c>
      <c r="CN34" s="6" t="str">
        <f t="shared" si="1148"/>
        <v/>
      </c>
      <c r="CO34" s="6" t="str">
        <f t="shared" si="1148"/>
        <v/>
      </c>
      <c r="CP34" s="6" t="str">
        <f t="shared" si="1148"/>
        <v/>
      </c>
      <c r="CQ34" s="6" t="str">
        <f t="shared" si="1148"/>
        <v/>
      </c>
      <c r="CR34" s="6" t="str">
        <f t="shared" si="1148"/>
        <v/>
      </c>
      <c r="CS34" s="6" t="str">
        <f t="shared" si="1148"/>
        <v/>
      </c>
      <c r="CT34" s="6" t="str">
        <f t="shared" si="1148"/>
        <v/>
      </c>
      <c r="CU34" s="6" t="str">
        <f t="shared" si="1148"/>
        <v/>
      </c>
      <c r="CV34" s="6" t="str">
        <f t="shared" si="1148"/>
        <v/>
      </c>
      <c r="CW34" s="6" t="str">
        <f t="shared" si="1148"/>
        <v/>
      </c>
      <c r="CX34" s="6" t="str">
        <f t="shared" si="1148"/>
        <v/>
      </c>
      <c r="CY34" s="6" t="str">
        <f t="shared" si="1148"/>
        <v/>
      </c>
      <c r="CZ34" s="6" t="str">
        <f t="shared" si="1148"/>
        <v/>
      </c>
      <c r="DA34" s="6" t="str">
        <f t="shared" si="1148"/>
        <v/>
      </c>
      <c r="DB34" s="6" t="str">
        <f t="shared" si="1148"/>
        <v/>
      </c>
      <c r="DC34" s="6" t="str">
        <f t="shared" si="1148"/>
        <v/>
      </c>
      <c r="DD34" s="6" t="str">
        <f t="shared" si="1148"/>
        <v/>
      </c>
      <c r="DE34" s="6" t="str">
        <f t="shared" si="1148"/>
        <v/>
      </c>
      <c r="DF34" s="6" t="str">
        <f t="shared" si="1148"/>
        <v/>
      </c>
      <c r="DG34" s="6" t="str">
        <f t="shared" si="1148"/>
        <v/>
      </c>
      <c r="DH34" s="6" t="str">
        <f t="shared" si="1148"/>
        <v/>
      </c>
      <c r="DI34" s="6" t="str">
        <f t="shared" si="1148"/>
        <v/>
      </c>
      <c r="DJ34" s="6" t="str">
        <f t="shared" si="1148"/>
        <v/>
      </c>
      <c r="DK34" s="6" t="str">
        <f t="shared" si="1148"/>
        <v/>
      </c>
      <c r="DL34" s="6" t="str">
        <f t="shared" si="1148"/>
        <v/>
      </c>
      <c r="DM34" s="6" t="str">
        <f t="shared" si="1148"/>
        <v/>
      </c>
      <c r="DN34" s="6" t="str">
        <f t="shared" si="1148"/>
        <v/>
      </c>
      <c r="DO34" s="6" t="str">
        <f t="shared" si="1148"/>
        <v/>
      </c>
      <c r="DP34" s="6" t="str">
        <f t="shared" si="1148"/>
        <v>M0</v>
      </c>
      <c r="DQ34" s="6" t="str">
        <f t="shared" si="1148"/>
        <v>M0</v>
      </c>
      <c r="DR34" s="6" t="str">
        <f t="shared" si="1148"/>
        <v>M0</v>
      </c>
      <c r="DS34" s="6" t="str">
        <f t="shared" si="1148"/>
        <v>M0</v>
      </c>
      <c r="DT34" s="6" t="str">
        <f t="shared" si="1148"/>
        <v>M0</v>
      </c>
      <c r="DU34" s="6" t="str">
        <f t="shared" si="1148"/>
        <v>M0</v>
      </c>
      <c r="DV34" s="6" t="str">
        <f t="shared" si="1148"/>
        <v>M0</v>
      </c>
      <c r="DW34" s="6" t="str">
        <f t="shared" si="1148"/>
        <v>M0</v>
      </c>
      <c r="DX34" s="6" t="str">
        <f t="shared" si="1148"/>
        <v>M0</v>
      </c>
      <c r="DY34" s="6" t="str">
        <f t="shared" si="1148"/>
        <v>M0</v>
      </c>
      <c r="DZ34" s="6" t="str">
        <f t="shared" si="1148"/>
        <v>M0</v>
      </c>
      <c r="EA34" s="6" t="str">
        <f t="shared" si="1148"/>
        <v>M0</v>
      </c>
      <c r="EB34" s="6" t="str">
        <f t="shared" si="1148"/>
        <v>M0</v>
      </c>
      <c r="EC34" s="6" t="str">
        <f t="shared" ref="EC34:GN34" si="1149">IF(OR(EC$35="M1", EC36="M2",EC37="M3",EC38="M4"),"", "M0")</f>
        <v>M0</v>
      </c>
      <c r="ED34" s="6" t="str">
        <f t="shared" si="1149"/>
        <v>M0</v>
      </c>
      <c r="EE34" s="6" t="str">
        <f t="shared" si="1149"/>
        <v>M0</v>
      </c>
      <c r="EF34" s="6" t="str">
        <f t="shared" si="1149"/>
        <v>M0</v>
      </c>
      <c r="EG34" s="6" t="str">
        <f t="shared" si="1149"/>
        <v>M0</v>
      </c>
      <c r="EH34" s="6" t="str">
        <f t="shared" si="1149"/>
        <v>M0</v>
      </c>
      <c r="EI34" s="6" t="str">
        <f t="shared" si="1149"/>
        <v>M0</v>
      </c>
      <c r="EJ34" s="6" t="str">
        <f t="shared" si="1149"/>
        <v>M0</v>
      </c>
      <c r="EK34" s="6" t="str">
        <f t="shared" si="1149"/>
        <v>M0</v>
      </c>
      <c r="EL34" s="6" t="str">
        <f t="shared" si="1149"/>
        <v>M0</v>
      </c>
      <c r="EM34" s="6" t="str">
        <f t="shared" si="1149"/>
        <v>M0</v>
      </c>
      <c r="EN34" s="6" t="str">
        <f t="shared" si="1149"/>
        <v>M0</v>
      </c>
      <c r="EO34" s="6" t="str">
        <f t="shared" si="1149"/>
        <v>M0</v>
      </c>
      <c r="EP34" s="6" t="str">
        <f t="shared" si="1149"/>
        <v>M0</v>
      </c>
      <c r="EQ34" s="6" t="str">
        <f t="shared" si="1149"/>
        <v>M0</v>
      </c>
      <c r="ER34" s="6" t="str">
        <f t="shared" si="1149"/>
        <v>M0</v>
      </c>
      <c r="ES34" s="6" t="str">
        <f t="shared" si="1149"/>
        <v>M0</v>
      </c>
      <c r="ET34" s="6" t="str">
        <f t="shared" si="1149"/>
        <v>M0</v>
      </c>
      <c r="EU34" s="6" t="str">
        <f t="shared" si="1149"/>
        <v>M0</v>
      </c>
      <c r="EV34" s="6" t="str">
        <f t="shared" si="1149"/>
        <v>M0</v>
      </c>
      <c r="EW34" s="6" t="str">
        <f t="shared" si="1149"/>
        <v>M0</v>
      </c>
      <c r="EX34" s="6" t="str">
        <f t="shared" si="1149"/>
        <v>M0</v>
      </c>
      <c r="EY34" s="6" t="str">
        <f t="shared" si="1149"/>
        <v>M0</v>
      </c>
      <c r="EZ34" s="6" t="str">
        <f t="shared" si="1149"/>
        <v>M0</v>
      </c>
      <c r="FA34" s="6" t="str">
        <f t="shared" si="1149"/>
        <v>M0</v>
      </c>
      <c r="FB34" s="6" t="str">
        <f t="shared" si="1149"/>
        <v>M0</v>
      </c>
      <c r="FC34" s="6" t="str">
        <f t="shared" si="1149"/>
        <v>M0</v>
      </c>
      <c r="FD34" s="6" t="str">
        <f t="shared" si="1149"/>
        <v>M0</v>
      </c>
      <c r="FE34" s="6" t="str">
        <f t="shared" si="1149"/>
        <v>M0</v>
      </c>
      <c r="FF34" s="6" t="str">
        <f t="shared" si="1149"/>
        <v>M0</v>
      </c>
      <c r="FG34" s="6" t="str">
        <f t="shared" si="1149"/>
        <v>M0</v>
      </c>
      <c r="FH34" s="6" t="str">
        <f t="shared" si="1149"/>
        <v>M0</v>
      </c>
      <c r="FI34" s="6" t="str">
        <f t="shared" si="1149"/>
        <v>M0</v>
      </c>
      <c r="FJ34" s="6" t="str">
        <f t="shared" si="1149"/>
        <v>M0</v>
      </c>
      <c r="FK34" s="6" t="str">
        <f t="shared" si="1149"/>
        <v>M0</v>
      </c>
      <c r="FL34" s="6" t="str">
        <f t="shared" si="1149"/>
        <v>M0</v>
      </c>
      <c r="FM34" s="6" t="str">
        <f t="shared" si="1149"/>
        <v>M0</v>
      </c>
      <c r="FN34" s="6" t="str">
        <f t="shared" si="1149"/>
        <v>M0</v>
      </c>
      <c r="FO34" s="6" t="str">
        <f t="shared" si="1149"/>
        <v>M0</v>
      </c>
      <c r="FP34" s="6" t="str">
        <f t="shared" si="1149"/>
        <v>M0</v>
      </c>
      <c r="FQ34" s="6" t="str">
        <f t="shared" si="1149"/>
        <v>M0</v>
      </c>
      <c r="FR34" s="6" t="str">
        <f t="shared" si="1149"/>
        <v>M0</v>
      </c>
      <c r="FS34" s="6" t="str">
        <f t="shared" si="1149"/>
        <v>M0</v>
      </c>
      <c r="FT34" s="6" t="str">
        <f t="shared" si="1149"/>
        <v>M0</v>
      </c>
      <c r="FU34" s="6" t="str">
        <f t="shared" si="1149"/>
        <v>M0</v>
      </c>
      <c r="FV34" s="6" t="str">
        <f t="shared" si="1149"/>
        <v>M0</v>
      </c>
      <c r="FW34" s="6" t="str">
        <f t="shared" si="1149"/>
        <v>M0</v>
      </c>
      <c r="FX34" s="6" t="str">
        <f t="shared" si="1149"/>
        <v>M0</v>
      </c>
      <c r="FY34" s="6" t="str">
        <f t="shared" si="1149"/>
        <v>M0</v>
      </c>
      <c r="FZ34" s="6" t="str">
        <f t="shared" si="1149"/>
        <v>M0</v>
      </c>
      <c r="GA34" s="6" t="str">
        <f t="shared" si="1149"/>
        <v>M0</v>
      </c>
      <c r="GB34" s="6" t="str">
        <f t="shared" si="1149"/>
        <v>M0</v>
      </c>
      <c r="GC34" s="6" t="str">
        <f t="shared" si="1149"/>
        <v>M0</v>
      </c>
      <c r="GD34" s="6" t="str">
        <f t="shared" si="1149"/>
        <v>M0</v>
      </c>
      <c r="GE34" s="6" t="str">
        <f t="shared" si="1149"/>
        <v>M0</v>
      </c>
      <c r="GF34" s="6" t="str">
        <f t="shared" si="1149"/>
        <v>M0</v>
      </c>
      <c r="GG34" s="6" t="str">
        <f t="shared" si="1149"/>
        <v>M0</v>
      </c>
      <c r="GH34" s="6" t="str">
        <f t="shared" si="1149"/>
        <v>M0</v>
      </c>
      <c r="GI34" s="6" t="str">
        <f t="shared" si="1149"/>
        <v>M0</v>
      </c>
      <c r="GJ34" s="6" t="str">
        <f t="shared" si="1149"/>
        <v>M0</v>
      </c>
      <c r="GK34" s="6" t="str">
        <f t="shared" si="1149"/>
        <v>M0</v>
      </c>
      <c r="GL34" s="6" t="str">
        <f t="shared" si="1149"/>
        <v>M0</v>
      </c>
      <c r="GM34" s="6" t="str">
        <f t="shared" si="1149"/>
        <v>M0</v>
      </c>
      <c r="GN34" s="6" t="str">
        <f t="shared" si="1149"/>
        <v>M0</v>
      </c>
      <c r="GO34" s="6" t="str">
        <f t="shared" ref="GO34:IZ34" si="1150">IF(OR(GO$35="M1", GO36="M2",GO37="M3",GO38="M4"),"", "M0")</f>
        <v>M0</v>
      </c>
      <c r="GP34" s="6" t="str">
        <f t="shared" si="1150"/>
        <v>M0</v>
      </c>
      <c r="GQ34" s="6" t="str">
        <f t="shared" si="1150"/>
        <v>M0</v>
      </c>
      <c r="GR34" s="6" t="str">
        <f t="shared" si="1150"/>
        <v>M0</v>
      </c>
      <c r="GS34" s="6" t="str">
        <f t="shared" si="1150"/>
        <v>M0</v>
      </c>
      <c r="GT34" s="6" t="str">
        <f t="shared" si="1150"/>
        <v>M0</v>
      </c>
      <c r="GU34" s="6" t="str">
        <f t="shared" si="1150"/>
        <v>M0</v>
      </c>
      <c r="GV34" s="6" t="str">
        <f t="shared" si="1150"/>
        <v>M0</v>
      </c>
      <c r="GW34" s="6" t="str">
        <f t="shared" si="1150"/>
        <v>M0</v>
      </c>
      <c r="GX34" s="6" t="str">
        <f t="shared" si="1150"/>
        <v>M0</v>
      </c>
      <c r="GY34" s="6" t="str">
        <f t="shared" si="1150"/>
        <v>M0</v>
      </c>
      <c r="GZ34" s="6" t="str">
        <f t="shared" si="1150"/>
        <v>M0</v>
      </c>
      <c r="HA34" s="6" t="str">
        <f t="shared" si="1150"/>
        <v>M0</v>
      </c>
      <c r="HB34" s="6" t="str">
        <f t="shared" si="1150"/>
        <v>M0</v>
      </c>
      <c r="HC34" s="6" t="str">
        <f t="shared" si="1150"/>
        <v>M0</v>
      </c>
      <c r="HD34" s="6" t="str">
        <f t="shared" si="1150"/>
        <v>M0</v>
      </c>
      <c r="HE34" s="6" t="str">
        <f t="shared" si="1150"/>
        <v>M0</v>
      </c>
      <c r="HF34" s="6" t="str">
        <f t="shared" si="1150"/>
        <v>M0</v>
      </c>
      <c r="HG34" s="6" t="str">
        <f t="shared" si="1150"/>
        <v>M0</v>
      </c>
      <c r="HH34" s="6" t="str">
        <f t="shared" si="1150"/>
        <v>M0</v>
      </c>
      <c r="HI34" s="6" t="str">
        <f t="shared" si="1150"/>
        <v>M0</v>
      </c>
      <c r="HJ34" s="6" t="str">
        <f t="shared" si="1150"/>
        <v>M0</v>
      </c>
      <c r="HK34" s="6" t="str">
        <f t="shared" si="1150"/>
        <v>M0</v>
      </c>
      <c r="HL34" s="6" t="str">
        <f t="shared" si="1150"/>
        <v>M0</v>
      </c>
      <c r="HM34" s="6" t="str">
        <f t="shared" si="1150"/>
        <v>M0</v>
      </c>
      <c r="HN34" s="6" t="str">
        <f t="shared" si="1150"/>
        <v>M0</v>
      </c>
      <c r="HO34" s="6" t="str">
        <f t="shared" si="1150"/>
        <v>M0</v>
      </c>
      <c r="HP34" s="6" t="str">
        <f t="shared" si="1150"/>
        <v>M0</v>
      </c>
      <c r="HQ34" s="6" t="str">
        <f t="shared" si="1150"/>
        <v>M0</v>
      </c>
      <c r="HR34" s="6" t="str">
        <f t="shared" si="1150"/>
        <v>M0</v>
      </c>
      <c r="HS34" s="6" t="str">
        <f t="shared" si="1150"/>
        <v>M0</v>
      </c>
      <c r="HT34" s="6" t="str">
        <f t="shared" si="1150"/>
        <v>M0</v>
      </c>
      <c r="HU34" s="6" t="str">
        <f t="shared" si="1150"/>
        <v>M0</v>
      </c>
      <c r="HV34" s="6" t="str">
        <f t="shared" si="1150"/>
        <v>M0</v>
      </c>
      <c r="HW34" s="6" t="str">
        <f t="shared" si="1150"/>
        <v>M0</v>
      </c>
      <c r="HX34" s="6" t="str">
        <f t="shared" si="1150"/>
        <v>M0</v>
      </c>
      <c r="HY34" s="6" t="str">
        <f t="shared" si="1150"/>
        <v>M0</v>
      </c>
      <c r="HZ34" s="6" t="str">
        <f t="shared" si="1150"/>
        <v>M0</v>
      </c>
      <c r="IA34" s="6" t="str">
        <f t="shared" si="1150"/>
        <v>M0</v>
      </c>
      <c r="IB34" s="6" t="str">
        <f t="shared" si="1150"/>
        <v>M0</v>
      </c>
      <c r="IC34" s="6" t="str">
        <f t="shared" si="1150"/>
        <v>M0</v>
      </c>
      <c r="ID34" s="6" t="str">
        <f t="shared" si="1150"/>
        <v>M0</v>
      </c>
      <c r="IE34" s="6" t="str">
        <f t="shared" si="1150"/>
        <v>M0</v>
      </c>
      <c r="IF34" s="6" t="str">
        <f t="shared" si="1150"/>
        <v>M0</v>
      </c>
      <c r="IG34" s="6" t="str">
        <f t="shared" si="1150"/>
        <v>M0</v>
      </c>
      <c r="IH34" s="6" t="str">
        <f t="shared" si="1150"/>
        <v>M0</v>
      </c>
      <c r="II34" s="6" t="str">
        <f t="shared" si="1150"/>
        <v>M0</v>
      </c>
      <c r="IJ34" s="6" t="str">
        <f t="shared" si="1150"/>
        <v>M0</v>
      </c>
      <c r="IK34" s="6" t="str">
        <f t="shared" si="1150"/>
        <v>M0</v>
      </c>
      <c r="IL34" s="6" t="str">
        <f t="shared" si="1150"/>
        <v>M0</v>
      </c>
      <c r="IM34" s="6" t="str">
        <f t="shared" si="1150"/>
        <v>M0</v>
      </c>
      <c r="IN34" s="6" t="str">
        <f t="shared" si="1150"/>
        <v>M0</v>
      </c>
      <c r="IO34" s="6" t="str">
        <f t="shared" si="1150"/>
        <v>M0</v>
      </c>
      <c r="IP34" s="6" t="str">
        <f t="shared" si="1150"/>
        <v>M0</v>
      </c>
      <c r="IQ34" s="6" t="str">
        <f t="shared" si="1150"/>
        <v>M0</v>
      </c>
      <c r="IR34" s="6" t="str">
        <f t="shared" si="1150"/>
        <v>M0</v>
      </c>
      <c r="IS34" s="6" t="str">
        <f t="shared" si="1150"/>
        <v>M0</v>
      </c>
      <c r="IT34" s="6" t="str">
        <f t="shared" si="1150"/>
        <v>M0</v>
      </c>
      <c r="IU34" s="6" t="str">
        <f t="shared" si="1150"/>
        <v>M0</v>
      </c>
      <c r="IV34" s="6" t="str">
        <f t="shared" si="1150"/>
        <v>M0</v>
      </c>
      <c r="IW34" s="6" t="str">
        <f t="shared" si="1150"/>
        <v>M0</v>
      </c>
      <c r="IX34" s="6" t="str">
        <f t="shared" si="1150"/>
        <v>M0</v>
      </c>
      <c r="IY34" s="6" t="str">
        <f t="shared" si="1150"/>
        <v>M0</v>
      </c>
      <c r="IZ34" s="6" t="str">
        <f t="shared" si="1150"/>
        <v>M0</v>
      </c>
      <c r="JA34" s="6" t="str">
        <f t="shared" ref="JA34:KE34" si="1151">IF(OR(JA$35="M1", JA36="M2",JA37="M3",JA38="M4"),"", "M0")</f>
        <v>M0</v>
      </c>
      <c r="JB34" s="6" t="str">
        <f t="shared" si="1151"/>
        <v>M0</v>
      </c>
      <c r="JC34" s="6" t="str">
        <f t="shared" si="1151"/>
        <v>M0</v>
      </c>
      <c r="JD34" s="6" t="str">
        <f t="shared" si="1151"/>
        <v/>
      </c>
      <c r="JE34" s="6" t="str">
        <f t="shared" si="1151"/>
        <v/>
      </c>
      <c r="JF34" s="6" t="str">
        <f t="shared" si="1151"/>
        <v/>
      </c>
      <c r="JG34" s="6" t="str">
        <f t="shared" si="1151"/>
        <v/>
      </c>
      <c r="JH34" s="6" t="str">
        <f t="shared" si="1151"/>
        <v/>
      </c>
      <c r="JI34" s="6" t="str">
        <f t="shared" si="1151"/>
        <v/>
      </c>
      <c r="JJ34" s="6" t="str">
        <f t="shared" si="1151"/>
        <v/>
      </c>
      <c r="JK34" s="6" t="str">
        <f t="shared" si="1151"/>
        <v/>
      </c>
      <c r="JL34" s="6" t="str">
        <f t="shared" si="1151"/>
        <v/>
      </c>
      <c r="JM34" s="6" t="str">
        <f t="shared" si="1151"/>
        <v/>
      </c>
      <c r="JN34" s="6" t="str">
        <f t="shared" si="1151"/>
        <v/>
      </c>
      <c r="JO34" s="6" t="str">
        <f t="shared" si="1151"/>
        <v/>
      </c>
      <c r="JP34" s="6" t="str">
        <f t="shared" si="1151"/>
        <v/>
      </c>
      <c r="JQ34" s="6" t="str">
        <f t="shared" si="1151"/>
        <v/>
      </c>
      <c r="JR34" s="6" t="str">
        <f t="shared" si="1151"/>
        <v/>
      </c>
      <c r="JS34" s="6" t="str">
        <f t="shared" si="1151"/>
        <v/>
      </c>
      <c r="JT34" s="6" t="str">
        <f t="shared" si="1151"/>
        <v/>
      </c>
      <c r="JU34" s="6" t="str">
        <f t="shared" si="1151"/>
        <v/>
      </c>
      <c r="JV34" s="6" t="str">
        <f t="shared" si="1151"/>
        <v/>
      </c>
      <c r="JW34" s="6" t="str">
        <f t="shared" si="1151"/>
        <v/>
      </c>
      <c r="JX34" s="6" t="str">
        <f t="shared" si="1151"/>
        <v/>
      </c>
      <c r="JY34" s="6" t="str">
        <f t="shared" si="1151"/>
        <v/>
      </c>
      <c r="JZ34" s="6" t="str">
        <f t="shared" si="1151"/>
        <v>M0</v>
      </c>
      <c r="KA34" s="6" t="str">
        <f t="shared" si="1151"/>
        <v>M0</v>
      </c>
      <c r="KB34" s="6" t="str">
        <f t="shared" si="1151"/>
        <v>M0</v>
      </c>
      <c r="KC34" s="6" t="str">
        <f t="shared" si="1151"/>
        <v>M0</v>
      </c>
      <c r="KD34" s="6" t="str">
        <f t="shared" si="1151"/>
        <v>M0</v>
      </c>
      <c r="KE34" s="6" t="str">
        <f t="shared" si="1151"/>
        <v>M0</v>
      </c>
      <c r="KF34" s="6" t="str">
        <f>IF(OR(KF$35="M1", KF36="M2",KF37="M3",KF38="M4"),"", "M0")</f>
        <v/>
      </c>
      <c r="KG34" s="6" t="str">
        <f t="shared" ref="KG34:MR34" si="1152">IF(OR(KG$35="M1", KG36="M2",KG37="M3",KG38="M4"),"", "M0")</f>
        <v/>
      </c>
      <c r="KH34" s="6" t="str">
        <f t="shared" si="1152"/>
        <v/>
      </c>
      <c r="KI34" s="6" t="str">
        <f t="shared" si="1152"/>
        <v/>
      </c>
      <c r="KJ34" s="6" t="str">
        <f t="shared" si="1152"/>
        <v/>
      </c>
      <c r="KK34" s="6" t="str">
        <f t="shared" si="1152"/>
        <v/>
      </c>
      <c r="KL34" s="6" t="str">
        <f t="shared" si="1152"/>
        <v/>
      </c>
      <c r="KM34" s="6" t="str">
        <f t="shared" si="1152"/>
        <v/>
      </c>
      <c r="KN34" s="6" t="str">
        <f t="shared" si="1152"/>
        <v/>
      </c>
      <c r="KO34" s="6" t="str">
        <f t="shared" si="1152"/>
        <v/>
      </c>
      <c r="KP34" s="6" t="str">
        <f t="shared" si="1152"/>
        <v/>
      </c>
      <c r="KQ34" s="6" t="str">
        <f t="shared" si="1152"/>
        <v/>
      </c>
      <c r="KR34" s="6" t="str">
        <f t="shared" si="1152"/>
        <v/>
      </c>
      <c r="KS34" s="6" t="str">
        <f t="shared" si="1152"/>
        <v/>
      </c>
      <c r="KT34" s="6" t="str">
        <f t="shared" si="1152"/>
        <v/>
      </c>
      <c r="KU34" s="6" t="str">
        <f t="shared" si="1152"/>
        <v/>
      </c>
      <c r="KV34" s="6" t="str">
        <f t="shared" si="1152"/>
        <v/>
      </c>
      <c r="KW34" s="6" t="str">
        <f t="shared" si="1152"/>
        <v/>
      </c>
      <c r="KX34" s="6" t="str">
        <f t="shared" si="1152"/>
        <v/>
      </c>
      <c r="KY34" s="6" t="str">
        <f t="shared" si="1152"/>
        <v/>
      </c>
      <c r="KZ34" s="6" t="str">
        <f t="shared" si="1152"/>
        <v/>
      </c>
      <c r="LA34" s="6" t="str">
        <f t="shared" si="1152"/>
        <v/>
      </c>
      <c r="LB34" s="6" t="str">
        <f t="shared" si="1152"/>
        <v/>
      </c>
      <c r="LC34" s="6" t="str">
        <f t="shared" si="1152"/>
        <v/>
      </c>
      <c r="LD34" s="6" t="str">
        <f t="shared" si="1152"/>
        <v/>
      </c>
      <c r="LE34" s="6" t="str">
        <f t="shared" si="1152"/>
        <v/>
      </c>
      <c r="LF34" s="6" t="str">
        <f t="shared" si="1152"/>
        <v/>
      </c>
      <c r="LG34" s="6" t="str">
        <f t="shared" si="1152"/>
        <v/>
      </c>
      <c r="LH34" s="6" t="str">
        <f t="shared" si="1152"/>
        <v/>
      </c>
      <c r="LI34" s="6" t="str">
        <f t="shared" si="1152"/>
        <v/>
      </c>
      <c r="LJ34" s="6" t="str">
        <f t="shared" si="1152"/>
        <v/>
      </c>
      <c r="LK34" s="6" t="str">
        <f t="shared" si="1152"/>
        <v/>
      </c>
      <c r="LL34" s="6" t="str">
        <f t="shared" si="1152"/>
        <v/>
      </c>
      <c r="LM34" s="6" t="str">
        <f t="shared" si="1152"/>
        <v/>
      </c>
      <c r="LN34" s="6" t="str">
        <f t="shared" si="1152"/>
        <v/>
      </c>
      <c r="LO34" s="6" t="str">
        <f t="shared" si="1152"/>
        <v/>
      </c>
      <c r="LP34" s="6" t="str">
        <f t="shared" si="1152"/>
        <v/>
      </c>
      <c r="LQ34" s="6" t="str">
        <f t="shared" si="1152"/>
        <v/>
      </c>
      <c r="LR34" s="6" t="str">
        <f t="shared" si="1152"/>
        <v/>
      </c>
      <c r="LS34" s="6" t="str">
        <f t="shared" si="1152"/>
        <v/>
      </c>
      <c r="LT34" s="6" t="str">
        <f t="shared" si="1152"/>
        <v/>
      </c>
      <c r="LU34" s="6" t="str">
        <f t="shared" si="1152"/>
        <v/>
      </c>
      <c r="LV34" s="6" t="str">
        <f t="shared" si="1152"/>
        <v/>
      </c>
      <c r="LW34" s="6" t="str">
        <f t="shared" si="1152"/>
        <v/>
      </c>
      <c r="LX34" s="6" t="str">
        <f t="shared" si="1152"/>
        <v/>
      </c>
      <c r="LY34" s="6" t="str">
        <f t="shared" si="1152"/>
        <v/>
      </c>
      <c r="LZ34" s="6" t="str">
        <f t="shared" si="1152"/>
        <v/>
      </c>
      <c r="MA34" s="6" t="str">
        <f t="shared" si="1152"/>
        <v/>
      </c>
      <c r="MB34" s="6" t="str">
        <f t="shared" si="1152"/>
        <v/>
      </c>
      <c r="MC34" s="6" t="str">
        <f t="shared" si="1152"/>
        <v/>
      </c>
      <c r="MD34" s="6" t="str">
        <f t="shared" si="1152"/>
        <v/>
      </c>
      <c r="ME34" s="6" t="str">
        <f t="shared" si="1152"/>
        <v/>
      </c>
      <c r="MF34" s="6" t="str">
        <f t="shared" si="1152"/>
        <v/>
      </c>
      <c r="MG34" s="6" t="str">
        <f t="shared" si="1152"/>
        <v/>
      </c>
      <c r="MH34" s="6" t="str">
        <f t="shared" si="1152"/>
        <v/>
      </c>
      <c r="MI34" s="6" t="str">
        <f t="shared" si="1152"/>
        <v/>
      </c>
      <c r="MJ34" s="6" t="str">
        <f t="shared" si="1152"/>
        <v/>
      </c>
      <c r="MK34" s="6" t="str">
        <f t="shared" si="1152"/>
        <v/>
      </c>
      <c r="ML34" s="6" t="str">
        <f t="shared" si="1152"/>
        <v/>
      </c>
      <c r="MM34" s="6" t="str">
        <f t="shared" si="1152"/>
        <v/>
      </c>
      <c r="MN34" s="6" t="str">
        <f t="shared" si="1152"/>
        <v/>
      </c>
      <c r="MO34" s="6" t="str">
        <f t="shared" si="1152"/>
        <v/>
      </c>
      <c r="MP34" s="6" t="str">
        <f t="shared" si="1152"/>
        <v/>
      </c>
      <c r="MQ34" s="6" t="str">
        <f t="shared" si="1152"/>
        <v/>
      </c>
      <c r="MR34" s="6" t="str">
        <f t="shared" si="1152"/>
        <v/>
      </c>
      <c r="MS34" s="6" t="str">
        <f t="shared" ref="MS34:PD34" si="1153">IF(OR(MS$35="M1", MS36="M2",MS37="M3",MS38="M4"),"", "M0")</f>
        <v/>
      </c>
      <c r="MT34" s="6" t="str">
        <f t="shared" si="1153"/>
        <v/>
      </c>
      <c r="MU34" s="6" t="str">
        <f t="shared" si="1153"/>
        <v/>
      </c>
      <c r="MV34" s="6" t="str">
        <f t="shared" si="1153"/>
        <v/>
      </c>
      <c r="MW34" s="6" t="str">
        <f t="shared" si="1153"/>
        <v/>
      </c>
      <c r="MX34" s="6" t="str">
        <f t="shared" si="1153"/>
        <v/>
      </c>
      <c r="MY34" s="6" t="str">
        <f t="shared" si="1153"/>
        <v/>
      </c>
      <c r="MZ34" s="6" t="str">
        <f t="shared" si="1153"/>
        <v/>
      </c>
      <c r="NA34" s="6" t="str">
        <f t="shared" si="1153"/>
        <v/>
      </c>
      <c r="NB34" s="6" t="str">
        <f t="shared" si="1153"/>
        <v/>
      </c>
      <c r="NC34" s="6" t="str">
        <f t="shared" si="1153"/>
        <v/>
      </c>
      <c r="ND34" s="6" t="str">
        <f t="shared" si="1153"/>
        <v/>
      </c>
      <c r="NE34" s="6" t="str">
        <f t="shared" si="1153"/>
        <v/>
      </c>
      <c r="NF34" s="6" t="str">
        <f t="shared" si="1153"/>
        <v/>
      </c>
      <c r="NG34" s="6" t="str">
        <f t="shared" si="1153"/>
        <v/>
      </c>
      <c r="NH34" s="6" t="str">
        <f t="shared" si="1153"/>
        <v/>
      </c>
      <c r="NI34" s="6" t="str">
        <f t="shared" si="1153"/>
        <v/>
      </c>
      <c r="NJ34" s="6" t="str">
        <f t="shared" si="1153"/>
        <v/>
      </c>
      <c r="NK34" s="6" t="str">
        <f t="shared" si="1153"/>
        <v/>
      </c>
      <c r="NL34" s="6" t="str">
        <f t="shared" si="1153"/>
        <v/>
      </c>
      <c r="NM34" s="6" t="str">
        <f t="shared" si="1153"/>
        <v/>
      </c>
      <c r="NN34" s="6" t="str">
        <f t="shared" si="1153"/>
        <v/>
      </c>
      <c r="NO34" s="6" t="str">
        <f t="shared" si="1153"/>
        <v/>
      </c>
      <c r="NP34" s="6" t="str">
        <f t="shared" si="1153"/>
        <v/>
      </c>
      <c r="NQ34" s="6" t="str">
        <f t="shared" si="1153"/>
        <v/>
      </c>
      <c r="NR34" s="6" t="str">
        <f t="shared" si="1153"/>
        <v/>
      </c>
      <c r="NS34" s="6" t="str">
        <f t="shared" si="1153"/>
        <v/>
      </c>
      <c r="NT34" s="6" t="str">
        <f t="shared" si="1153"/>
        <v/>
      </c>
      <c r="NU34" s="6" t="str">
        <f t="shared" si="1153"/>
        <v/>
      </c>
      <c r="NV34" s="6" t="str">
        <f t="shared" si="1153"/>
        <v/>
      </c>
      <c r="NW34" s="6" t="str">
        <f t="shared" si="1153"/>
        <v/>
      </c>
      <c r="NX34" s="6" t="str">
        <f t="shared" si="1153"/>
        <v/>
      </c>
      <c r="NY34" s="6" t="str">
        <f t="shared" si="1153"/>
        <v/>
      </c>
      <c r="NZ34" s="6" t="str">
        <f t="shared" si="1153"/>
        <v/>
      </c>
      <c r="OA34" s="6" t="str">
        <f t="shared" si="1153"/>
        <v/>
      </c>
      <c r="OB34" s="6" t="str">
        <f t="shared" si="1153"/>
        <v/>
      </c>
      <c r="OC34" s="6" t="str">
        <f t="shared" si="1153"/>
        <v/>
      </c>
      <c r="OD34" s="6" t="str">
        <f t="shared" si="1153"/>
        <v/>
      </c>
      <c r="OE34" s="6" t="str">
        <f t="shared" si="1153"/>
        <v/>
      </c>
      <c r="OF34" s="6" t="str">
        <f t="shared" si="1153"/>
        <v/>
      </c>
      <c r="OG34" s="6" t="str">
        <f t="shared" si="1153"/>
        <v/>
      </c>
      <c r="OH34" s="6" t="str">
        <f t="shared" si="1153"/>
        <v/>
      </c>
      <c r="OI34" s="6" t="str">
        <f t="shared" si="1153"/>
        <v/>
      </c>
      <c r="OJ34" s="6" t="str">
        <f t="shared" si="1153"/>
        <v/>
      </c>
      <c r="OK34" s="6" t="str">
        <f t="shared" si="1153"/>
        <v/>
      </c>
      <c r="OL34" s="6" t="str">
        <f t="shared" si="1153"/>
        <v/>
      </c>
      <c r="OM34" s="6" t="str">
        <f t="shared" si="1153"/>
        <v/>
      </c>
      <c r="ON34" s="6" t="str">
        <f t="shared" si="1153"/>
        <v/>
      </c>
      <c r="OO34" s="6" t="str">
        <f t="shared" si="1153"/>
        <v/>
      </c>
      <c r="OP34" s="6" t="str">
        <f t="shared" si="1153"/>
        <v/>
      </c>
      <c r="OQ34" s="6" t="str">
        <f t="shared" si="1153"/>
        <v/>
      </c>
      <c r="OR34" s="6" t="str">
        <f t="shared" si="1153"/>
        <v>M0</v>
      </c>
      <c r="OS34" s="6" t="str">
        <f t="shared" si="1153"/>
        <v>M0</v>
      </c>
      <c r="OT34" s="6" t="str">
        <f t="shared" si="1153"/>
        <v>M0</v>
      </c>
      <c r="OU34" s="6" t="str">
        <f t="shared" si="1153"/>
        <v>M0</v>
      </c>
      <c r="OV34" s="6" t="str">
        <f t="shared" si="1153"/>
        <v>M0</v>
      </c>
      <c r="OW34" s="6" t="str">
        <f t="shared" si="1153"/>
        <v>M0</v>
      </c>
      <c r="OX34" s="6" t="str">
        <f t="shared" si="1153"/>
        <v>M0</v>
      </c>
      <c r="OY34" s="6" t="str">
        <f t="shared" si="1153"/>
        <v>M0</v>
      </c>
      <c r="OZ34" s="6" t="str">
        <f t="shared" si="1153"/>
        <v>M0</v>
      </c>
      <c r="PA34" s="6" t="str">
        <f t="shared" si="1153"/>
        <v>M0</v>
      </c>
      <c r="PB34" s="6" t="str">
        <f t="shared" si="1153"/>
        <v>M0</v>
      </c>
      <c r="PC34" s="6" t="str">
        <f t="shared" si="1153"/>
        <v>M0</v>
      </c>
      <c r="PD34" s="6" t="str">
        <f t="shared" si="1153"/>
        <v>M0</v>
      </c>
      <c r="PE34" s="6" t="str">
        <f t="shared" ref="PE34:PS34" si="1154">IF(OR(PE$35="M1", PE36="M2",PE37="M3",PE38="M4"),"", "M0")</f>
        <v>M0</v>
      </c>
      <c r="PF34" s="6" t="str">
        <f t="shared" si="1154"/>
        <v>M0</v>
      </c>
      <c r="PG34" s="6" t="str">
        <f t="shared" si="1154"/>
        <v>M0</v>
      </c>
      <c r="PH34" s="6" t="str">
        <f t="shared" si="1154"/>
        <v>M0</v>
      </c>
      <c r="PI34" s="6" t="str">
        <f t="shared" si="1154"/>
        <v>M0</v>
      </c>
      <c r="PJ34" s="6" t="str">
        <f t="shared" si="1154"/>
        <v>M0</v>
      </c>
      <c r="PK34" s="6" t="str">
        <f t="shared" si="1154"/>
        <v>M0</v>
      </c>
      <c r="PL34" s="6" t="str">
        <f t="shared" si="1154"/>
        <v>M0</v>
      </c>
      <c r="PM34" s="6" t="str">
        <f t="shared" si="1154"/>
        <v>M0</v>
      </c>
      <c r="PN34" s="6" t="str">
        <f t="shared" si="1154"/>
        <v>M0</v>
      </c>
      <c r="PO34" s="6" t="str">
        <f t="shared" si="1154"/>
        <v>M0</v>
      </c>
      <c r="PP34" s="6" t="str">
        <f t="shared" si="1154"/>
        <v>M0</v>
      </c>
      <c r="PQ34" s="6" t="str">
        <f t="shared" si="1154"/>
        <v>M0</v>
      </c>
      <c r="PR34" s="6" t="str">
        <f t="shared" si="1154"/>
        <v>M0</v>
      </c>
      <c r="PS34" s="6" t="str">
        <f t="shared" si="1154"/>
        <v>M0</v>
      </c>
      <c r="PT34" s="6" t="str">
        <f>IF(OR(PT$35="M1", PT36="M2",PT37="M3",PT38="M4"),"", "M0")</f>
        <v/>
      </c>
      <c r="PU34" s="6" t="str">
        <f t="shared" ref="PU34:SF34" si="1155">IF(OR(PU$35="M1", PU36="M2",PU37="M3",PU38="M4"),"", "M0")</f>
        <v/>
      </c>
      <c r="PV34" s="6" t="str">
        <f t="shared" si="1155"/>
        <v/>
      </c>
      <c r="PW34" s="6" t="str">
        <f t="shared" si="1155"/>
        <v/>
      </c>
      <c r="PX34" s="6" t="str">
        <f t="shared" si="1155"/>
        <v/>
      </c>
      <c r="PY34" s="6" t="str">
        <f t="shared" si="1155"/>
        <v/>
      </c>
      <c r="PZ34" s="6" t="str">
        <f t="shared" si="1155"/>
        <v/>
      </c>
      <c r="QA34" s="6" t="str">
        <f t="shared" si="1155"/>
        <v/>
      </c>
      <c r="QB34" s="6" t="str">
        <f t="shared" si="1155"/>
        <v/>
      </c>
      <c r="QC34" s="6" t="str">
        <f t="shared" si="1155"/>
        <v/>
      </c>
      <c r="QD34" s="6" t="str">
        <f t="shared" si="1155"/>
        <v/>
      </c>
      <c r="QE34" s="6" t="str">
        <f t="shared" si="1155"/>
        <v/>
      </c>
      <c r="QF34" s="6" t="str">
        <f t="shared" si="1155"/>
        <v/>
      </c>
      <c r="QG34" s="6" t="str">
        <f t="shared" si="1155"/>
        <v/>
      </c>
      <c r="QH34" s="6" t="str">
        <f t="shared" si="1155"/>
        <v/>
      </c>
      <c r="QI34" s="6" t="str">
        <f t="shared" si="1155"/>
        <v/>
      </c>
      <c r="QJ34" s="6" t="str">
        <f t="shared" si="1155"/>
        <v/>
      </c>
      <c r="QK34" s="6" t="str">
        <f t="shared" si="1155"/>
        <v/>
      </c>
      <c r="QL34" s="6" t="str">
        <f t="shared" si="1155"/>
        <v/>
      </c>
      <c r="QM34" s="6" t="str">
        <f t="shared" si="1155"/>
        <v/>
      </c>
      <c r="QN34" s="6" t="str">
        <f t="shared" si="1155"/>
        <v/>
      </c>
      <c r="QO34" s="6" t="str">
        <f t="shared" si="1155"/>
        <v/>
      </c>
      <c r="QP34" s="6" t="str">
        <f t="shared" si="1155"/>
        <v/>
      </c>
      <c r="QQ34" s="6" t="str">
        <f t="shared" si="1155"/>
        <v/>
      </c>
      <c r="QR34" s="6" t="str">
        <f t="shared" si="1155"/>
        <v/>
      </c>
      <c r="QS34" s="6" t="str">
        <f t="shared" si="1155"/>
        <v/>
      </c>
      <c r="QT34" s="6" t="str">
        <f t="shared" si="1155"/>
        <v/>
      </c>
      <c r="QU34" s="6" t="str">
        <f t="shared" si="1155"/>
        <v/>
      </c>
      <c r="QV34" s="6" t="str">
        <f t="shared" si="1155"/>
        <v/>
      </c>
      <c r="QW34" s="6" t="str">
        <f t="shared" si="1155"/>
        <v/>
      </c>
      <c r="QX34" s="6" t="str">
        <f t="shared" si="1155"/>
        <v/>
      </c>
      <c r="QY34" s="6" t="str">
        <f t="shared" si="1155"/>
        <v/>
      </c>
      <c r="QZ34" s="6" t="str">
        <f t="shared" si="1155"/>
        <v/>
      </c>
      <c r="RA34" s="6" t="str">
        <f t="shared" si="1155"/>
        <v/>
      </c>
      <c r="RB34" s="6" t="str">
        <f t="shared" si="1155"/>
        <v/>
      </c>
      <c r="RC34" s="6" t="str">
        <f t="shared" si="1155"/>
        <v/>
      </c>
      <c r="RD34" s="6" t="str">
        <f t="shared" si="1155"/>
        <v/>
      </c>
      <c r="RE34" s="6" t="str">
        <f t="shared" si="1155"/>
        <v/>
      </c>
      <c r="RF34" s="6" t="str">
        <f t="shared" si="1155"/>
        <v/>
      </c>
      <c r="RG34" s="6" t="str">
        <f t="shared" si="1155"/>
        <v/>
      </c>
      <c r="RH34" s="6" t="str">
        <f t="shared" si="1155"/>
        <v/>
      </c>
      <c r="RI34" s="6" t="str">
        <f t="shared" si="1155"/>
        <v/>
      </c>
      <c r="RJ34" s="6" t="str">
        <f t="shared" si="1155"/>
        <v/>
      </c>
      <c r="RK34" s="6" t="str">
        <f t="shared" si="1155"/>
        <v/>
      </c>
      <c r="RL34" s="6" t="str">
        <f t="shared" si="1155"/>
        <v/>
      </c>
      <c r="RM34" s="6" t="str">
        <f t="shared" si="1155"/>
        <v/>
      </c>
      <c r="RN34" s="6" t="str">
        <f t="shared" si="1155"/>
        <v/>
      </c>
      <c r="RO34" s="6" t="str">
        <f t="shared" si="1155"/>
        <v/>
      </c>
      <c r="RP34" s="6" t="str">
        <f t="shared" si="1155"/>
        <v/>
      </c>
      <c r="RQ34" s="6" t="str">
        <f t="shared" si="1155"/>
        <v/>
      </c>
      <c r="RR34" s="6" t="str">
        <f t="shared" si="1155"/>
        <v/>
      </c>
      <c r="RS34" s="6" t="str">
        <f t="shared" si="1155"/>
        <v/>
      </c>
      <c r="RT34" s="6" t="str">
        <f t="shared" si="1155"/>
        <v/>
      </c>
      <c r="RU34" s="6" t="str">
        <f t="shared" si="1155"/>
        <v/>
      </c>
      <c r="RV34" s="6" t="str">
        <f t="shared" si="1155"/>
        <v/>
      </c>
      <c r="RW34" s="6" t="str">
        <f t="shared" si="1155"/>
        <v/>
      </c>
      <c r="RX34" s="6" t="str">
        <f t="shared" si="1155"/>
        <v/>
      </c>
      <c r="RY34" s="6" t="str">
        <f t="shared" si="1155"/>
        <v/>
      </c>
      <c r="RZ34" s="6" t="str">
        <f t="shared" si="1155"/>
        <v/>
      </c>
      <c r="SA34" s="6" t="str">
        <f t="shared" si="1155"/>
        <v/>
      </c>
      <c r="SB34" s="6" t="str">
        <f t="shared" si="1155"/>
        <v/>
      </c>
      <c r="SC34" s="6" t="str">
        <f t="shared" si="1155"/>
        <v/>
      </c>
      <c r="SD34" s="6" t="str">
        <f t="shared" si="1155"/>
        <v/>
      </c>
      <c r="SE34" s="6" t="str">
        <f t="shared" si="1155"/>
        <v/>
      </c>
      <c r="SF34" s="6" t="str">
        <f t="shared" si="1155"/>
        <v/>
      </c>
      <c r="SG34" s="6" t="str">
        <f t="shared" ref="SG34:UR34" si="1156">IF(OR(SG$35="M1", SG36="M2",SG37="M3",SG38="M4"),"", "M0")</f>
        <v/>
      </c>
      <c r="SH34" s="6" t="str">
        <f t="shared" si="1156"/>
        <v/>
      </c>
      <c r="SI34" s="6" t="str">
        <f t="shared" si="1156"/>
        <v/>
      </c>
      <c r="SJ34" s="6" t="str">
        <f t="shared" si="1156"/>
        <v/>
      </c>
      <c r="SK34" s="6" t="str">
        <f t="shared" si="1156"/>
        <v/>
      </c>
      <c r="SL34" s="6" t="str">
        <f t="shared" si="1156"/>
        <v/>
      </c>
      <c r="SM34" s="6" t="str">
        <f t="shared" si="1156"/>
        <v/>
      </c>
      <c r="SN34" s="6" t="str">
        <f t="shared" si="1156"/>
        <v/>
      </c>
      <c r="SO34" s="6" t="str">
        <f t="shared" si="1156"/>
        <v/>
      </c>
      <c r="SP34" s="6" t="str">
        <f t="shared" si="1156"/>
        <v/>
      </c>
      <c r="SQ34" s="6" t="str">
        <f t="shared" si="1156"/>
        <v/>
      </c>
      <c r="SR34" s="6" t="str">
        <f t="shared" si="1156"/>
        <v/>
      </c>
      <c r="SS34" s="6" t="str">
        <f t="shared" si="1156"/>
        <v/>
      </c>
      <c r="ST34" s="6" t="str">
        <f t="shared" si="1156"/>
        <v/>
      </c>
      <c r="SU34" s="6" t="str">
        <f t="shared" si="1156"/>
        <v/>
      </c>
      <c r="SV34" s="6" t="str">
        <f t="shared" si="1156"/>
        <v/>
      </c>
      <c r="SW34" s="6" t="str">
        <f t="shared" si="1156"/>
        <v/>
      </c>
      <c r="SX34" s="6" t="str">
        <f t="shared" si="1156"/>
        <v/>
      </c>
      <c r="SY34" s="6" t="str">
        <f t="shared" si="1156"/>
        <v/>
      </c>
      <c r="SZ34" s="6" t="str">
        <f t="shared" si="1156"/>
        <v/>
      </c>
      <c r="TA34" s="6" t="str">
        <f t="shared" si="1156"/>
        <v/>
      </c>
      <c r="TB34" s="6" t="str">
        <f t="shared" si="1156"/>
        <v/>
      </c>
      <c r="TC34" s="6" t="str">
        <f t="shared" si="1156"/>
        <v/>
      </c>
      <c r="TD34" s="6" t="str">
        <f t="shared" si="1156"/>
        <v/>
      </c>
      <c r="TE34" s="6" t="str">
        <f t="shared" si="1156"/>
        <v/>
      </c>
      <c r="TF34" s="6" t="str">
        <f t="shared" si="1156"/>
        <v/>
      </c>
      <c r="TG34" s="6" t="str">
        <f t="shared" si="1156"/>
        <v/>
      </c>
      <c r="TH34" s="6" t="str">
        <f t="shared" si="1156"/>
        <v/>
      </c>
      <c r="TI34" s="6" t="str">
        <f t="shared" si="1156"/>
        <v/>
      </c>
      <c r="TJ34" s="6" t="str">
        <f t="shared" si="1156"/>
        <v/>
      </c>
      <c r="TK34" s="6" t="str">
        <f t="shared" si="1156"/>
        <v/>
      </c>
      <c r="TL34" s="6" t="str">
        <f t="shared" si="1156"/>
        <v/>
      </c>
      <c r="TM34" s="6" t="str">
        <f t="shared" si="1156"/>
        <v/>
      </c>
      <c r="TN34" s="6" t="str">
        <f t="shared" si="1156"/>
        <v/>
      </c>
      <c r="TO34" s="6" t="str">
        <f t="shared" si="1156"/>
        <v/>
      </c>
      <c r="TP34" s="6" t="str">
        <f t="shared" si="1156"/>
        <v/>
      </c>
      <c r="TQ34" s="6" t="str">
        <f t="shared" si="1156"/>
        <v/>
      </c>
      <c r="TR34" s="6" t="str">
        <f t="shared" si="1156"/>
        <v/>
      </c>
      <c r="TS34" s="6" t="str">
        <f t="shared" si="1156"/>
        <v/>
      </c>
      <c r="TT34" s="6" t="str">
        <f t="shared" si="1156"/>
        <v/>
      </c>
      <c r="TU34" s="6" t="str">
        <f t="shared" si="1156"/>
        <v/>
      </c>
      <c r="TV34" s="6" t="str">
        <f t="shared" si="1156"/>
        <v/>
      </c>
      <c r="TW34" s="6" t="str">
        <f t="shared" si="1156"/>
        <v/>
      </c>
      <c r="TX34" s="6" t="str">
        <f t="shared" si="1156"/>
        <v/>
      </c>
      <c r="TY34" s="6" t="str">
        <f t="shared" si="1156"/>
        <v/>
      </c>
      <c r="TZ34" s="6" t="str">
        <f t="shared" si="1156"/>
        <v/>
      </c>
      <c r="UA34" s="6" t="str">
        <f t="shared" si="1156"/>
        <v/>
      </c>
      <c r="UB34" s="6" t="str">
        <f t="shared" si="1156"/>
        <v/>
      </c>
      <c r="UC34" s="6" t="str">
        <f t="shared" si="1156"/>
        <v/>
      </c>
      <c r="UD34" s="6" t="str">
        <f t="shared" si="1156"/>
        <v/>
      </c>
      <c r="UE34" s="6" t="str">
        <f t="shared" si="1156"/>
        <v/>
      </c>
      <c r="UF34" s="6" t="str">
        <f t="shared" si="1156"/>
        <v>M0</v>
      </c>
      <c r="UG34" s="6" t="str">
        <f t="shared" si="1156"/>
        <v>M0</v>
      </c>
      <c r="UH34" s="6" t="str">
        <f t="shared" si="1156"/>
        <v>M0</v>
      </c>
      <c r="UI34" s="6" t="str">
        <f t="shared" si="1156"/>
        <v>M0</v>
      </c>
      <c r="UJ34" s="6" t="str">
        <f t="shared" si="1156"/>
        <v>M0</v>
      </c>
      <c r="UK34" s="6" t="str">
        <f t="shared" si="1156"/>
        <v>M0</v>
      </c>
      <c r="UL34" s="6" t="str">
        <f t="shared" si="1156"/>
        <v>M0</v>
      </c>
      <c r="UM34" s="6" t="str">
        <f t="shared" si="1156"/>
        <v>M0</v>
      </c>
      <c r="UN34" s="6" t="str">
        <f t="shared" si="1156"/>
        <v>M0</v>
      </c>
      <c r="UO34" s="6" t="str">
        <f t="shared" si="1156"/>
        <v>M0</v>
      </c>
      <c r="UP34" s="6" t="str">
        <f t="shared" si="1156"/>
        <v>M0</v>
      </c>
      <c r="UQ34" s="6" t="str">
        <f t="shared" si="1156"/>
        <v>M0</v>
      </c>
      <c r="UR34" s="6" t="str">
        <f t="shared" si="1156"/>
        <v>M0</v>
      </c>
      <c r="US34" s="6" t="str">
        <f t="shared" ref="US34:VG34" si="1157">IF(OR(US$35="M1", US36="M2",US37="M3",US38="M4"),"", "M0")</f>
        <v>M0</v>
      </c>
      <c r="UT34" s="6" t="str">
        <f t="shared" si="1157"/>
        <v>M0</v>
      </c>
      <c r="UU34" s="6" t="str">
        <f t="shared" si="1157"/>
        <v>M0</v>
      </c>
      <c r="UV34" s="6" t="str">
        <f t="shared" si="1157"/>
        <v>M0</v>
      </c>
      <c r="UW34" s="6" t="str">
        <f t="shared" si="1157"/>
        <v>M0</v>
      </c>
      <c r="UX34" s="6" t="str">
        <f t="shared" si="1157"/>
        <v>M0</v>
      </c>
      <c r="UY34" s="6" t="str">
        <f t="shared" si="1157"/>
        <v>M0</v>
      </c>
      <c r="UZ34" s="6" t="str">
        <f t="shared" si="1157"/>
        <v>M0</v>
      </c>
      <c r="VA34" s="6" t="str">
        <f t="shared" si="1157"/>
        <v>M0</v>
      </c>
      <c r="VB34" s="6" t="str">
        <f t="shared" si="1157"/>
        <v>M0</v>
      </c>
      <c r="VC34" s="6" t="str">
        <f t="shared" si="1157"/>
        <v>M0</v>
      </c>
      <c r="VD34" s="6" t="str">
        <f t="shared" si="1157"/>
        <v>M0</v>
      </c>
      <c r="VE34" s="6" t="str">
        <f t="shared" si="1157"/>
        <v>M0</v>
      </c>
      <c r="VF34" s="6" t="str">
        <f t="shared" si="1157"/>
        <v>M0</v>
      </c>
      <c r="VG34" s="6" t="str">
        <f t="shared" si="1157"/>
        <v>M0</v>
      </c>
      <c r="VH34" s="6" t="str">
        <f>IF(OR(VH$35="M1", VH36="M2",VH37="M3",VH38="M4"),"", "M0")</f>
        <v/>
      </c>
      <c r="VI34" s="6" t="str">
        <f t="shared" ref="VI34:XT34" si="1158">IF(OR(VI$35="M1", VI36="M2",VI37="M3",VI38="M4"),"", "M0")</f>
        <v/>
      </c>
      <c r="VJ34" s="6" t="str">
        <f t="shared" si="1158"/>
        <v/>
      </c>
      <c r="VK34" s="6" t="str">
        <f t="shared" si="1158"/>
        <v/>
      </c>
      <c r="VL34" s="6" t="str">
        <f t="shared" si="1158"/>
        <v/>
      </c>
      <c r="VM34" s="6" t="str">
        <f t="shared" si="1158"/>
        <v/>
      </c>
      <c r="VN34" s="6" t="str">
        <f t="shared" si="1158"/>
        <v/>
      </c>
      <c r="VO34" s="6" t="str">
        <f t="shared" si="1158"/>
        <v/>
      </c>
      <c r="VP34" s="6" t="str">
        <f t="shared" si="1158"/>
        <v/>
      </c>
      <c r="VQ34" s="6" t="str">
        <f t="shared" si="1158"/>
        <v/>
      </c>
      <c r="VR34" s="6" t="str">
        <f t="shared" si="1158"/>
        <v/>
      </c>
      <c r="VS34" s="6" t="str">
        <f t="shared" si="1158"/>
        <v/>
      </c>
      <c r="VT34" s="6" t="str">
        <f t="shared" si="1158"/>
        <v/>
      </c>
      <c r="VU34" s="6" t="str">
        <f t="shared" si="1158"/>
        <v/>
      </c>
      <c r="VV34" s="6" t="str">
        <f t="shared" si="1158"/>
        <v/>
      </c>
      <c r="VW34" s="6" t="str">
        <f t="shared" si="1158"/>
        <v/>
      </c>
      <c r="VX34" s="6" t="str">
        <f t="shared" si="1158"/>
        <v/>
      </c>
      <c r="VY34" s="6" t="str">
        <f t="shared" si="1158"/>
        <v/>
      </c>
      <c r="VZ34" s="6" t="str">
        <f t="shared" si="1158"/>
        <v/>
      </c>
      <c r="WA34" s="6" t="str">
        <f t="shared" si="1158"/>
        <v/>
      </c>
      <c r="WB34" s="6" t="str">
        <f t="shared" si="1158"/>
        <v/>
      </c>
      <c r="WC34" s="6" t="str">
        <f t="shared" si="1158"/>
        <v/>
      </c>
      <c r="WD34" s="6" t="str">
        <f t="shared" si="1158"/>
        <v/>
      </c>
      <c r="WE34" s="6" t="str">
        <f t="shared" si="1158"/>
        <v/>
      </c>
      <c r="WF34" s="6" t="str">
        <f t="shared" si="1158"/>
        <v/>
      </c>
      <c r="WG34" s="6" t="str">
        <f t="shared" si="1158"/>
        <v/>
      </c>
      <c r="WH34" s="6" t="str">
        <f t="shared" si="1158"/>
        <v/>
      </c>
      <c r="WI34" s="6" t="str">
        <f t="shared" si="1158"/>
        <v/>
      </c>
      <c r="WJ34" s="6" t="str">
        <f t="shared" si="1158"/>
        <v/>
      </c>
      <c r="WK34" s="6" t="str">
        <f t="shared" si="1158"/>
        <v/>
      </c>
      <c r="WL34" s="6" t="str">
        <f t="shared" si="1158"/>
        <v/>
      </c>
      <c r="WM34" s="6" t="str">
        <f t="shared" si="1158"/>
        <v/>
      </c>
      <c r="WN34" s="6" t="str">
        <f t="shared" si="1158"/>
        <v/>
      </c>
      <c r="WO34" s="6" t="str">
        <f t="shared" si="1158"/>
        <v/>
      </c>
      <c r="WP34" s="6" t="str">
        <f t="shared" si="1158"/>
        <v/>
      </c>
      <c r="WQ34" s="6" t="str">
        <f t="shared" si="1158"/>
        <v/>
      </c>
      <c r="WR34" s="6" t="str">
        <f t="shared" si="1158"/>
        <v/>
      </c>
      <c r="WS34" s="6" t="str">
        <f t="shared" si="1158"/>
        <v/>
      </c>
      <c r="WT34" s="6" t="str">
        <f t="shared" si="1158"/>
        <v/>
      </c>
      <c r="WU34" s="6" t="str">
        <f t="shared" si="1158"/>
        <v/>
      </c>
      <c r="WV34" s="6" t="str">
        <f t="shared" si="1158"/>
        <v/>
      </c>
      <c r="WW34" s="6" t="str">
        <f t="shared" si="1158"/>
        <v/>
      </c>
      <c r="WX34" s="6" t="str">
        <f t="shared" si="1158"/>
        <v/>
      </c>
      <c r="WY34" s="6" t="str">
        <f t="shared" si="1158"/>
        <v/>
      </c>
      <c r="WZ34" s="6" t="str">
        <f t="shared" si="1158"/>
        <v/>
      </c>
      <c r="XA34" s="6" t="str">
        <f t="shared" si="1158"/>
        <v/>
      </c>
      <c r="XB34" s="6" t="str">
        <f t="shared" si="1158"/>
        <v/>
      </c>
      <c r="XC34" s="6" t="str">
        <f t="shared" si="1158"/>
        <v/>
      </c>
      <c r="XD34" s="6" t="str">
        <f t="shared" si="1158"/>
        <v/>
      </c>
      <c r="XE34" s="6" t="str">
        <f t="shared" si="1158"/>
        <v/>
      </c>
      <c r="XF34" s="6" t="str">
        <f t="shared" si="1158"/>
        <v/>
      </c>
      <c r="XG34" s="6" t="str">
        <f t="shared" si="1158"/>
        <v/>
      </c>
      <c r="XH34" s="6" t="str">
        <f t="shared" si="1158"/>
        <v/>
      </c>
      <c r="XI34" s="6" t="str">
        <f t="shared" si="1158"/>
        <v/>
      </c>
      <c r="XJ34" s="6" t="str">
        <f t="shared" si="1158"/>
        <v/>
      </c>
      <c r="XK34" s="6" t="str">
        <f t="shared" si="1158"/>
        <v/>
      </c>
      <c r="XL34" s="6" t="str">
        <f t="shared" si="1158"/>
        <v/>
      </c>
      <c r="XM34" s="6" t="str">
        <f t="shared" si="1158"/>
        <v/>
      </c>
      <c r="XN34" s="6" t="str">
        <f t="shared" si="1158"/>
        <v/>
      </c>
      <c r="XO34" s="6" t="str">
        <f t="shared" si="1158"/>
        <v/>
      </c>
      <c r="XP34" s="6" t="str">
        <f t="shared" si="1158"/>
        <v/>
      </c>
      <c r="XQ34" s="6" t="str">
        <f t="shared" si="1158"/>
        <v/>
      </c>
      <c r="XR34" s="6" t="str">
        <f t="shared" si="1158"/>
        <v/>
      </c>
      <c r="XS34" s="6" t="str">
        <f t="shared" si="1158"/>
        <v/>
      </c>
      <c r="XT34" s="6" t="str">
        <f t="shared" si="1158"/>
        <v/>
      </c>
      <c r="XU34" s="6" t="str">
        <f t="shared" ref="XU34:AAF34" si="1159">IF(OR(XU$35="M1", XU36="M2",XU37="M3",XU38="M4"),"", "M0")</f>
        <v/>
      </c>
      <c r="XV34" s="6" t="str">
        <f t="shared" si="1159"/>
        <v/>
      </c>
      <c r="XW34" s="6" t="str">
        <f t="shared" si="1159"/>
        <v/>
      </c>
      <c r="XX34" s="6" t="str">
        <f t="shared" si="1159"/>
        <v/>
      </c>
      <c r="XY34" s="6" t="str">
        <f t="shared" si="1159"/>
        <v/>
      </c>
      <c r="XZ34" s="6" t="str">
        <f t="shared" si="1159"/>
        <v/>
      </c>
      <c r="YA34" s="6" t="str">
        <f t="shared" si="1159"/>
        <v/>
      </c>
      <c r="YB34" s="6" t="str">
        <f t="shared" si="1159"/>
        <v/>
      </c>
      <c r="YC34" s="6" t="str">
        <f t="shared" si="1159"/>
        <v/>
      </c>
      <c r="YD34" s="6" t="str">
        <f t="shared" si="1159"/>
        <v/>
      </c>
      <c r="YE34" s="6" t="str">
        <f t="shared" si="1159"/>
        <v/>
      </c>
      <c r="YF34" s="6" t="str">
        <f t="shared" si="1159"/>
        <v/>
      </c>
      <c r="YG34" s="6" t="str">
        <f t="shared" si="1159"/>
        <v/>
      </c>
      <c r="YH34" s="6" t="str">
        <f t="shared" si="1159"/>
        <v/>
      </c>
      <c r="YI34" s="6" t="str">
        <f t="shared" si="1159"/>
        <v/>
      </c>
      <c r="YJ34" s="6" t="str">
        <f t="shared" si="1159"/>
        <v/>
      </c>
      <c r="YK34" s="6" t="str">
        <f t="shared" si="1159"/>
        <v/>
      </c>
      <c r="YL34" s="6" t="str">
        <f t="shared" si="1159"/>
        <v/>
      </c>
      <c r="YM34" s="6" t="str">
        <f t="shared" si="1159"/>
        <v/>
      </c>
      <c r="YN34" s="6" t="str">
        <f t="shared" si="1159"/>
        <v/>
      </c>
      <c r="YO34" s="6" t="str">
        <f t="shared" si="1159"/>
        <v/>
      </c>
      <c r="YP34" s="6" t="str">
        <f t="shared" si="1159"/>
        <v/>
      </c>
      <c r="YQ34" s="6" t="str">
        <f t="shared" si="1159"/>
        <v/>
      </c>
      <c r="YR34" s="6" t="str">
        <f t="shared" si="1159"/>
        <v/>
      </c>
      <c r="YS34" s="6" t="str">
        <f t="shared" si="1159"/>
        <v/>
      </c>
      <c r="YT34" s="6" t="str">
        <f t="shared" si="1159"/>
        <v/>
      </c>
      <c r="YU34" s="6" t="str">
        <f t="shared" si="1159"/>
        <v/>
      </c>
      <c r="YV34" s="6" t="str">
        <f t="shared" si="1159"/>
        <v/>
      </c>
      <c r="YW34" s="6" t="str">
        <f t="shared" si="1159"/>
        <v/>
      </c>
      <c r="YX34" s="6" t="str">
        <f t="shared" si="1159"/>
        <v/>
      </c>
      <c r="YY34" s="6" t="str">
        <f t="shared" si="1159"/>
        <v/>
      </c>
      <c r="YZ34" s="6" t="str">
        <f t="shared" si="1159"/>
        <v/>
      </c>
      <c r="ZA34" s="6" t="str">
        <f t="shared" si="1159"/>
        <v/>
      </c>
      <c r="ZB34" s="6" t="str">
        <f t="shared" si="1159"/>
        <v/>
      </c>
      <c r="ZC34" s="6" t="str">
        <f t="shared" si="1159"/>
        <v/>
      </c>
      <c r="ZD34" s="6" t="str">
        <f t="shared" si="1159"/>
        <v/>
      </c>
      <c r="ZE34" s="6" t="str">
        <f t="shared" si="1159"/>
        <v/>
      </c>
      <c r="ZF34" s="6" t="str">
        <f t="shared" si="1159"/>
        <v/>
      </c>
      <c r="ZG34" s="6" t="str">
        <f t="shared" si="1159"/>
        <v/>
      </c>
      <c r="ZH34" s="6" t="str">
        <f t="shared" si="1159"/>
        <v/>
      </c>
      <c r="ZI34" s="6" t="str">
        <f t="shared" si="1159"/>
        <v/>
      </c>
      <c r="ZJ34" s="6" t="str">
        <f t="shared" si="1159"/>
        <v/>
      </c>
      <c r="ZK34" s="6" t="str">
        <f t="shared" si="1159"/>
        <v/>
      </c>
      <c r="ZL34" s="6" t="str">
        <f t="shared" si="1159"/>
        <v/>
      </c>
      <c r="ZM34" s="6" t="str">
        <f t="shared" si="1159"/>
        <v/>
      </c>
      <c r="ZN34" s="6" t="str">
        <f t="shared" si="1159"/>
        <v/>
      </c>
      <c r="ZO34" s="6" t="str">
        <f t="shared" si="1159"/>
        <v/>
      </c>
      <c r="ZP34" s="6" t="str">
        <f t="shared" si="1159"/>
        <v/>
      </c>
      <c r="ZQ34" s="6" t="str">
        <f t="shared" si="1159"/>
        <v/>
      </c>
      <c r="ZR34" s="6" t="str">
        <f t="shared" si="1159"/>
        <v/>
      </c>
      <c r="ZS34" s="6" t="str">
        <f t="shared" si="1159"/>
        <v/>
      </c>
      <c r="ZT34" s="6" t="str">
        <f t="shared" si="1159"/>
        <v>M0</v>
      </c>
      <c r="ZU34" s="6" t="str">
        <f t="shared" si="1159"/>
        <v>M0</v>
      </c>
      <c r="ZV34" s="6" t="str">
        <f t="shared" si="1159"/>
        <v>M0</v>
      </c>
      <c r="ZW34" s="6" t="str">
        <f t="shared" si="1159"/>
        <v>M0</v>
      </c>
      <c r="ZX34" s="6" t="str">
        <f t="shared" si="1159"/>
        <v>M0</v>
      </c>
      <c r="ZY34" s="6" t="str">
        <f t="shared" si="1159"/>
        <v>M0</v>
      </c>
      <c r="ZZ34" s="6" t="str">
        <f t="shared" si="1159"/>
        <v>M0</v>
      </c>
      <c r="AAA34" s="6" t="str">
        <f t="shared" si="1159"/>
        <v>M0</v>
      </c>
      <c r="AAB34" s="6" t="str">
        <f t="shared" si="1159"/>
        <v>M0</v>
      </c>
      <c r="AAC34" s="6" t="str">
        <f t="shared" si="1159"/>
        <v>M0</v>
      </c>
      <c r="AAD34" s="6" t="str">
        <f t="shared" si="1159"/>
        <v>M0</v>
      </c>
      <c r="AAE34" s="6" t="str">
        <f t="shared" si="1159"/>
        <v>M0</v>
      </c>
      <c r="AAF34" s="6" t="str">
        <f t="shared" si="1159"/>
        <v>M0</v>
      </c>
      <c r="AAG34" s="6" t="str">
        <f t="shared" ref="AAG34:AAU34" si="1160">IF(OR(AAG$35="M1", AAG36="M2",AAG37="M3",AAG38="M4"),"", "M0")</f>
        <v>M0</v>
      </c>
      <c r="AAH34" s="6" t="str">
        <f t="shared" si="1160"/>
        <v>M0</v>
      </c>
      <c r="AAI34" s="6" t="str">
        <f t="shared" si="1160"/>
        <v>M0</v>
      </c>
      <c r="AAJ34" s="6" t="str">
        <f t="shared" si="1160"/>
        <v>M0</v>
      </c>
      <c r="AAK34" s="6" t="str">
        <f t="shared" si="1160"/>
        <v>M0</v>
      </c>
      <c r="AAL34" s="6" t="str">
        <f t="shared" si="1160"/>
        <v>M0</v>
      </c>
      <c r="AAM34" s="6" t="str">
        <f t="shared" si="1160"/>
        <v>M0</v>
      </c>
      <c r="AAN34" s="6" t="str">
        <f t="shared" si="1160"/>
        <v>M0</v>
      </c>
      <c r="AAO34" s="6" t="str">
        <f t="shared" si="1160"/>
        <v>M0</v>
      </c>
      <c r="AAP34" s="6" t="str">
        <f t="shared" si="1160"/>
        <v>M0</v>
      </c>
      <c r="AAQ34" s="6" t="str">
        <f t="shared" si="1160"/>
        <v>M0</v>
      </c>
      <c r="AAR34" s="6" t="str">
        <f t="shared" si="1160"/>
        <v>M0</v>
      </c>
      <c r="AAS34" s="6" t="str">
        <f t="shared" si="1160"/>
        <v>M0</v>
      </c>
      <c r="AAT34" s="6" t="str">
        <f t="shared" si="1160"/>
        <v>M0</v>
      </c>
      <c r="AAU34" s="6" t="str">
        <f t="shared" si="1160"/>
        <v>M0</v>
      </c>
      <c r="AAV34" s="6" t="str">
        <f>IF(OR(AAV$35="M1", AAV36="M2",AAV37="M3",AAV38="M4"),"", "M0")</f>
        <v/>
      </c>
      <c r="AAW34" s="6" t="str">
        <f t="shared" ref="AAW34:ADH34" si="1161">IF(OR(AAW$35="M1", AAW36="M2",AAW37="M3",AAW38="M4"),"", "M0")</f>
        <v/>
      </c>
      <c r="AAX34" s="6" t="str">
        <f t="shared" si="1161"/>
        <v/>
      </c>
      <c r="AAY34" s="6" t="str">
        <f t="shared" si="1161"/>
        <v/>
      </c>
      <c r="AAZ34" s="6" t="str">
        <f t="shared" si="1161"/>
        <v/>
      </c>
      <c r="ABA34" s="6" t="str">
        <f t="shared" si="1161"/>
        <v/>
      </c>
      <c r="ABB34" s="6" t="str">
        <f t="shared" si="1161"/>
        <v/>
      </c>
      <c r="ABC34" s="6" t="str">
        <f t="shared" si="1161"/>
        <v/>
      </c>
      <c r="ABD34" s="6" t="str">
        <f t="shared" si="1161"/>
        <v/>
      </c>
      <c r="ABE34" s="6" t="str">
        <f t="shared" si="1161"/>
        <v/>
      </c>
      <c r="ABF34" s="6" t="str">
        <f t="shared" si="1161"/>
        <v/>
      </c>
      <c r="ABG34" s="6" t="str">
        <f t="shared" si="1161"/>
        <v/>
      </c>
      <c r="ABH34" s="6" t="str">
        <f t="shared" si="1161"/>
        <v/>
      </c>
      <c r="ABI34" s="6" t="str">
        <f t="shared" si="1161"/>
        <v/>
      </c>
      <c r="ABJ34" s="6" t="str">
        <f t="shared" si="1161"/>
        <v/>
      </c>
      <c r="ABK34" s="6" t="str">
        <f t="shared" si="1161"/>
        <v/>
      </c>
      <c r="ABL34" s="6" t="str">
        <f t="shared" si="1161"/>
        <v/>
      </c>
      <c r="ABM34" s="6" t="str">
        <f t="shared" si="1161"/>
        <v/>
      </c>
      <c r="ABN34" s="6" t="str">
        <f t="shared" si="1161"/>
        <v/>
      </c>
      <c r="ABO34" s="6" t="str">
        <f t="shared" si="1161"/>
        <v/>
      </c>
      <c r="ABP34" s="6" t="str">
        <f t="shared" si="1161"/>
        <v/>
      </c>
      <c r="ABQ34" s="6" t="str">
        <f t="shared" si="1161"/>
        <v/>
      </c>
      <c r="ABR34" s="6" t="str">
        <f t="shared" si="1161"/>
        <v/>
      </c>
      <c r="ABS34" s="6" t="str">
        <f t="shared" si="1161"/>
        <v/>
      </c>
      <c r="ABT34" s="6" t="str">
        <f t="shared" si="1161"/>
        <v/>
      </c>
      <c r="ABU34" s="6" t="str">
        <f t="shared" si="1161"/>
        <v/>
      </c>
      <c r="ABV34" s="6" t="str">
        <f t="shared" si="1161"/>
        <v/>
      </c>
      <c r="ABW34" s="6" t="str">
        <f t="shared" si="1161"/>
        <v/>
      </c>
      <c r="ABX34" s="6" t="str">
        <f t="shared" si="1161"/>
        <v/>
      </c>
      <c r="ABY34" s="6" t="str">
        <f t="shared" si="1161"/>
        <v/>
      </c>
      <c r="ABZ34" s="6" t="str">
        <f t="shared" si="1161"/>
        <v/>
      </c>
      <c r="ACA34" s="6" t="str">
        <f t="shared" si="1161"/>
        <v/>
      </c>
      <c r="ACB34" s="6" t="str">
        <f t="shared" si="1161"/>
        <v/>
      </c>
      <c r="ACC34" s="6" t="str">
        <f t="shared" si="1161"/>
        <v/>
      </c>
      <c r="ACD34" s="6" t="str">
        <f t="shared" si="1161"/>
        <v/>
      </c>
      <c r="ACE34" s="6" t="str">
        <f t="shared" si="1161"/>
        <v/>
      </c>
      <c r="ACF34" s="6" t="str">
        <f t="shared" si="1161"/>
        <v/>
      </c>
      <c r="ACG34" s="6" t="str">
        <f t="shared" si="1161"/>
        <v/>
      </c>
      <c r="ACH34" s="6" t="str">
        <f t="shared" si="1161"/>
        <v/>
      </c>
      <c r="ACI34" s="6" t="str">
        <f t="shared" si="1161"/>
        <v/>
      </c>
      <c r="ACJ34" s="6" t="str">
        <f t="shared" si="1161"/>
        <v/>
      </c>
      <c r="ACK34" s="6" t="str">
        <f t="shared" si="1161"/>
        <v/>
      </c>
      <c r="ACL34" s="6" t="str">
        <f t="shared" si="1161"/>
        <v/>
      </c>
      <c r="ACM34" s="6" t="str">
        <f t="shared" si="1161"/>
        <v/>
      </c>
      <c r="ACN34" s="6" t="str">
        <f t="shared" si="1161"/>
        <v/>
      </c>
      <c r="ACO34" s="6" t="str">
        <f t="shared" si="1161"/>
        <v/>
      </c>
      <c r="ACP34" s="6" t="str">
        <f t="shared" si="1161"/>
        <v/>
      </c>
      <c r="ACQ34" s="6" t="str">
        <f t="shared" si="1161"/>
        <v/>
      </c>
      <c r="ACR34" s="6" t="str">
        <f t="shared" si="1161"/>
        <v/>
      </c>
      <c r="ACS34" s="6" t="str">
        <f t="shared" si="1161"/>
        <v/>
      </c>
      <c r="ACT34" s="6" t="str">
        <f t="shared" si="1161"/>
        <v/>
      </c>
      <c r="ACU34" s="6" t="str">
        <f t="shared" si="1161"/>
        <v/>
      </c>
      <c r="ACV34" s="6" t="str">
        <f t="shared" si="1161"/>
        <v/>
      </c>
      <c r="ACW34" s="6" t="str">
        <f t="shared" si="1161"/>
        <v/>
      </c>
      <c r="ACX34" s="6" t="str">
        <f t="shared" si="1161"/>
        <v/>
      </c>
      <c r="ACY34" s="6" t="str">
        <f t="shared" si="1161"/>
        <v/>
      </c>
      <c r="ACZ34" s="6" t="str">
        <f t="shared" si="1161"/>
        <v/>
      </c>
      <c r="ADA34" s="6" t="str">
        <f t="shared" si="1161"/>
        <v/>
      </c>
      <c r="ADB34" s="6" t="str">
        <f t="shared" si="1161"/>
        <v/>
      </c>
      <c r="ADC34" s="6" t="str">
        <f t="shared" si="1161"/>
        <v/>
      </c>
      <c r="ADD34" s="6" t="str">
        <f t="shared" si="1161"/>
        <v/>
      </c>
      <c r="ADE34" s="6" t="str">
        <f t="shared" si="1161"/>
        <v/>
      </c>
      <c r="ADF34" s="6" t="str">
        <f t="shared" si="1161"/>
        <v/>
      </c>
      <c r="ADG34" s="6" t="str">
        <f t="shared" si="1161"/>
        <v/>
      </c>
      <c r="ADH34" s="6" t="str">
        <f t="shared" si="1161"/>
        <v/>
      </c>
      <c r="ADI34" s="6" t="str">
        <f t="shared" ref="ADI34:AFT34" si="1162">IF(OR(ADI$35="M1", ADI36="M2",ADI37="M3",ADI38="M4"),"", "M0")</f>
        <v/>
      </c>
      <c r="ADJ34" s="6" t="str">
        <f t="shared" si="1162"/>
        <v/>
      </c>
      <c r="ADK34" s="6" t="str">
        <f t="shared" si="1162"/>
        <v/>
      </c>
      <c r="ADL34" s="6" t="str">
        <f t="shared" si="1162"/>
        <v/>
      </c>
      <c r="ADM34" s="6" t="str">
        <f t="shared" si="1162"/>
        <v/>
      </c>
      <c r="ADN34" s="6" t="str">
        <f t="shared" si="1162"/>
        <v/>
      </c>
      <c r="ADO34" s="6" t="str">
        <f t="shared" si="1162"/>
        <v/>
      </c>
      <c r="ADP34" s="6" t="str">
        <f t="shared" si="1162"/>
        <v/>
      </c>
      <c r="ADQ34" s="6" t="str">
        <f t="shared" si="1162"/>
        <v/>
      </c>
      <c r="ADR34" s="6" t="str">
        <f t="shared" si="1162"/>
        <v/>
      </c>
      <c r="ADS34" s="6" t="str">
        <f t="shared" si="1162"/>
        <v/>
      </c>
      <c r="ADT34" s="6" t="str">
        <f t="shared" si="1162"/>
        <v/>
      </c>
      <c r="ADU34" s="6" t="str">
        <f t="shared" si="1162"/>
        <v/>
      </c>
      <c r="ADV34" s="6" t="str">
        <f t="shared" si="1162"/>
        <v/>
      </c>
      <c r="ADW34" s="6" t="str">
        <f t="shared" si="1162"/>
        <v/>
      </c>
      <c r="ADX34" s="6" t="str">
        <f t="shared" si="1162"/>
        <v/>
      </c>
      <c r="ADY34" s="6" t="str">
        <f t="shared" si="1162"/>
        <v/>
      </c>
      <c r="ADZ34" s="6" t="str">
        <f t="shared" si="1162"/>
        <v/>
      </c>
      <c r="AEA34" s="6" t="str">
        <f t="shared" si="1162"/>
        <v/>
      </c>
      <c r="AEB34" s="6" t="str">
        <f t="shared" si="1162"/>
        <v/>
      </c>
      <c r="AEC34" s="6" t="str">
        <f t="shared" si="1162"/>
        <v/>
      </c>
      <c r="AED34" s="6" t="str">
        <f t="shared" si="1162"/>
        <v/>
      </c>
      <c r="AEE34" s="6" t="str">
        <f t="shared" si="1162"/>
        <v/>
      </c>
      <c r="AEF34" s="6" t="str">
        <f t="shared" si="1162"/>
        <v/>
      </c>
      <c r="AEG34" s="6" t="str">
        <f t="shared" si="1162"/>
        <v/>
      </c>
      <c r="AEH34" s="6" t="str">
        <f t="shared" si="1162"/>
        <v/>
      </c>
      <c r="AEI34" s="6" t="str">
        <f t="shared" si="1162"/>
        <v/>
      </c>
      <c r="AEJ34" s="6" t="str">
        <f t="shared" si="1162"/>
        <v/>
      </c>
      <c r="AEK34" s="6" t="str">
        <f t="shared" si="1162"/>
        <v/>
      </c>
      <c r="AEL34" s="6" t="str">
        <f t="shared" si="1162"/>
        <v/>
      </c>
      <c r="AEM34" s="6" t="str">
        <f t="shared" si="1162"/>
        <v/>
      </c>
      <c r="AEN34" s="6" t="str">
        <f t="shared" si="1162"/>
        <v/>
      </c>
      <c r="AEO34" s="6" t="str">
        <f t="shared" si="1162"/>
        <v/>
      </c>
      <c r="AEP34" s="6" t="str">
        <f t="shared" si="1162"/>
        <v/>
      </c>
      <c r="AEQ34" s="6" t="str">
        <f t="shared" si="1162"/>
        <v/>
      </c>
      <c r="AER34" s="6" t="str">
        <f t="shared" si="1162"/>
        <v/>
      </c>
      <c r="AES34" s="6" t="str">
        <f t="shared" si="1162"/>
        <v/>
      </c>
      <c r="AET34" s="6" t="str">
        <f t="shared" si="1162"/>
        <v/>
      </c>
      <c r="AEU34" s="6" t="str">
        <f t="shared" si="1162"/>
        <v/>
      </c>
      <c r="AEV34" s="6" t="str">
        <f t="shared" si="1162"/>
        <v/>
      </c>
      <c r="AEW34" s="6" t="str">
        <f t="shared" si="1162"/>
        <v/>
      </c>
      <c r="AEX34" s="6" t="str">
        <f t="shared" si="1162"/>
        <v/>
      </c>
      <c r="AEY34" s="6" t="str">
        <f t="shared" si="1162"/>
        <v/>
      </c>
      <c r="AEZ34" s="6" t="str">
        <f t="shared" si="1162"/>
        <v/>
      </c>
      <c r="AFA34" s="6" t="str">
        <f t="shared" si="1162"/>
        <v/>
      </c>
      <c r="AFB34" s="6" t="str">
        <f t="shared" si="1162"/>
        <v/>
      </c>
      <c r="AFC34" s="6" t="str">
        <f t="shared" si="1162"/>
        <v/>
      </c>
      <c r="AFD34" s="6" t="str">
        <f t="shared" si="1162"/>
        <v/>
      </c>
      <c r="AFE34" s="6" t="str">
        <f t="shared" si="1162"/>
        <v/>
      </c>
      <c r="AFF34" s="6" t="str">
        <f t="shared" si="1162"/>
        <v/>
      </c>
      <c r="AFG34" s="6" t="str">
        <f t="shared" si="1162"/>
        <v/>
      </c>
      <c r="AFH34" s="6" t="str">
        <f t="shared" si="1162"/>
        <v>M0</v>
      </c>
      <c r="AFI34" s="6" t="str">
        <f t="shared" si="1162"/>
        <v>M0</v>
      </c>
      <c r="AFJ34" s="6" t="str">
        <f t="shared" si="1162"/>
        <v>M0</v>
      </c>
      <c r="AFK34" s="6" t="str">
        <f t="shared" si="1162"/>
        <v>M0</v>
      </c>
      <c r="AFL34" s="6" t="str">
        <f t="shared" si="1162"/>
        <v>M0</v>
      </c>
      <c r="AFM34" s="6" t="str">
        <f t="shared" si="1162"/>
        <v>M0</v>
      </c>
      <c r="AFN34" s="6" t="str">
        <f t="shared" si="1162"/>
        <v>M0</v>
      </c>
      <c r="AFO34" s="6" t="str">
        <f t="shared" si="1162"/>
        <v>M0</v>
      </c>
      <c r="AFP34" s="6" t="str">
        <f t="shared" si="1162"/>
        <v>M0</v>
      </c>
      <c r="AFQ34" s="6" t="str">
        <f t="shared" si="1162"/>
        <v>M0</v>
      </c>
      <c r="AFR34" s="6" t="str">
        <f t="shared" si="1162"/>
        <v>M0</v>
      </c>
      <c r="AFS34" s="6" t="str">
        <f t="shared" si="1162"/>
        <v>M0</v>
      </c>
      <c r="AFT34" s="6" t="str">
        <f t="shared" si="1162"/>
        <v>M0</v>
      </c>
      <c r="AFU34" s="6" t="str">
        <f t="shared" ref="AFU34:AGI34" si="1163">IF(OR(AFU$35="M1", AFU36="M2",AFU37="M3",AFU38="M4"),"", "M0")</f>
        <v>M0</v>
      </c>
      <c r="AFV34" s="6" t="str">
        <f t="shared" si="1163"/>
        <v>M0</v>
      </c>
      <c r="AFW34" s="6" t="str">
        <f t="shared" si="1163"/>
        <v>M0</v>
      </c>
      <c r="AFX34" s="6" t="str">
        <f t="shared" si="1163"/>
        <v>M0</v>
      </c>
      <c r="AFY34" s="6" t="str">
        <f t="shared" si="1163"/>
        <v>M0</v>
      </c>
      <c r="AFZ34" s="6" t="str">
        <f t="shared" si="1163"/>
        <v>M0</v>
      </c>
      <c r="AGA34" s="6" t="str">
        <f t="shared" si="1163"/>
        <v>M0</v>
      </c>
      <c r="AGB34" s="6" t="str">
        <f t="shared" si="1163"/>
        <v>M0</v>
      </c>
      <c r="AGC34" s="6" t="str">
        <f t="shared" si="1163"/>
        <v>M0</v>
      </c>
      <c r="AGD34" s="6" t="str">
        <f t="shared" si="1163"/>
        <v>M0</v>
      </c>
      <c r="AGE34" s="6" t="str">
        <f t="shared" si="1163"/>
        <v>M0</v>
      </c>
      <c r="AGF34" s="6" t="str">
        <f t="shared" si="1163"/>
        <v>M0</v>
      </c>
      <c r="AGG34" s="6" t="str">
        <f t="shared" si="1163"/>
        <v>M0</v>
      </c>
      <c r="AGH34" s="6" t="str">
        <f t="shared" si="1163"/>
        <v>M0</v>
      </c>
      <c r="AGI34" s="6" t="str">
        <f t="shared" si="1163"/>
        <v>M0</v>
      </c>
      <c r="AGJ34" s="6" t="str">
        <f>IF(OR(AGJ$35="M1", AGJ36="M2",AGJ37="M3",AGJ38="M4"),"", "M0")</f>
        <v/>
      </c>
      <c r="AGK34" s="6" t="str">
        <f t="shared" ref="AGK34:AIV34" si="1164">IF(OR(AGK$35="M1", AGK36="M2",AGK37="M3",AGK38="M4"),"", "M0")</f>
        <v/>
      </c>
      <c r="AGL34" s="6" t="str">
        <f t="shared" si="1164"/>
        <v/>
      </c>
      <c r="AGM34" s="6" t="str">
        <f t="shared" si="1164"/>
        <v/>
      </c>
      <c r="AGN34" s="6" t="str">
        <f t="shared" si="1164"/>
        <v/>
      </c>
      <c r="AGO34" s="6" t="str">
        <f t="shared" si="1164"/>
        <v/>
      </c>
      <c r="AGP34" s="6" t="str">
        <f t="shared" si="1164"/>
        <v/>
      </c>
      <c r="AGQ34" s="6" t="str">
        <f t="shared" si="1164"/>
        <v/>
      </c>
      <c r="AGR34" s="6" t="str">
        <f t="shared" si="1164"/>
        <v/>
      </c>
      <c r="AGS34" s="6" t="str">
        <f t="shared" si="1164"/>
        <v/>
      </c>
      <c r="AGT34" s="6" t="str">
        <f t="shared" si="1164"/>
        <v/>
      </c>
      <c r="AGU34" s="6" t="str">
        <f t="shared" si="1164"/>
        <v/>
      </c>
      <c r="AGV34" s="6" t="str">
        <f t="shared" si="1164"/>
        <v/>
      </c>
      <c r="AGW34" s="6" t="str">
        <f t="shared" si="1164"/>
        <v/>
      </c>
      <c r="AGX34" s="6" t="str">
        <f t="shared" si="1164"/>
        <v/>
      </c>
      <c r="AGY34" s="6" t="str">
        <f t="shared" si="1164"/>
        <v/>
      </c>
      <c r="AGZ34" s="6" t="str">
        <f t="shared" si="1164"/>
        <v/>
      </c>
      <c r="AHA34" s="6" t="str">
        <f t="shared" si="1164"/>
        <v/>
      </c>
      <c r="AHB34" s="6" t="str">
        <f t="shared" si="1164"/>
        <v/>
      </c>
      <c r="AHC34" s="6" t="str">
        <f t="shared" si="1164"/>
        <v/>
      </c>
      <c r="AHD34" s="6" t="str">
        <f t="shared" si="1164"/>
        <v/>
      </c>
      <c r="AHE34" s="6" t="str">
        <f t="shared" si="1164"/>
        <v/>
      </c>
      <c r="AHF34" s="6" t="str">
        <f t="shared" si="1164"/>
        <v/>
      </c>
      <c r="AHG34" s="6" t="str">
        <f t="shared" si="1164"/>
        <v/>
      </c>
      <c r="AHH34" s="6" t="str">
        <f t="shared" si="1164"/>
        <v/>
      </c>
      <c r="AHI34" s="6" t="str">
        <f t="shared" si="1164"/>
        <v/>
      </c>
      <c r="AHJ34" s="6" t="str">
        <f t="shared" si="1164"/>
        <v/>
      </c>
      <c r="AHK34" s="6" t="str">
        <f t="shared" si="1164"/>
        <v/>
      </c>
      <c r="AHL34" s="6" t="str">
        <f t="shared" si="1164"/>
        <v/>
      </c>
      <c r="AHM34" s="6" t="str">
        <f t="shared" si="1164"/>
        <v/>
      </c>
      <c r="AHN34" s="6" t="str">
        <f t="shared" si="1164"/>
        <v/>
      </c>
      <c r="AHO34" s="6" t="str">
        <f t="shared" si="1164"/>
        <v/>
      </c>
      <c r="AHP34" s="6" t="str">
        <f t="shared" si="1164"/>
        <v/>
      </c>
      <c r="AHQ34" s="6" t="str">
        <f t="shared" si="1164"/>
        <v/>
      </c>
      <c r="AHR34" s="6" t="str">
        <f t="shared" si="1164"/>
        <v/>
      </c>
      <c r="AHS34" s="6" t="str">
        <f t="shared" si="1164"/>
        <v/>
      </c>
      <c r="AHT34" s="6" t="str">
        <f t="shared" si="1164"/>
        <v/>
      </c>
      <c r="AHU34" s="6" t="str">
        <f t="shared" si="1164"/>
        <v/>
      </c>
      <c r="AHV34" s="6" t="str">
        <f t="shared" si="1164"/>
        <v/>
      </c>
      <c r="AHW34" s="6" t="str">
        <f t="shared" si="1164"/>
        <v/>
      </c>
      <c r="AHX34" s="6" t="str">
        <f t="shared" si="1164"/>
        <v/>
      </c>
      <c r="AHY34" s="6" t="str">
        <f t="shared" si="1164"/>
        <v/>
      </c>
      <c r="AHZ34" s="6" t="str">
        <f t="shared" si="1164"/>
        <v/>
      </c>
      <c r="AIA34" s="6" t="str">
        <f t="shared" si="1164"/>
        <v/>
      </c>
      <c r="AIB34" s="6" t="str">
        <f t="shared" si="1164"/>
        <v/>
      </c>
      <c r="AIC34" s="6" t="str">
        <f t="shared" si="1164"/>
        <v/>
      </c>
      <c r="AID34" s="6" t="str">
        <f t="shared" si="1164"/>
        <v/>
      </c>
      <c r="AIE34" s="6" t="str">
        <f t="shared" si="1164"/>
        <v/>
      </c>
      <c r="AIF34" s="6" t="str">
        <f t="shared" si="1164"/>
        <v/>
      </c>
      <c r="AIG34" s="6" t="str">
        <f t="shared" si="1164"/>
        <v/>
      </c>
      <c r="AIH34" s="6" t="str">
        <f t="shared" si="1164"/>
        <v/>
      </c>
      <c r="AII34" s="6" t="str">
        <f t="shared" si="1164"/>
        <v/>
      </c>
      <c r="AIJ34" s="6" t="str">
        <f t="shared" si="1164"/>
        <v/>
      </c>
      <c r="AIK34" s="6" t="str">
        <f t="shared" si="1164"/>
        <v/>
      </c>
      <c r="AIL34" s="6" t="str">
        <f t="shared" si="1164"/>
        <v/>
      </c>
      <c r="AIM34" s="6" t="str">
        <f t="shared" si="1164"/>
        <v/>
      </c>
      <c r="AIN34" s="6" t="str">
        <f t="shared" si="1164"/>
        <v/>
      </c>
      <c r="AIO34" s="6" t="str">
        <f t="shared" si="1164"/>
        <v/>
      </c>
      <c r="AIP34" s="6" t="str">
        <f t="shared" si="1164"/>
        <v/>
      </c>
      <c r="AIQ34" s="6" t="str">
        <f t="shared" si="1164"/>
        <v/>
      </c>
      <c r="AIR34" s="6" t="str">
        <f t="shared" si="1164"/>
        <v/>
      </c>
      <c r="AIS34" s="6" t="str">
        <f t="shared" si="1164"/>
        <v/>
      </c>
      <c r="AIT34" s="6" t="str">
        <f t="shared" si="1164"/>
        <v/>
      </c>
      <c r="AIU34" s="6" t="str">
        <f t="shared" si="1164"/>
        <v/>
      </c>
      <c r="AIV34" s="6" t="str">
        <f t="shared" si="1164"/>
        <v/>
      </c>
      <c r="AIW34" s="6" t="str">
        <f t="shared" ref="AIW34:ALH34" si="1165">IF(OR(AIW$35="M1", AIW36="M2",AIW37="M3",AIW38="M4"),"", "M0")</f>
        <v/>
      </c>
      <c r="AIX34" s="6" t="str">
        <f t="shared" si="1165"/>
        <v/>
      </c>
      <c r="AIY34" s="6" t="str">
        <f t="shared" si="1165"/>
        <v/>
      </c>
      <c r="AIZ34" s="6" t="str">
        <f t="shared" si="1165"/>
        <v/>
      </c>
      <c r="AJA34" s="6" t="str">
        <f t="shared" si="1165"/>
        <v/>
      </c>
      <c r="AJB34" s="6" t="str">
        <f t="shared" si="1165"/>
        <v/>
      </c>
      <c r="AJC34" s="6" t="str">
        <f t="shared" si="1165"/>
        <v/>
      </c>
      <c r="AJD34" s="6" t="str">
        <f t="shared" si="1165"/>
        <v/>
      </c>
      <c r="AJE34" s="6" t="str">
        <f t="shared" si="1165"/>
        <v/>
      </c>
      <c r="AJF34" s="6" t="str">
        <f t="shared" si="1165"/>
        <v/>
      </c>
      <c r="AJG34" s="6" t="str">
        <f t="shared" si="1165"/>
        <v/>
      </c>
      <c r="AJH34" s="6" t="str">
        <f t="shared" si="1165"/>
        <v/>
      </c>
      <c r="AJI34" s="6" t="str">
        <f t="shared" si="1165"/>
        <v/>
      </c>
      <c r="AJJ34" s="6" t="str">
        <f t="shared" si="1165"/>
        <v/>
      </c>
      <c r="AJK34" s="6" t="str">
        <f t="shared" si="1165"/>
        <v/>
      </c>
      <c r="AJL34" s="6" t="str">
        <f t="shared" si="1165"/>
        <v/>
      </c>
      <c r="AJM34" s="6" t="str">
        <f t="shared" si="1165"/>
        <v/>
      </c>
      <c r="AJN34" s="6" t="str">
        <f t="shared" si="1165"/>
        <v/>
      </c>
      <c r="AJO34" s="6" t="str">
        <f t="shared" si="1165"/>
        <v/>
      </c>
      <c r="AJP34" s="6" t="str">
        <f t="shared" si="1165"/>
        <v/>
      </c>
      <c r="AJQ34" s="6" t="str">
        <f t="shared" si="1165"/>
        <v/>
      </c>
      <c r="AJR34" s="6" t="str">
        <f t="shared" si="1165"/>
        <v/>
      </c>
      <c r="AJS34" s="6" t="str">
        <f t="shared" si="1165"/>
        <v/>
      </c>
      <c r="AJT34" s="6" t="str">
        <f t="shared" si="1165"/>
        <v/>
      </c>
      <c r="AJU34" s="6" t="str">
        <f t="shared" si="1165"/>
        <v/>
      </c>
      <c r="AJV34" s="6" t="str">
        <f t="shared" si="1165"/>
        <v/>
      </c>
      <c r="AJW34" s="6" t="str">
        <f t="shared" si="1165"/>
        <v/>
      </c>
      <c r="AJX34" s="6" t="str">
        <f t="shared" si="1165"/>
        <v/>
      </c>
      <c r="AJY34" s="6" t="str">
        <f t="shared" si="1165"/>
        <v/>
      </c>
      <c r="AJZ34" s="6" t="str">
        <f t="shared" si="1165"/>
        <v/>
      </c>
      <c r="AKA34" s="6" t="str">
        <f t="shared" si="1165"/>
        <v/>
      </c>
      <c r="AKB34" s="6" t="str">
        <f t="shared" si="1165"/>
        <v/>
      </c>
      <c r="AKC34" s="6" t="str">
        <f t="shared" si="1165"/>
        <v/>
      </c>
      <c r="AKD34" s="6" t="str">
        <f t="shared" si="1165"/>
        <v/>
      </c>
      <c r="AKE34" s="6" t="str">
        <f t="shared" si="1165"/>
        <v/>
      </c>
      <c r="AKF34" s="6" t="str">
        <f t="shared" si="1165"/>
        <v/>
      </c>
      <c r="AKG34" s="6" t="str">
        <f t="shared" si="1165"/>
        <v/>
      </c>
      <c r="AKH34" s="6" t="str">
        <f t="shared" si="1165"/>
        <v/>
      </c>
      <c r="AKI34" s="6" t="str">
        <f t="shared" si="1165"/>
        <v/>
      </c>
      <c r="AKJ34" s="6" t="str">
        <f t="shared" si="1165"/>
        <v/>
      </c>
      <c r="AKK34" s="6" t="str">
        <f t="shared" si="1165"/>
        <v/>
      </c>
      <c r="AKL34" s="6" t="str">
        <f t="shared" si="1165"/>
        <v/>
      </c>
      <c r="AKM34" s="6" t="str">
        <f t="shared" si="1165"/>
        <v/>
      </c>
      <c r="AKN34" s="6" t="str">
        <f t="shared" si="1165"/>
        <v/>
      </c>
      <c r="AKO34" s="6" t="str">
        <f t="shared" si="1165"/>
        <v/>
      </c>
      <c r="AKP34" s="6" t="str">
        <f t="shared" si="1165"/>
        <v/>
      </c>
      <c r="AKQ34" s="6" t="str">
        <f t="shared" si="1165"/>
        <v/>
      </c>
      <c r="AKR34" s="6" t="str">
        <f t="shared" si="1165"/>
        <v/>
      </c>
      <c r="AKS34" s="6" t="str">
        <f t="shared" si="1165"/>
        <v/>
      </c>
      <c r="AKT34" s="6" t="str">
        <f t="shared" si="1165"/>
        <v/>
      </c>
      <c r="AKU34" s="6" t="str">
        <f t="shared" si="1165"/>
        <v/>
      </c>
      <c r="AKV34" s="6" t="str">
        <f t="shared" si="1165"/>
        <v>M0</v>
      </c>
      <c r="AKW34" s="6" t="str">
        <f t="shared" si="1165"/>
        <v>M0</v>
      </c>
      <c r="AKX34" s="6" t="str">
        <f t="shared" si="1165"/>
        <v>M0</v>
      </c>
      <c r="AKY34" s="6" t="str">
        <f t="shared" si="1165"/>
        <v>M0</v>
      </c>
      <c r="AKZ34" s="6" t="str">
        <f t="shared" si="1165"/>
        <v>M0</v>
      </c>
      <c r="ALA34" s="6" t="str">
        <f t="shared" si="1165"/>
        <v>M0</v>
      </c>
      <c r="ALB34" s="6" t="str">
        <f t="shared" si="1165"/>
        <v>M0</v>
      </c>
      <c r="ALC34" s="6" t="str">
        <f t="shared" si="1165"/>
        <v>M0</v>
      </c>
      <c r="ALD34" s="6" t="str">
        <f t="shared" si="1165"/>
        <v>M0</v>
      </c>
      <c r="ALE34" s="6" t="str">
        <f t="shared" si="1165"/>
        <v>M0</v>
      </c>
      <c r="ALF34" s="6" t="str">
        <f t="shared" si="1165"/>
        <v>M0</v>
      </c>
      <c r="ALG34" s="6" t="str">
        <f t="shared" si="1165"/>
        <v>M0</v>
      </c>
      <c r="ALH34" s="6" t="str">
        <f t="shared" si="1165"/>
        <v>M0</v>
      </c>
      <c r="ALI34" s="6" t="str">
        <f t="shared" ref="ALI34:ALW34" si="1166">IF(OR(ALI$35="M1", ALI36="M2",ALI37="M3",ALI38="M4"),"", "M0")</f>
        <v>M0</v>
      </c>
      <c r="ALJ34" s="6" t="str">
        <f t="shared" si="1166"/>
        <v>M0</v>
      </c>
      <c r="ALK34" s="6" t="str">
        <f t="shared" si="1166"/>
        <v>M0</v>
      </c>
      <c r="ALL34" s="6" t="str">
        <f t="shared" si="1166"/>
        <v>M0</v>
      </c>
      <c r="ALM34" s="6" t="str">
        <f t="shared" si="1166"/>
        <v>M0</v>
      </c>
      <c r="ALN34" s="6" t="str">
        <f t="shared" si="1166"/>
        <v>M0</v>
      </c>
      <c r="ALO34" s="6" t="str">
        <f t="shared" si="1166"/>
        <v>M0</v>
      </c>
      <c r="ALP34" s="6" t="str">
        <f t="shared" si="1166"/>
        <v>M0</v>
      </c>
      <c r="ALQ34" s="6" t="str">
        <f t="shared" si="1166"/>
        <v>M0</v>
      </c>
      <c r="ALR34" s="6" t="str">
        <f t="shared" si="1166"/>
        <v>M0</v>
      </c>
      <c r="ALS34" s="6" t="str">
        <f t="shared" si="1166"/>
        <v>M0</v>
      </c>
      <c r="ALT34" s="6" t="str">
        <f t="shared" si="1166"/>
        <v>M0</v>
      </c>
      <c r="ALU34" s="6" t="str">
        <f t="shared" si="1166"/>
        <v>M0</v>
      </c>
      <c r="ALV34" s="6" t="str">
        <f t="shared" si="1166"/>
        <v>M0</v>
      </c>
      <c r="ALW34" s="6" t="str">
        <f t="shared" si="1166"/>
        <v>M0</v>
      </c>
    </row>
    <row r="35" spans="2:1011" outlineLevel="1" x14ac:dyDescent="0.25">
      <c r="C35" s="5" t="s">
        <v>4</v>
      </c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 t="s">
        <v>4</v>
      </c>
      <c r="AE35" s="6" t="s">
        <v>4</v>
      </c>
      <c r="AF35" s="6" t="s">
        <v>4</v>
      </c>
      <c r="AG35" s="6" t="s">
        <v>4</v>
      </c>
      <c r="AH35" s="6" t="s">
        <v>4</v>
      </c>
      <c r="AI35" s="6" t="s">
        <v>4</v>
      </c>
      <c r="AJ35" s="6" t="s">
        <v>4</v>
      </c>
      <c r="AK35" s="6" t="s">
        <v>4</v>
      </c>
      <c r="AL35" s="6" t="s">
        <v>4</v>
      </c>
      <c r="AM35" s="6" t="s">
        <v>4</v>
      </c>
      <c r="AN35" s="6" t="s">
        <v>4</v>
      </c>
      <c r="AO35" s="6" t="s">
        <v>4</v>
      </c>
      <c r="AP35" s="6" t="s">
        <v>4</v>
      </c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 t="s">
        <v>4</v>
      </c>
      <c r="BK35" s="6" t="s">
        <v>4</v>
      </c>
      <c r="BL35" s="6" t="s">
        <v>4</v>
      </c>
      <c r="BM35" s="6" t="s">
        <v>4</v>
      </c>
      <c r="BN35" s="6" t="s">
        <v>4</v>
      </c>
      <c r="BO35" s="6" t="s">
        <v>4</v>
      </c>
      <c r="BP35" s="6" t="s">
        <v>4</v>
      </c>
      <c r="BQ35" s="6" t="s">
        <v>4</v>
      </c>
      <c r="BR35" s="6" t="s">
        <v>4</v>
      </c>
      <c r="BS35" s="6" t="s">
        <v>4</v>
      </c>
      <c r="BT35" s="6" t="s">
        <v>4</v>
      </c>
      <c r="BU35" s="6" t="s">
        <v>4</v>
      </c>
      <c r="BV35" s="6" t="s">
        <v>4</v>
      </c>
      <c r="BW35" s="6" t="s">
        <v>4</v>
      </c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 t="s">
        <v>4</v>
      </c>
      <c r="CY35" s="6" t="s">
        <v>4</v>
      </c>
      <c r="CZ35" s="6" t="s">
        <v>4</v>
      </c>
      <c r="DA35" s="6" t="s">
        <v>4</v>
      </c>
      <c r="DB35" s="6" t="s">
        <v>4</v>
      </c>
      <c r="DC35" s="6" t="s">
        <v>4</v>
      </c>
      <c r="DD35" s="6" t="s">
        <v>4</v>
      </c>
      <c r="DE35" s="6" t="s">
        <v>4</v>
      </c>
      <c r="DF35" s="6" t="s">
        <v>4</v>
      </c>
      <c r="DG35" s="6" t="s">
        <v>4</v>
      </c>
      <c r="DH35" s="6" t="s">
        <v>4</v>
      </c>
      <c r="DI35" s="6" t="s">
        <v>4</v>
      </c>
      <c r="DJ35" s="6" t="s">
        <v>4</v>
      </c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  <c r="HV35" s="6"/>
      <c r="HW35" s="6"/>
      <c r="HX35" s="6"/>
      <c r="HY35" s="6"/>
      <c r="HZ35" s="6"/>
      <c r="IA35" s="6"/>
      <c r="IB35" s="6"/>
      <c r="IC35" s="6"/>
      <c r="ID35" s="6"/>
      <c r="IE35" s="6"/>
      <c r="IF35" s="6"/>
      <c r="IG35" s="6"/>
      <c r="IH35" s="6"/>
      <c r="II35" s="6"/>
      <c r="IJ35" s="6"/>
      <c r="IK35" s="6"/>
      <c r="IL35" s="6"/>
      <c r="IM35" s="6"/>
      <c r="IN35" s="6"/>
      <c r="IO35" s="6"/>
      <c r="IP35" s="6"/>
      <c r="IQ35" s="6"/>
      <c r="IR35" s="6"/>
      <c r="IS35" s="6"/>
      <c r="IT35" s="6"/>
      <c r="IU35" s="6"/>
      <c r="IV35" s="6"/>
      <c r="IW35" s="6"/>
      <c r="IX35" s="6"/>
      <c r="IY35" s="6"/>
      <c r="IZ35" s="6"/>
      <c r="JA35" s="6"/>
      <c r="JB35" s="6"/>
      <c r="JC35" s="6"/>
      <c r="JD35" s="6"/>
      <c r="JE35" s="6"/>
      <c r="JF35" s="6"/>
      <c r="JG35" s="6"/>
      <c r="JH35" s="6"/>
      <c r="JI35" s="6"/>
      <c r="JJ35" s="6"/>
      <c r="JK35" s="6"/>
      <c r="JL35" s="6"/>
      <c r="JM35" s="6"/>
      <c r="JN35" s="6"/>
      <c r="JO35" s="6"/>
      <c r="JP35" s="6"/>
      <c r="JQ35" s="6"/>
      <c r="JR35" s="6"/>
      <c r="JS35" s="6"/>
      <c r="JT35" s="6"/>
      <c r="JU35" s="6"/>
      <c r="JV35" s="6"/>
      <c r="JW35" s="6"/>
      <c r="JX35" s="6"/>
      <c r="JY35" s="6"/>
      <c r="JZ35" s="6"/>
      <c r="KA35" s="6"/>
      <c r="KB35" s="6"/>
      <c r="KC35" s="6"/>
      <c r="KD35" s="6"/>
      <c r="KE35" s="6"/>
      <c r="KF35" s="6"/>
      <c r="KG35" s="6"/>
      <c r="KH35" s="6"/>
      <c r="KI35" s="6"/>
      <c r="KJ35" s="6"/>
      <c r="KK35" s="6"/>
      <c r="KL35" s="6"/>
      <c r="KM35" s="6"/>
      <c r="KN35" s="6"/>
      <c r="KO35" s="6"/>
      <c r="KP35" s="6"/>
      <c r="KQ35" s="6"/>
      <c r="KR35" s="6"/>
      <c r="KS35" s="6"/>
      <c r="KT35" s="6"/>
      <c r="KU35" s="6"/>
      <c r="KV35" s="6"/>
      <c r="KW35" s="6"/>
      <c r="KX35" s="6"/>
      <c r="KY35" s="6"/>
      <c r="KZ35" s="6"/>
      <c r="LA35" s="6"/>
      <c r="LB35" s="6"/>
      <c r="LC35" s="6"/>
      <c r="LD35" s="6"/>
      <c r="LE35" s="6"/>
      <c r="LF35" s="6" t="s">
        <v>4</v>
      </c>
      <c r="LG35" s="6" t="s">
        <v>4</v>
      </c>
      <c r="LH35" s="6" t="s">
        <v>4</v>
      </c>
      <c r="LI35" s="6" t="s">
        <v>4</v>
      </c>
      <c r="LJ35" s="6" t="s">
        <v>4</v>
      </c>
      <c r="LK35" s="6" t="s">
        <v>4</v>
      </c>
      <c r="LL35" s="6" t="s">
        <v>4</v>
      </c>
      <c r="LM35" s="6" t="s">
        <v>4</v>
      </c>
      <c r="LN35" s="6" t="s">
        <v>4</v>
      </c>
      <c r="LO35" s="6" t="s">
        <v>4</v>
      </c>
      <c r="LP35" s="6" t="s">
        <v>4</v>
      </c>
      <c r="LQ35" s="6" t="s">
        <v>4</v>
      </c>
      <c r="LR35" s="6" t="s">
        <v>4</v>
      </c>
      <c r="LS35" s="6"/>
      <c r="LT35" s="6"/>
      <c r="LU35" s="6"/>
      <c r="LV35" s="6"/>
      <c r="LW35" s="6"/>
      <c r="LX35" s="6"/>
      <c r="LY35" s="6"/>
      <c r="LZ35" s="6"/>
      <c r="MA35" s="6"/>
      <c r="MB35" s="6"/>
      <c r="MC35" s="6"/>
      <c r="MD35" s="6"/>
      <c r="ME35" s="6"/>
      <c r="MF35" s="6"/>
      <c r="MG35" s="6"/>
      <c r="MH35" s="6"/>
      <c r="MI35" s="6"/>
      <c r="MJ35" s="6"/>
      <c r="MK35" s="6"/>
      <c r="ML35" s="6" t="s">
        <v>4</v>
      </c>
      <c r="MM35" s="6" t="s">
        <v>4</v>
      </c>
      <c r="MN35" s="6" t="s">
        <v>4</v>
      </c>
      <c r="MO35" s="6" t="s">
        <v>4</v>
      </c>
      <c r="MP35" s="6" t="s">
        <v>4</v>
      </c>
      <c r="MQ35" s="6" t="s">
        <v>4</v>
      </c>
      <c r="MR35" s="6" t="s">
        <v>4</v>
      </c>
      <c r="MS35" s="6" t="s">
        <v>4</v>
      </c>
      <c r="MT35" s="6" t="s">
        <v>4</v>
      </c>
      <c r="MU35" s="6" t="s">
        <v>4</v>
      </c>
      <c r="MV35" s="6" t="s">
        <v>4</v>
      </c>
      <c r="MW35" s="6" t="s">
        <v>4</v>
      </c>
      <c r="MX35" s="6" t="s">
        <v>4</v>
      </c>
      <c r="MY35" s="6"/>
      <c r="MZ35" s="6"/>
      <c r="NA35" s="6"/>
      <c r="NB35" s="6"/>
      <c r="NC35" s="6"/>
      <c r="ND35" s="6"/>
      <c r="NE35" s="6"/>
      <c r="NF35" s="6"/>
      <c r="NG35" s="6"/>
      <c r="NH35" s="6"/>
      <c r="NI35" s="6"/>
      <c r="NJ35" s="6"/>
      <c r="NK35" s="6"/>
      <c r="NL35" s="6"/>
      <c r="NM35" s="6"/>
      <c r="NN35" s="6"/>
      <c r="NO35" s="6"/>
      <c r="NP35" s="6"/>
      <c r="NQ35" s="6"/>
      <c r="NR35" s="6"/>
      <c r="NS35" s="6"/>
      <c r="NT35" s="6"/>
      <c r="NU35" s="6"/>
      <c r="NV35" s="6"/>
      <c r="NW35" s="6"/>
      <c r="NX35" s="6"/>
      <c r="NY35" s="6"/>
      <c r="NZ35" s="6" t="s">
        <v>4</v>
      </c>
      <c r="OA35" s="6" t="s">
        <v>4</v>
      </c>
      <c r="OB35" s="6" t="s">
        <v>4</v>
      </c>
      <c r="OC35" s="6" t="s">
        <v>4</v>
      </c>
      <c r="OD35" s="6" t="s">
        <v>4</v>
      </c>
      <c r="OE35" s="6" t="s">
        <v>4</v>
      </c>
      <c r="OF35" s="6" t="s">
        <v>4</v>
      </c>
      <c r="OG35" s="6" t="s">
        <v>4</v>
      </c>
      <c r="OH35" s="6" t="s">
        <v>4</v>
      </c>
      <c r="OI35" s="6" t="s">
        <v>4</v>
      </c>
      <c r="OJ35" s="6" t="s">
        <v>4</v>
      </c>
      <c r="OK35" s="6" t="s">
        <v>4</v>
      </c>
      <c r="OL35" s="6" t="s">
        <v>4</v>
      </c>
      <c r="OM35" s="6"/>
      <c r="ON35" s="6"/>
      <c r="OO35" s="6"/>
      <c r="OP35" s="6"/>
      <c r="OQ35" s="6"/>
      <c r="OR35" s="6"/>
      <c r="OS35" s="6"/>
      <c r="OT35" s="6"/>
      <c r="OU35" s="6"/>
      <c r="OV35" s="6"/>
      <c r="OW35" s="6"/>
      <c r="OX35" s="6"/>
      <c r="OY35" s="6"/>
      <c r="OZ35" s="6"/>
      <c r="PA35" s="6"/>
      <c r="PB35" s="6"/>
      <c r="PC35" s="6"/>
      <c r="PD35" s="6"/>
      <c r="PE35" s="6"/>
      <c r="PF35" s="6"/>
      <c r="PG35" s="6"/>
      <c r="PH35" s="6"/>
      <c r="PI35" s="6"/>
      <c r="PJ35" s="6"/>
      <c r="PK35" s="6"/>
      <c r="PL35" s="6"/>
      <c r="PM35" s="6"/>
      <c r="PN35" s="6"/>
      <c r="PO35" s="6"/>
      <c r="PP35" s="6"/>
      <c r="PQ35" s="6"/>
      <c r="PR35" s="6"/>
      <c r="PS35" s="6"/>
      <c r="PT35" s="6"/>
      <c r="PU35" s="6"/>
      <c r="PV35" s="6"/>
      <c r="PW35" s="6"/>
      <c r="PX35" s="6"/>
      <c r="PY35" s="6"/>
      <c r="PZ35" s="6"/>
      <c r="QA35" s="6"/>
      <c r="QB35" s="6"/>
      <c r="QC35" s="6"/>
      <c r="QD35" s="6"/>
      <c r="QE35" s="6"/>
      <c r="QF35" s="6"/>
      <c r="QG35" s="6"/>
      <c r="QH35" s="6"/>
      <c r="QI35" s="6"/>
      <c r="QJ35" s="6"/>
      <c r="QK35" s="6"/>
      <c r="QL35" s="6"/>
      <c r="QM35" s="6"/>
      <c r="QN35" s="6"/>
      <c r="QO35" s="6"/>
      <c r="QP35" s="6"/>
      <c r="QQ35" s="6"/>
      <c r="QR35" s="6"/>
      <c r="QS35" s="6"/>
      <c r="QT35" s="6" t="s">
        <v>4</v>
      </c>
      <c r="QU35" s="6" t="s">
        <v>4</v>
      </c>
      <c r="QV35" s="6" t="s">
        <v>4</v>
      </c>
      <c r="QW35" s="6" t="s">
        <v>4</v>
      </c>
      <c r="QX35" s="6" t="s">
        <v>4</v>
      </c>
      <c r="QY35" s="6" t="s">
        <v>4</v>
      </c>
      <c r="QZ35" s="6" t="s">
        <v>4</v>
      </c>
      <c r="RA35" s="6" t="s">
        <v>4</v>
      </c>
      <c r="RB35" s="6" t="s">
        <v>4</v>
      </c>
      <c r="RC35" s="6" t="s">
        <v>4</v>
      </c>
      <c r="RD35" s="6" t="s">
        <v>4</v>
      </c>
      <c r="RE35" s="6" t="s">
        <v>4</v>
      </c>
      <c r="RF35" s="6" t="s">
        <v>4</v>
      </c>
      <c r="RG35" s="6"/>
      <c r="RH35" s="6"/>
      <c r="RI35" s="6"/>
      <c r="RJ35" s="6"/>
      <c r="RK35" s="6"/>
      <c r="RL35" s="6"/>
      <c r="RM35" s="6"/>
      <c r="RN35" s="6"/>
      <c r="RO35" s="6"/>
      <c r="RP35" s="6"/>
      <c r="RQ35" s="6"/>
      <c r="RR35" s="6"/>
      <c r="RS35" s="6"/>
      <c r="RT35" s="6"/>
      <c r="RU35" s="6"/>
      <c r="RV35" s="6"/>
      <c r="RW35" s="6"/>
      <c r="RX35" s="6"/>
      <c r="RY35" s="6"/>
      <c r="RZ35" s="6" t="s">
        <v>4</v>
      </c>
      <c r="SA35" s="6" t="s">
        <v>4</v>
      </c>
      <c r="SB35" s="6" t="s">
        <v>4</v>
      </c>
      <c r="SC35" s="6" t="s">
        <v>4</v>
      </c>
      <c r="SD35" s="6" t="s">
        <v>4</v>
      </c>
      <c r="SE35" s="6" t="s">
        <v>4</v>
      </c>
      <c r="SF35" s="6" t="s">
        <v>4</v>
      </c>
      <c r="SG35" s="6" t="s">
        <v>4</v>
      </c>
      <c r="SH35" s="6" t="s">
        <v>4</v>
      </c>
      <c r="SI35" s="6" t="s">
        <v>4</v>
      </c>
      <c r="SJ35" s="6" t="s">
        <v>4</v>
      </c>
      <c r="SK35" s="6" t="s">
        <v>4</v>
      </c>
      <c r="SL35" s="6" t="s">
        <v>4</v>
      </c>
      <c r="SM35" s="6"/>
      <c r="SN35" s="6"/>
      <c r="SO35" s="6"/>
      <c r="SP35" s="6"/>
      <c r="SQ35" s="6"/>
      <c r="SR35" s="6"/>
      <c r="SS35" s="6"/>
      <c r="ST35" s="6"/>
      <c r="SU35" s="6"/>
      <c r="SV35" s="6"/>
      <c r="SW35" s="6"/>
      <c r="SX35" s="6"/>
      <c r="SY35" s="6"/>
      <c r="SZ35" s="6"/>
      <c r="TA35" s="6"/>
      <c r="TB35" s="6"/>
      <c r="TC35" s="6"/>
      <c r="TD35" s="6"/>
      <c r="TE35" s="6"/>
      <c r="TF35" s="6"/>
      <c r="TG35" s="6"/>
      <c r="TH35" s="6"/>
      <c r="TI35" s="6"/>
      <c r="TJ35" s="6"/>
      <c r="TK35" s="6"/>
      <c r="TL35" s="6"/>
      <c r="TM35" s="6"/>
      <c r="TN35" s="6" t="s">
        <v>4</v>
      </c>
      <c r="TO35" s="6" t="s">
        <v>4</v>
      </c>
      <c r="TP35" s="6" t="s">
        <v>4</v>
      </c>
      <c r="TQ35" s="6" t="s">
        <v>4</v>
      </c>
      <c r="TR35" s="6" t="s">
        <v>4</v>
      </c>
      <c r="TS35" s="6" t="s">
        <v>4</v>
      </c>
      <c r="TT35" s="6" t="s">
        <v>4</v>
      </c>
      <c r="TU35" s="6" t="s">
        <v>4</v>
      </c>
      <c r="TV35" s="6" t="s">
        <v>4</v>
      </c>
      <c r="TW35" s="6" t="s">
        <v>4</v>
      </c>
      <c r="TX35" s="6" t="s">
        <v>4</v>
      </c>
      <c r="TY35" s="6" t="s">
        <v>4</v>
      </c>
      <c r="TZ35" s="6" t="s">
        <v>4</v>
      </c>
      <c r="UA35" s="6"/>
      <c r="UB35" s="6"/>
      <c r="UC35" s="6"/>
      <c r="UD35" s="6"/>
      <c r="UE35" s="6"/>
      <c r="UF35" s="6"/>
      <c r="UG35" s="6"/>
      <c r="UH35" s="6"/>
      <c r="UI35" s="6"/>
      <c r="UJ35" s="6"/>
      <c r="UK35" s="6"/>
      <c r="UL35" s="6"/>
      <c r="UM35" s="6"/>
      <c r="UN35" s="6"/>
      <c r="UO35" s="6"/>
      <c r="UP35" s="6"/>
      <c r="UQ35" s="6"/>
      <c r="UR35" s="6"/>
      <c r="US35" s="6"/>
      <c r="UT35" s="6"/>
      <c r="UU35" s="6"/>
      <c r="UV35" s="6"/>
      <c r="UW35" s="6"/>
      <c r="UX35" s="6"/>
      <c r="UY35" s="6"/>
      <c r="UZ35" s="6"/>
      <c r="VA35" s="6"/>
      <c r="VB35" s="6"/>
      <c r="VC35" s="6"/>
      <c r="VD35" s="6"/>
      <c r="VE35" s="6"/>
      <c r="VF35" s="6"/>
      <c r="VG35" s="6"/>
      <c r="VH35" s="6"/>
      <c r="VI35" s="6"/>
      <c r="VJ35" s="6"/>
      <c r="VK35" s="6"/>
      <c r="VL35" s="6"/>
      <c r="VM35" s="6"/>
      <c r="VN35" s="6"/>
      <c r="VO35" s="6"/>
      <c r="VP35" s="6"/>
      <c r="VQ35" s="6"/>
      <c r="VR35" s="6"/>
      <c r="VS35" s="6"/>
      <c r="VT35" s="6"/>
      <c r="VU35" s="6"/>
      <c r="VV35" s="6"/>
      <c r="VW35" s="6"/>
      <c r="VX35" s="6"/>
      <c r="VY35" s="6"/>
      <c r="VZ35" s="6"/>
      <c r="WA35" s="6"/>
      <c r="WB35" s="6"/>
      <c r="WC35" s="6"/>
      <c r="WD35" s="6"/>
      <c r="WE35" s="6"/>
      <c r="WF35" s="6"/>
      <c r="WG35" s="6"/>
      <c r="WH35" s="6" t="s">
        <v>4</v>
      </c>
      <c r="WI35" s="6" t="s">
        <v>4</v>
      </c>
      <c r="WJ35" s="6" t="s">
        <v>4</v>
      </c>
      <c r="WK35" s="6" t="s">
        <v>4</v>
      </c>
      <c r="WL35" s="6" t="s">
        <v>4</v>
      </c>
      <c r="WM35" s="6" t="s">
        <v>4</v>
      </c>
      <c r="WN35" s="6" t="s">
        <v>4</v>
      </c>
      <c r="WO35" s="6" t="s">
        <v>4</v>
      </c>
      <c r="WP35" s="6" t="s">
        <v>4</v>
      </c>
      <c r="WQ35" s="6" t="s">
        <v>4</v>
      </c>
      <c r="WR35" s="6" t="s">
        <v>4</v>
      </c>
      <c r="WS35" s="6" t="s">
        <v>4</v>
      </c>
      <c r="WT35" s="6" t="s">
        <v>4</v>
      </c>
      <c r="WU35" s="6"/>
      <c r="WV35" s="6"/>
      <c r="WW35" s="6"/>
      <c r="WX35" s="6"/>
      <c r="WY35" s="6"/>
      <c r="WZ35" s="6"/>
      <c r="XA35" s="6"/>
      <c r="XB35" s="6"/>
      <c r="XC35" s="6"/>
      <c r="XD35" s="6"/>
      <c r="XE35" s="6"/>
      <c r="XF35" s="6"/>
      <c r="XG35" s="6"/>
      <c r="XH35" s="6"/>
      <c r="XI35" s="6"/>
      <c r="XJ35" s="6"/>
      <c r="XK35" s="6"/>
      <c r="XL35" s="6"/>
      <c r="XM35" s="6"/>
      <c r="XN35" s="6" t="s">
        <v>4</v>
      </c>
      <c r="XO35" s="6" t="s">
        <v>4</v>
      </c>
      <c r="XP35" s="6" t="s">
        <v>4</v>
      </c>
      <c r="XQ35" s="6" t="s">
        <v>4</v>
      </c>
      <c r="XR35" s="6" t="s">
        <v>4</v>
      </c>
      <c r="XS35" s="6" t="s">
        <v>4</v>
      </c>
      <c r="XT35" s="6" t="s">
        <v>4</v>
      </c>
      <c r="XU35" s="6" t="s">
        <v>4</v>
      </c>
      <c r="XV35" s="6" t="s">
        <v>4</v>
      </c>
      <c r="XW35" s="6" t="s">
        <v>4</v>
      </c>
      <c r="XX35" s="6" t="s">
        <v>4</v>
      </c>
      <c r="XY35" s="6" t="s">
        <v>4</v>
      </c>
      <c r="XZ35" s="6" t="s">
        <v>4</v>
      </c>
      <c r="YA35" s="6"/>
      <c r="YB35" s="6"/>
      <c r="YC35" s="6"/>
      <c r="YD35" s="6"/>
      <c r="YE35" s="6"/>
      <c r="YF35" s="6"/>
      <c r="YG35" s="6"/>
      <c r="YH35" s="6"/>
      <c r="YI35" s="6"/>
      <c r="YJ35" s="6"/>
      <c r="YK35" s="6"/>
      <c r="YL35" s="6"/>
      <c r="YM35" s="6"/>
      <c r="YN35" s="6"/>
      <c r="YO35" s="6"/>
      <c r="YP35" s="6"/>
      <c r="YQ35" s="6"/>
      <c r="YR35" s="6"/>
      <c r="YS35" s="6"/>
      <c r="YT35" s="6"/>
      <c r="YU35" s="6"/>
      <c r="YV35" s="6"/>
      <c r="YW35" s="6"/>
      <c r="YX35" s="6"/>
      <c r="YY35" s="6"/>
      <c r="YZ35" s="6"/>
      <c r="ZA35" s="6"/>
      <c r="ZB35" s="6" t="s">
        <v>4</v>
      </c>
      <c r="ZC35" s="6" t="s">
        <v>4</v>
      </c>
      <c r="ZD35" s="6" t="s">
        <v>4</v>
      </c>
      <c r="ZE35" s="6" t="s">
        <v>4</v>
      </c>
      <c r="ZF35" s="6" t="s">
        <v>4</v>
      </c>
      <c r="ZG35" s="6" t="s">
        <v>4</v>
      </c>
      <c r="ZH35" s="6" t="s">
        <v>4</v>
      </c>
      <c r="ZI35" s="6" t="s">
        <v>4</v>
      </c>
      <c r="ZJ35" s="6" t="s">
        <v>4</v>
      </c>
      <c r="ZK35" s="6" t="s">
        <v>4</v>
      </c>
      <c r="ZL35" s="6" t="s">
        <v>4</v>
      </c>
      <c r="ZM35" s="6" t="s">
        <v>4</v>
      </c>
      <c r="ZN35" s="6" t="s">
        <v>4</v>
      </c>
      <c r="ZO35" s="6"/>
      <c r="ZP35" s="6"/>
      <c r="ZQ35" s="6"/>
      <c r="ZR35" s="6"/>
      <c r="ZS35" s="6"/>
      <c r="ZT35" s="6"/>
      <c r="ZU35" s="6"/>
      <c r="ZV35" s="6"/>
      <c r="ZW35" s="6"/>
      <c r="ZX35" s="6"/>
      <c r="ZY35" s="6"/>
      <c r="ZZ35" s="6"/>
      <c r="AAA35" s="6"/>
      <c r="AAB35" s="6"/>
      <c r="AAC35" s="6"/>
      <c r="AAD35" s="6"/>
      <c r="AAE35" s="6"/>
      <c r="AAF35" s="6"/>
      <c r="AAG35" s="6"/>
      <c r="AAH35" s="6"/>
      <c r="AAI35" s="6"/>
      <c r="AAJ35" s="6"/>
      <c r="AAK35" s="6"/>
      <c r="AAL35" s="6"/>
      <c r="AAM35" s="6"/>
      <c r="AAN35" s="6"/>
      <c r="AAO35" s="6"/>
      <c r="AAP35" s="6"/>
      <c r="AAQ35" s="6"/>
      <c r="AAR35" s="6"/>
      <c r="AAS35" s="6"/>
      <c r="AAT35" s="6"/>
      <c r="AAU35" s="6"/>
      <c r="AAV35" s="6"/>
      <c r="AAW35" s="6"/>
      <c r="AAX35" s="6"/>
      <c r="AAY35" s="6"/>
      <c r="AAZ35" s="6"/>
      <c r="ABA35" s="6"/>
      <c r="ABB35" s="6"/>
      <c r="ABC35" s="6"/>
      <c r="ABD35" s="6"/>
      <c r="ABE35" s="6"/>
      <c r="ABF35" s="6"/>
      <c r="ABG35" s="6"/>
      <c r="ABH35" s="6"/>
      <c r="ABI35" s="6"/>
      <c r="ABJ35" s="6"/>
      <c r="ABK35" s="6"/>
      <c r="ABL35" s="6"/>
      <c r="ABM35" s="6"/>
      <c r="ABN35" s="6"/>
      <c r="ABO35" s="6"/>
      <c r="ABP35" s="6"/>
      <c r="ABQ35" s="6"/>
      <c r="ABR35" s="6"/>
      <c r="ABS35" s="6"/>
      <c r="ABT35" s="6"/>
      <c r="ABU35" s="6"/>
      <c r="ABV35" s="6" t="s">
        <v>4</v>
      </c>
      <c r="ABW35" s="6" t="s">
        <v>4</v>
      </c>
      <c r="ABX35" s="6" t="s">
        <v>4</v>
      </c>
      <c r="ABY35" s="6" t="s">
        <v>4</v>
      </c>
      <c r="ABZ35" s="6" t="s">
        <v>4</v>
      </c>
      <c r="ACA35" s="6" t="s">
        <v>4</v>
      </c>
      <c r="ACB35" s="6" t="s">
        <v>4</v>
      </c>
      <c r="ACC35" s="6" t="s">
        <v>4</v>
      </c>
      <c r="ACD35" s="6" t="s">
        <v>4</v>
      </c>
      <c r="ACE35" s="6" t="s">
        <v>4</v>
      </c>
      <c r="ACF35" s="6" t="s">
        <v>4</v>
      </c>
      <c r="ACG35" s="6" t="s">
        <v>4</v>
      </c>
      <c r="ACH35" s="6" t="s">
        <v>4</v>
      </c>
      <c r="ACI35" s="6"/>
      <c r="ACJ35" s="6"/>
      <c r="ACK35" s="6"/>
      <c r="ACL35" s="6"/>
      <c r="ACM35" s="6"/>
      <c r="ACN35" s="6"/>
      <c r="ACO35" s="6"/>
      <c r="ACP35" s="6"/>
      <c r="ACQ35" s="6"/>
      <c r="ACR35" s="6"/>
      <c r="ACS35" s="6"/>
      <c r="ACT35" s="6"/>
      <c r="ACU35" s="6"/>
      <c r="ACV35" s="6"/>
      <c r="ACW35" s="6"/>
      <c r="ACX35" s="6"/>
      <c r="ACY35" s="6"/>
      <c r="ACZ35" s="6"/>
      <c r="ADA35" s="6"/>
      <c r="ADB35" s="6" t="s">
        <v>4</v>
      </c>
      <c r="ADC35" s="6" t="s">
        <v>4</v>
      </c>
      <c r="ADD35" s="6" t="s">
        <v>4</v>
      </c>
      <c r="ADE35" s="6" t="s">
        <v>4</v>
      </c>
      <c r="ADF35" s="6" t="s">
        <v>4</v>
      </c>
      <c r="ADG35" s="6" t="s">
        <v>4</v>
      </c>
      <c r="ADH35" s="6" t="s">
        <v>4</v>
      </c>
      <c r="ADI35" s="6" t="s">
        <v>4</v>
      </c>
      <c r="ADJ35" s="6" t="s">
        <v>4</v>
      </c>
      <c r="ADK35" s="6" t="s">
        <v>4</v>
      </c>
      <c r="ADL35" s="6" t="s">
        <v>4</v>
      </c>
      <c r="ADM35" s="6" t="s">
        <v>4</v>
      </c>
      <c r="ADN35" s="6" t="s">
        <v>4</v>
      </c>
      <c r="ADO35" s="6"/>
      <c r="ADP35" s="6"/>
      <c r="ADQ35" s="6"/>
      <c r="ADR35" s="6"/>
      <c r="ADS35" s="6"/>
      <c r="ADT35" s="6"/>
      <c r="ADU35" s="6"/>
      <c r="ADV35" s="6"/>
      <c r="ADW35" s="6"/>
      <c r="ADX35" s="6"/>
      <c r="ADY35" s="6"/>
      <c r="ADZ35" s="6"/>
      <c r="AEA35" s="6"/>
      <c r="AEB35" s="6"/>
      <c r="AEC35" s="6"/>
      <c r="AED35" s="6"/>
      <c r="AEE35" s="6"/>
      <c r="AEF35" s="6"/>
      <c r="AEG35" s="6"/>
      <c r="AEH35" s="6"/>
      <c r="AEI35" s="6"/>
      <c r="AEJ35" s="6"/>
      <c r="AEK35" s="6"/>
      <c r="AEL35" s="6"/>
      <c r="AEM35" s="6"/>
      <c r="AEN35" s="6"/>
      <c r="AEO35" s="6"/>
      <c r="AEP35" s="6" t="s">
        <v>4</v>
      </c>
      <c r="AEQ35" s="6" t="s">
        <v>4</v>
      </c>
      <c r="AER35" s="6" t="s">
        <v>4</v>
      </c>
      <c r="AES35" s="6" t="s">
        <v>4</v>
      </c>
      <c r="AET35" s="6" t="s">
        <v>4</v>
      </c>
      <c r="AEU35" s="6" t="s">
        <v>4</v>
      </c>
      <c r="AEV35" s="6" t="s">
        <v>4</v>
      </c>
      <c r="AEW35" s="6" t="s">
        <v>4</v>
      </c>
      <c r="AEX35" s="6" t="s">
        <v>4</v>
      </c>
      <c r="AEY35" s="6" t="s">
        <v>4</v>
      </c>
      <c r="AEZ35" s="6" t="s">
        <v>4</v>
      </c>
      <c r="AFA35" s="6" t="s">
        <v>4</v>
      </c>
      <c r="AFB35" s="6" t="s">
        <v>4</v>
      </c>
      <c r="AFC35" s="6"/>
      <c r="AFD35" s="6"/>
      <c r="AFE35" s="6"/>
      <c r="AFF35" s="6"/>
      <c r="AFG35" s="6"/>
      <c r="AFH35" s="6"/>
      <c r="AFI35" s="6"/>
      <c r="AFJ35" s="6"/>
      <c r="AFK35" s="6"/>
      <c r="AFL35" s="6"/>
      <c r="AFM35" s="6"/>
      <c r="AFN35" s="6"/>
      <c r="AFO35" s="6"/>
      <c r="AFP35" s="6"/>
      <c r="AFQ35" s="6"/>
      <c r="AFR35" s="6"/>
      <c r="AFS35" s="6"/>
      <c r="AFT35" s="6"/>
      <c r="AFU35" s="6"/>
      <c r="AFV35" s="6"/>
      <c r="AFW35" s="6"/>
      <c r="AFX35" s="6"/>
      <c r="AFY35" s="6"/>
      <c r="AFZ35" s="6"/>
      <c r="AGA35" s="6"/>
      <c r="AGB35" s="6"/>
      <c r="AGC35" s="6"/>
      <c r="AGD35" s="6"/>
      <c r="AGE35" s="6"/>
      <c r="AGF35" s="6"/>
      <c r="AGG35" s="6"/>
      <c r="AGH35" s="6"/>
      <c r="AGI35" s="6"/>
      <c r="AGJ35" s="6"/>
      <c r="AGK35" s="6"/>
      <c r="AGL35" s="6"/>
      <c r="AGM35" s="6"/>
      <c r="AGN35" s="6"/>
      <c r="AGO35" s="6"/>
      <c r="AGP35" s="6"/>
      <c r="AGQ35" s="6"/>
      <c r="AGR35" s="6"/>
      <c r="AGS35" s="6"/>
      <c r="AGT35" s="6"/>
      <c r="AGU35" s="6"/>
      <c r="AGV35" s="6"/>
      <c r="AGW35" s="6"/>
      <c r="AGX35" s="6"/>
      <c r="AGY35" s="6"/>
      <c r="AGZ35" s="6"/>
      <c r="AHA35" s="6"/>
      <c r="AHB35" s="6"/>
      <c r="AHC35" s="6"/>
      <c r="AHD35" s="6"/>
      <c r="AHE35" s="6"/>
      <c r="AHF35" s="6"/>
      <c r="AHG35" s="6"/>
      <c r="AHH35" s="6"/>
      <c r="AHI35" s="6"/>
      <c r="AHJ35" s="6" t="s">
        <v>4</v>
      </c>
      <c r="AHK35" s="6" t="s">
        <v>4</v>
      </c>
      <c r="AHL35" s="6" t="s">
        <v>4</v>
      </c>
      <c r="AHM35" s="6" t="s">
        <v>4</v>
      </c>
      <c r="AHN35" s="6" t="s">
        <v>4</v>
      </c>
      <c r="AHO35" s="6" t="s">
        <v>4</v>
      </c>
      <c r="AHP35" s="6" t="s">
        <v>4</v>
      </c>
      <c r="AHQ35" s="6" t="s">
        <v>4</v>
      </c>
      <c r="AHR35" s="6" t="s">
        <v>4</v>
      </c>
      <c r="AHS35" s="6" t="s">
        <v>4</v>
      </c>
      <c r="AHT35" s="6" t="s">
        <v>4</v>
      </c>
      <c r="AHU35" s="6" t="s">
        <v>4</v>
      </c>
      <c r="AHV35" s="6" t="s">
        <v>4</v>
      </c>
      <c r="AHW35" s="6"/>
      <c r="AHX35" s="6"/>
      <c r="AHY35" s="6"/>
      <c r="AHZ35" s="6"/>
      <c r="AIA35" s="6"/>
      <c r="AIB35" s="6"/>
      <c r="AIC35" s="6"/>
      <c r="AID35" s="6"/>
      <c r="AIE35" s="6"/>
      <c r="AIF35" s="6"/>
      <c r="AIG35" s="6"/>
      <c r="AIH35" s="6"/>
      <c r="AII35" s="6"/>
      <c r="AIJ35" s="6"/>
      <c r="AIK35" s="6"/>
      <c r="AIL35" s="6"/>
      <c r="AIM35" s="6"/>
      <c r="AIN35" s="6"/>
      <c r="AIO35" s="6"/>
      <c r="AIP35" s="6" t="s">
        <v>4</v>
      </c>
      <c r="AIQ35" s="6" t="s">
        <v>4</v>
      </c>
      <c r="AIR35" s="6" t="s">
        <v>4</v>
      </c>
      <c r="AIS35" s="6" t="s">
        <v>4</v>
      </c>
      <c r="AIT35" s="6" t="s">
        <v>4</v>
      </c>
      <c r="AIU35" s="6" t="s">
        <v>4</v>
      </c>
      <c r="AIV35" s="6" t="s">
        <v>4</v>
      </c>
      <c r="AIW35" s="6" t="s">
        <v>4</v>
      </c>
      <c r="AIX35" s="6" t="s">
        <v>4</v>
      </c>
      <c r="AIY35" s="6" t="s">
        <v>4</v>
      </c>
      <c r="AIZ35" s="6" t="s">
        <v>4</v>
      </c>
      <c r="AJA35" s="6" t="s">
        <v>4</v>
      </c>
      <c r="AJB35" s="6" t="s">
        <v>4</v>
      </c>
      <c r="AJC35" s="6"/>
      <c r="AJD35" s="6"/>
      <c r="AJE35" s="6"/>
      <c r="AJF35" s="6"/>
      <c r="AJG35" s="6"/>
      <c r="AJH35" s="6"/>
      <c r="AJI35" s="6"/>
      <c r="AJJ35" s="6"/>
      <c r="AJK35" s="6"/>
      <c r="AJL35" s="6"/>
      <c r="AJM35" s="6"/>
      <c r="AJN35" s="6"/>
      <c r="AJO35" s="6"/>
      <c r="AJP35" s="6"/>
      <c r="AJQ35" s="6"/>
      <c r="AJR35" s="6"/>
      <c r="AJS35" s="6"/>
      <c r="AJT35" s="6"/>
      <c r="AJU35" s="6"/>
      <c r="AJV35" s="6"/>
      <c r="AJW35" s="6"/>
      <c r="AJX35" s="6"/>
      <c r="AJY35" s="6"/>
      <c r="AJZ35" s="6"/>
      <c r="AKA35" s="6"/>
      <c r="AKB35" s="6"/>
      <c r="AKC35" s="6"/>
      <c r="AKD35" s="6" t="s">
        <v>4</v>
      </c>
      <c r="AKE35" s="6" t="s">
        <v>4</v>
      </c>
      <c r="AKF35" s="6" t="s">
        <v>4</v>
      </c>
      <c r="AKG35" s="6" t="s">
        <v>4</v>
      </c>
      <c r="AKH35" s="6" t="s">
        <v>4</v>
      </c>
      <c r="AKI35" s="6" t="s">
        <v>4</v>
      </c>
      <c r="AKJ35" s="6" t="s">
        <v>4</v>
      </c>
      <c r="AKK35" s="6" t="s">
        <v>4</v>
      </c>
      <c r="AKL35" s="6" t="s">
        <v>4</v>
      </c>
      <c r="AKM35" s="6" t="s">
        <v>4</v>
      </c>
      <c r="AKN35" s="6" t="s">
        <v>4</v>
      </c>
      <c r="AKO35" s="6" t="s">
        <v>4</v>
      </c>
      <c r="AKP35" s="6" t="s">
        <v>4</v>
      </c>
      <c r="AKQ35" s="6"/>
      <c r="AKR35" s="6"/>
      <c r="AKS35" s="6"/>
      <c r="AKT35" s="6"/>
      <c r="AKU35" s="6"/>
      <c r="AKV35" s="6"/>
      <c r="AKW35" s="6"/>
      <c r="AKX35" s="6"/>
      <c r="AKY35" s="6"/>
      <c r="AKZ35" s="6"/>
      <c r="ALA35" s="6"/>
      <c r="ALB35" s="6"/>
      <c r="ALC35" s="6"/>
      <c r="ALD35" s="6"/>
      <c r="ALE35" s="6"/>
      <c r="ALF35" s="6"/>
      <c r="ALG35" s="6"/>
      <c r="ALH35" s="6"/>
      <c r="ALI35" s="6"/>
      <c r="ALJ35" s="6"/>
      <c r="ALK35" s="6"/>
      <c r="ALL35" s="6"/>
      <c r="ALM35" s="6"/>
      <c r="ALN35" s="6"/>
      <c r="ALO35" s="6"/>
      <c r="ALP35" s="6"/>
      <c r="ALQ35" s="6"/>
      <c r="ALR35" s="6"/>
      <c r="ALS35" s="6"/>
      <c r="ALT35" s="6"/>
      <c r="ALU35" s="6"/>
      <c r="ALV35" s="6"/>
      <c r="ALW35" s="6"/>
    </row>
    <row r="36" spans="2:1011" hidden="1" outlineLevel="1" x14ac:dyDescent="0.25">
      <c r="C36" s="5" t="s">
        <v>12</v>
      </c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 t="s">
        <v>12</v>
      </c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 t="s">
        <v>12</v>
      </c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  <c r="IW36" s="6"/>
      <c r="IX36" s="6"/>
      <c r="IY36" s="6"/>
      <c r="IZ36" s="6"/>
      <c r="JA36" s="6"/>
      <c r="JB36" s="6"/>
      <c r="JC36" s="6"/>
      <c r="JD36" s="6"/>
      <c r="JE36" s="6"/>
      <c r="JF36" s="6"/>
      <c r="JG36" s="6"/>
      <c r="JH36" s="6"/>
      <c r="JI36" s="6"/>
      <c r="JJ36" s="6"/>
      <c r="JK36" s="6"/>
      <c r="JL36" s="6"/>
      <c r="JM36" s="6"/>
      <c r="JN36" s="6"/>
      <c r="JO36" s="6"/>
      <c r="JP36" s="6"/>
      <c r="JQ36" s="6"/>
      <c r="JR36" s="6"/>
      <c r="JS36" s="6"/>
      <c r="JT36" s="6"/>
      <c r="JU36" s="6"/>
      <c r="JV36" s="6"/>
      <c r="JW36" s="6"/>
      <c r="JX36" s="6"/>
      <c r="JY36" s="6"/>
      <c r="JZ36" s="6"/>
      <c r="KA36" s="6"/>
      <c r="KB36" s="6"/>
      <c r="KC36" s="6"/>
      <c r="KD36" s="6"/>
      <c r="KE36" s="6"/>
      <c r="KF36" s="6"/>
      <c r="KG36" s="6"/>
      <c r="KH36" s="6"/>
      <c r="KI36" s="6"/>
      <c r="KJ36" s="6"/>
      <c r="KK36" s="6"/>
      <c r="KL36" s="6"/>
      <c r="KM36" s="6"/>
      <c r="KN36" s="6"/>
      <c r="KO36" s="6"/>
      <c r="KP36" s="6"/>
      <c r="KQ36" s="6"/>
      <c r="KR36" s="6"/>
      <c r="KS36" s="6"/>
      <c r="KT36" s="6"/>
      <c r="KU36" s="6"/>
      <c r="KV36" s="6"/>
      <c r="KW36" s="6"/>
      <c r="KX36" s="6"/>
      <c r="KY36" s="6"/>
      <c r="KZ36" s="6"/>
      <c r="LA36" s="6"/>
      <c r="LB36" s="6"/>
      <c r="LC36" s="6"/>
      <c r="LD36" s="6"/>
      <c r="LE36" s="6"/>
      <c r="LF36" s="6"/>
      <c r="LG36" s="6"/>
      <c r="LH36" s="6"/>
      <c r="LI36" s="6"/>
      <c r="LJ36" s="6"/>
      <c r="LK36" s="6"/>
      <c r="LL36" s="6"/>
      <c r="LM36" s="6"/>
      <c r="LN36" s="6"/>
      <c r="LO36" s="6"/>
      <c r="LP36" s="6"/>
      <c r="LQ36" s="6"/>
      <c r="LR36" s="6"/>
      <c r="LS36" s="6" t="s">
        <v>12</v>
      </c>
      <c r="LT36" s="6"/>
      <c r="LU36" s="6"/>
      <c r="LV36" s="6"/>
      <c r="LW36" s="6"/>
      <c r="LX36" s="6"/>
      <c r="LY36" s="6"/>
      <c r="LZ36" s="6"/>
      <c r="MA36" s="6"/>
      <c r="MB36" s="6"/>
      <c r="MC36" s="6"/>
      <c r="MD36" s="6"/>
      <c r="ME36" s="6"/>
      <c r="MF36" s="6"/>
      <c r="MG36" s="6"/>
      <c r="MH36" s="6"/>
      <c r="MI36" s="6"/>
      <c r="MJ36" s="6"/>
      <c r="MK36" s="6"/>
      <c r="ML36" s="6"/>
      <c r="MM36" s="6"/>
      <c r="MN36" s="6"/>
      <c r="MO36" s="6"/>
      <c r="MP36" s="6"/>
      <c r="MQ36" s="6"/>
      <c r="MR36" s="6"/>
      <c r="MS36" s="6"/>
      <c r="MT36" s="6"/>
      <c r="MU36" s="6"/>
      <c r="MV36" s="6"/>
      <c r="MW36" s="6"/>
      <c r="MX36" s="6"/>
      <c r="MY36" s="6" t="s">
        <v>12</v>
      </c>
      <c r="MZ36" s="6"/>
      <c r="NA36" s="6"/>
      <c r="NB36" s="6"/>
      <c r="NC36" s="6"/>
      <c r="ND36" s="6"/>
      <c r="NE36" s="6"/>
      <c r="NF36" s="6"/>
      <c r="NG36" s="6"/>
      <c r="NH36" s="6"/>
      <c r="NI36" s="6"/>
      <c r="NJ36" s="6"/>
      <c r="NK36" s="6"/>
      <c r="NL36" s="6"/>
      <c r="NM36" s="6"/>
      <c r="NN36" s="6"/>
      <c r="NO36" s="6"/>
      <c r="NP36" s="6"/>
      <c r="NQ36" s="6"/>
      <c r="NR36" s="6"/>
      <c r="NS36" s="6"/>
      <c r="NT36" s="6"/>
      <c r="NU36" s="6"/>
      <c r="NV36" s="6"/>
      <c r="NW36" s="6"/>
      <c r="NX36" s="6"/>
      <c r="NY36" s="6"/>
      <c r="NZ36" s="6"/>
      <c r="OA36" s="6"/>
      <c r="OB36" s="6"/>
      <c r="OC36" s="6"/>
      <c r="OD36" s="6"/>
      <c r="OE36" s="6"/>
      <c r="OF36" s="6"/>
      <c r="OG36" s="6"/>
      <c r="OH36" s="6"/>
      <c r="OI36" s="6"/>
      <c r="OJ36" s="6"/>
      <c r="OK36" s="6"/>
      <c r="OL36" s="6"/>
      <c r="OM36" s="6" t="s">
        <v>12</v>
      </c>
      <c r="ON36" s="6"/>
      <c r="OO36" s="6"/>
      <c r="OP36" s="6"/>
      <c r="OQ36" s="6"/>
      <c r="OR36" s="6"/>
      <c r="OS36" s="6"/>
      <c r="OT36" s="6"/>
      <c r="OU36" s="6"/>
      <c r="OV36" s="6"/>
      <c r="OW36" s="6"/>
      <c r="OX36" s="6"/>
      <c r="OY36" s="6"/>
      <c r="OZ36" s="6"/>
      <c r="PA36" s="6"/>
      <c r="PB36" s="6"/>
      <c r="PC36" s="6"/>
      <c r="PD36" s="6"/>
      <c r="PE36" s="6"/>
      <c r="PF36" s="6"/>
      <c r="PG36" s="6"/>
      <c r="PH36" s="6"/>
      <c r="PI36" s="6"/>
      <c r="PJ36" s="6"/>
      <c r="PK36" s="6"/>
      <c r="PL36" s="6"/>
      <c r="PM36" s="6"/>
      <c r="PN36" s="6"/>
      <c r="PO36" s="6"/>
      <c r="PP36" s="6"/>
      <c r="PQ36" s="6"/>
      <c r="PR36" s="6"/>
      <c r="PS36" s="6"/>
      <c r="PT36" s="6"/>
      <c r="PU36" s="6"/>
      <c r="PV36" s="6"/>
      <c r="PW36" s="6"/>
      <c r="PX36" s="6"/>
      <c r="PY36" s="6"/>
      <c r="PZ36" s="6"/>
      <c r="QA36" s="6"/>
      <c r="QB36" s="6"/>
      <c r="QC36" s="6"/>
      <c r="QD36" s="6"/>
      <c r="QE36" s="6"/>
      <c r="QF36" s="6"/>
      <c r="QG36" s="6"/>
      <c r="QH36" s="6"/>
      <c r="QI36" s="6"/>
      <c r="QJ36" s="6"/>
      <c r="QK36" s="6"/>
      <c r="QL36" s="6"/>
      <c r="QM36" s="6"/>
      <c r="QN36" s="6"/>
      <c r="QO36" s="6"/>
      <c r="QP36" s="6"/>
      <c r="QQ36" s="6"/>
      <c r="QR36" s="6"/>
      <c r="QS36" s="6"/>
      <c r="QT36" s="6"/>
      <c r="QU36" s="6"/>
      <c r="QV36" s="6"/>
      <c r="QW36" s="6"/>
      <c r="QX36" s="6"/>
      <c r="QY36" s="6"/>
      <c r="QZ36" s="6"/>
      <c r="RA36" s="6"/>
      <c r="RB36" s="6"/>
      <c r="RC36" s="6"/>
      <c r="RD36" s="6"/>
      <c r="RE36" s="6"/>
      <c r="RF36" s="6"/>
      <c r="RG36" s="6" t="s">
        <v>12</v>
      </c>
      <c r="RH36" s="6"/>
      <c r="RI36" s="6"/>
      <c r="RJ36" s="6"/>
      <c r="RK36" s="6"/>
      <c r="RL36" s="6"/>
      <c r="RM36" s="6"/>
      <c r="RN36" s="6"/>
      <c r="RO36" s="6"/>
      <c r="RP36" s="6"/>
      <c r="RQ36" s="6"/>
      <c r="RR36" s="6"/>
      <c r="RS36" s="6"/>
      <c r="RT36" s="6"/>
      <c r="RU36" s="6"/>
      <c r="RV36" s="6"/>
      <c r="RW36" s="6"/>
      <c r="RX36" s="6"/>
      <c r="RY36" s="6"/>
      <c r="RZ36" s="6"/>
      <c r="SA36" s="6"/>
      <c r="SB36" s="6"/>
      <c r="SC36" s="6"/>
      <c r="SD36" s="6"/>
      <c r="SE36" s="6"/>
      <c r="SF36" s="6"/>
      <c r="SG36" s="6"/>
      <c r="SH36" s="6"/>
      <c r="SI36" s="6"/>
      <c r="SJ36" s="6"/>
      <c r="SK36" s="6"/>
      <c r="SL36" s="6"/>
      <c r="SM36" s="6" t="s">
        <v>12</v>
      </c>
      <c r="SN36" s="6"/>
      <c r="SO36" s="6"/>
      <c r="SP36" s="6"/>
      <c r="SQ36" s="6"/>
      <c r="SR36" s="6"/>
      <c r="SS36" s="6"/>
      <c r="ST36" s="6"/>
      <c r="SU36" s="6"/>
      <c r="SV36" s="6"/>
      <c r="SW36" s="6"/>
      <c r="SX36" s="6"/>
      <c r="SY36" s="6"/>
      <c r="SZ36" s="6"/>
      <c r="TA36" s="6"/>
      <c r="TB36" s="6"/>
      <c r="TC36" s="6"/>
      <c r="TD36" s="6"/>
      <c r="TE36" s="6"/>
      <c r="TF36" s="6"/>
      <c r="TG36" s="6"/>
      <c r="TH36" s="6"/>
      <c r="TI36" s="6"/>
      <c r="TJ36" s="6"/>
      <c r="TK36" s="6"/>
      <c r="TL36" s="6"/>
      <c r="TM36" s="6"/>
      <c r="TN36" s="6"/>
      <c r="TO36" s="6"/>
      <c r="TP36" s="6"/>
      <c r="TQ36" s="6"/>
      <c r="TR36" s="6"/>
      <c r="TS36" s="6"/>
      <c r="TT36" s="6"/>
      <c r="TU36" s="6"/>
      <c r="TV36" s="6"/>
      <c r="TW36" s="6"/>
      <c r="TX36" s="6"/>
      <c r="TY36" s="6"/>
      <c r="TZ36" s="6"/>
      <c r="UA36" s="6" t="s">
        <v>12</v>
      </c>
      <c r="UB36" s="6"/>
      <c r="UC36" s="6"/>
      <c r="UD36" s="6"/>
      <c r="UE36" s="6"/>
      <c r="UF36" s="6"/>
      <c r="UG36" s="6"/>
      <c r="UH36" s="6"/>
      <c r="UI36" s="6"/>
      <c r="UJ36" s="6"/>
      <c r="UK36" s="6"/>
      <c r="UL36" s="6"/>
      <c r="UM36" s="6"/>
      <c r="UN36" s="6"/>
      <c r="UO36" s="6"/>
      <c r="UP36" s="6"/>
      <c r="UQ36" s="6"/>
      <c r="UR36" s="6"/>
      <c r="US36" s="6"/>
      <c r="UT36" s="6"/>
      <c r="UU36" s="6"/>
      <c r="UV36" s="6"/>
      <c r="UW36" s="6"/>
      <c r="UX36" s="6"/>
      <c r="UY36" s="6"/>
      <c r="UZ36" s="6"/>
      <c r="VA36" s="6"/>
      <c r="VB36" s="6"/>
      <c r="VC36" s="6"/>
      <c r="VD36" s="6"/>
      <c r="VE36" s="6"/>
      <c r="VF36" s="6"/>
      <c r="VG36" s="6"/>
      <c r="VH36" s="6"/>
      <c r="VI36" s="6"/>
      <c r="VJ36" s="6"/>
      <c r="VK36" s="6"/>
      <c r="VL36" s="6"/>
      <c r="VM36" s="6"/>
      <c r="VN36" s="6"/>
      <c r="VO36" s="6"/>
      <c r="VP36" s="6"/>
      <c r="VQ36" s="6"/>
      <c r="VR36" s="6"/>
      <c r="VS36" s="6"/>
      <c r="VT36" s="6"/>
      <c r="VU36" s="6"/>
      <c r="VV36" s="6"/>
      <c r="VW36" s="6"/>
      <c r="VX36" s="6"/>
      <c r="VY36" s="6"/>
      <c r="VZ36" s="6"/>
      <c r="WA36" s="6"/>
      <c r="WB36" s="6"/>
      <c r="WC36" s="6"/>
      <c r="WD36" s="6"/>
      <c r="WE36" s="6"/>
      <c r="WF36" s="6"/>
      <c r="WG36" s="6"/>
      <c r="WH36" s="6"/>
      <c r="WI36" s="6"/>
      <c r="WJ36" s="6"/>
      <c r="WK36" s="6"/>
      <c r="WL36" s="6"/>
      <c r="WM36" s="6"/>
      <c r="WN36" s="6"/>
      <c r="WO36" s="6"/>
      <c r="WP36" s="6"/>
      <c r="WQ36" s="6"/>
      <c r="WR36" s="6"/>
      <c r="WS36" s="6"/>
      <c r="WT36" s="6"/>
      <c r="WU36" s="6" t="s">
        <v>12</v>
      </c>
      <c r="WV36" s="6"/>
      <c r="WW36" s="6"/>
      <c r="WX36" s="6"/>
      <c r="WY36" s="6"/>
      <c r="WZ36" s="6"/>
      <c r="XA36" s="6"/>
      <c r="XB36" s="6"/>
      <c r="XC36" s="6"/>
      <c r="XD36" s="6"/>
      <c r="XE36" s="6"/>
      <c r="XF36" s="6"/>
      <c r="XG36" s="6"/>
      <c r="XH36" s="6"/>
      <c r="XI36" s="6"/>
      <c r="XJ36" s="6"/>
      <c r="XK36" s="6"/>
      <c r="XL36" s="6"/>
      <c r="XM36" s="6"/>
      <c r="XN36" s="6"/>
      <c r="XO36" s="6"/>
      <c r="XP36" s="6"/>
      <c r="XQ36" s="6"/>
      <c r="XR36" s="6"/>
      <c r="XS36" s="6"/>
      <c r="XT36" s="6"/>
      <c r="XU36" s="6"/>
      <c r="XV36" s="6"/>
      <c r="XW36" s="6"/>
      <c r="XX36" s="6"/>
      <c r="XY36" s="6"/>
      <c r="XZ36" s="6"/>
      <c r="YA36" s="6" t="s">
        <v>12</v>
      </c>
      <c r="YB36" s="6"/>
      <c r="YC36" s="6"/>
      <c r="YD36" s="6"/>
      <c r="YE36" s="6"/>
      <c r="YF36" s="6"/>
      <c r="YG36" s="6"/>
      <c r="YH36" s="6"/>
      <c r="YI36" s="6"/>
      <c r="YJ36" s="6"/>
      <c r="YK36" s="6"/>
      <c r="YL36" s="6"/>
      <c r="YM36" s="6"/>
      <c r="YN36" s="6"/>
      <c r="YO36" s="6"/>
      <c r="YP36" s="6"/>
      <c r="YQ36" s="6"/>
      <c r="YR36" s="6"/>
      <c r="YS36" s="6"/>
      <c r="YT36" s="6"/>
      <c r="YU36" s="6"/>
      <c r="YV36" s="6"/>
      <c r="YW36" s="6"/>
      <c r="YX36" s="6"/>
      <c r="YY36" s="6"/>
      <c r="YZ36" s="6"/>
      <c r="ZA36" s="6"/>
      <c r="ZB36" s="6"/>
      <c r="ZC36" s="6"/>
      <c r="ZD36" s="6"/>
      <c r="ZE36" s="6"/>
      <c r="ZF36" s="6"/>
      <c r="ZG36" s="6"/>
      <c r="ZH36" s="6"/>
      <c r="ZI36" s="6"/>
      <c r="ZJ36" s="6"/>
      <c r="ZK36" s="6"/>
      <c r="ZL36" s="6"/>
      <c r="ZM36" s="6"/>
      <c r="ZN36" s="6"/>
      <c r="ZO36" s="6" t="s">
        <v>12</v>
      </c>
      <c r="ZP36" s="6"/>
      <c r="ZQ36" s="6"/>
      <c r="ZR36" s="6"/>
      <c r="ZS36" s="6"/>
      <c r="ZT36" s="6"/>
      <c r="ZU36" s="6"/>
      <c r="ZV36" s="6"/>
      <c r="ZW36" s="6"/>
      <c r="ZX36" s="6"/>
      <c r="ZY36" s="6"/>
      <c r="ZZ36" s="6"/>
      <c r="AAA36" s="6"/>
      <c r="AAB36" s="6"/>
      <c r="AAC36" s="6"/>
      <c r="AAD36" s="6"/>
      <c r="AAE36" s="6"/>
      <c r="AAF36" s="6"/>
      <c r="AAG36" s="6"/>
      <c r="AAH36" s="6"/>
      <c r="AAI36" s="6"/>
      <c r="AAJ36" s="6"/>
      <c r="AAK36" s="6"/>
      <c r="AAL36" s="6"/>
      <c r="AAM36" s="6"/>
      <c r="AAN36" s="6"/>
      <c r="AAO36" s="6"/>
      <c r="AAP36" s="6"/>
      <c r="AAQ36" s="6"/>
      <c r="AAR36" s="6"/>
      <c r="AAS36" s="6"/>
      <c r="AAT36" s="6"/>
      <c r="AAU36" s="6"/>
      <c r="AAV36" s="6"/>
      <c r="AAW36" s="6"/>
      <c r="AAX36" s="6"/>
      <c r="AAY36" s="6"/>
      <c r="AAZ36" s="6"/>
      <c r="ABA36" s="6"/>
      <c r="ABB36" s="6"/>
      <c r="ABC36" s="6"/>
      <c r="ABD36" s="6"/>
      <c r="ABE36" s="6"/>
      <c r="ABF36" s="6"/>
      <c r="ABG36" s="6"/>
      <c r="ABH36" s="6"/>
      <c r="ABI36" s="6"/>
      <c r="ABJ36" s="6"/>
      <c r="ABK36" s="6"/>
      <c r="ABL36" s="6"/>
      <c r="ABM36" s="6"/>
      <c r="ABN36" s="6"/>
      <c r="ABO36" s="6"/>
      <c r="ABP36" s="6"/>
      <c r="ABQ36" s="6"/>
      <c r="ABR36" s="6"/>
      <c r="ABS36" s="6"/>
      <c r="ABT36" s="6"/>
      <c r="ABU36" s="6"/>
      <c r="ABV36" s="6"/>
      <c r="ABW36" s="6"/>
      <c r="ABX36" s="6"/>
      <c r="ABY36" s="6"/>
      <c r="ABZ36" s="6"/>
      <c r="ACA36" s="6"/>
      <c r="ACB36" s="6"/>
      <c r="ACC36" s="6"/>
      <c r="ACD36" s="6"/>
      <c r="ACE36" s="6"/>
      <c r="ACF36" s="6"/>
      <c r="ACG36" s="6"/>
      <c r="ACH36" s="6"/>
      <c r="ACI36" s="6" t="s">
        <v>12</v>
      </c>
      <c r="ACJ36" s="6"/>
      <c r="ACK36" s="6"/>
      <c r="ACL36" s="6"/>
      <c r="ACM36" s="6"/>
      <c r="ACN36" s="6"/>
      <c r="ACO36" s="6"/>
      <c r="ACP36" s="6"/>
      <c r="ACQ36" s="6"/>
      <c r="ACR36" s="6"/>
      <c r="ACS36" s="6"/>
      <c r="ACT36" s="6"/>
      <c r="ACU36" s="6"/>
      <c r="ACV36" s="6"/>
      <c r="ACW36" s="6"/>
      <c r="ACX36" s="6"/>
      <c r="ACY36" s="6"/>
      <c r="ACZ36" s="6"/>
      <c r="ADA36" s="6"/>
      <c r="ADB36" s="6"/>
      <c r="ADC36" s="6"/>
      <c r="ADD36" s="6"/>
      <c r="ADE36" s="6"/>
      <c r="ADF36" s="6"/>
      <c r="ADG36" s="6"/>
      <c r="ADH36" s="6"/>
      <c r="ADI36" s="6"/>
      <c r="ADJ36" s="6"/>
      <c r="ADK36" s="6"/>
      <c r="ADL36" s="6"/>
      <c r="ADM36" s="6"/>
      <c r="ADN36" s="6"/>
      <c r="ADO36" s="6" t="s">
        <v>12</v>
      </c>
      <c r="ADP36" s="6"/>
      <c r="ADQ36" s="6"/>
      <c r="ADR36" s="6"/>
      <c r="ADS36" s="6"/>
      <c r="ADT36" s="6"/>
      <c r="ADU36" s="6"/>
      <c r="ADV36" s="6"/>
      <c r="ADW36" s="6"/>
      <c r="ADX36" s="6"/>
      <c r="ADY36" s="6"/>
      <c r="ADZ36" s="6"/>
      <c r="AEA36" s="6"/>
      <c r="AEB36" s="6"/>
      <c r="AEC36" s="6"/>
      <c r="AED36" s="6"/>
      <c r="AEE36" s="6"/>
      <c r="AEF36" s="6"/>
      <c r="AEG36" s="6"/>
      <c r="AEH36" s="6"/>
      <c r="AEI36" s="6"/>
      <c r="AEJ36" s="6"/>
      <c r="AEK36" s="6"/>
      <c r="AEL36" s="6"/>
      <c r="AEM36" s="6"/>
      <c r="AEN36" s="6"/>
      <c r="AEO36" s="6"/>
      <c r="AEP36" s="6"/>
      <c r="AEQ36" s="6"/>
      <c r="AER36" s="6"/>
      <c r="AES36" s="6"/>
      <c r="AET36" s="6"/>
      <c r="AEU36" s="6"/>
      <c r="AEV36" s="6"/>
      <c r="AEW36" s="6"/>
      <c r="AEX36" s="6"/>
      <c r="AEY36" s="6"/>
      <c r="AEZ36" s="6"/>
      <c r="AFA36" s="6"/>
      <c r="AFB36" s="6"/>
      <c r="AFC36" s="6" t="s">
        <v>12</v>
      </c>
      <c r="AFD36" s="6"/>
      <c r="AFE36" s="6"/>
      <c r="AFF36" s="6"/>
      <c r="AFG36" s="6"/>
      <c r="AFH36" s="6"/>
      <c r="AFI36" s="6"/>
      <c r="AFJ36" s="6"/>
      <c r="AFK36" s="6"/>
      <c r="AFL36" s="6"/>
      <c r="AFM36" s="6"/>
      <c r="AFN36" s="6"/>
      <c r="AFO36" s="6"/>
      <c r="AFP36" s="6"/>
      <c r="AFQ36" s="6"/>
      <c r="AFR36" s="6"/>
      <c r="AFS36" s="6"/>
      <c r="AFT36" s="6"/>
      <c r="AFU36" s="6"/>
      <c r="AFV36" s="6"/>
      <c r="AFW36" s="6"/>
      <c r="AFX36" s="6"/>
      <c r="AFY36" s="6"/>
      <c r="AFZ36" s="6"/>
      <c r="AGA36" s="6"/>
      <c r="AGB36" s="6"/>
      <c r="AGC36" s="6"/>
      <c r="AGD36" s="6"/>
      <c r="AGE36" s="6"/>
      <c r="AGF36" s="6"/>
      <c r="AGG36" s="6"/>
      <c r="AGH36" s="6"/>
      <c r="AGI36" s="6"/>
      <c r="AGJ36" s="6"/>
      <c r="AGK36" s="6"/>
      <c r="AGL36" s="6"/>
      <c r="AGM36" s="6"/>
      <c r="AGN36" s="6"/>
      <c r="AGO36" s="6"/>
      <c r="AGP36" s="6"/>
      <c r="AGQ36" s="6"/>
      <c r="AGR36" s="6"/>
      <c r="AGS36" s="6"/>
      <c r="AGT36" s="6"/>
      <c r="AGU36" s="6"/>
      <c r="AGV36" s="6"/>
      <c r="AGW36" s="6"/>
      <c r="AGX36" s="6"/>
      <c r="AGY36" s="6"/>
      <c r="AGZ36" s="6"/>
      <c r="AHA36" s="6"/>
      <c r="AHB36" s="6"/>
      <c r="AHC36" s="6"/>
      <c r="AHD36" s="6"/>
      <c r="AHE36" s="6"/>
      <c r="AHF36" s="6"/>
      <c r="AHG36" s="6"/>
      <c r="AHH36" s="6"/>
      <c r="AHI36" s="6"/>
      <c r="AHJ36" s="6"/>
      <c r="AHK36" s="6"/>
      <c r="AHL36" s="6"/>
      <c r="AHM36" s="6"/>
      <c r="AHN36" s="6"/>
      <c r="AHO36" s="6"/>
      <c r="AHP36" s="6"/>
      <c r="AHQ36" s="6"/>
      <c r="AHR36" s="6"/>
      <c r="AHS36" s="6"/>
      <c r="AHT36" s="6"/>
      <c r="AHU36" s="6"/>
      <c r="AHV36" s="6"/>
      <c r="AHW36" s="6" t="s">
        <v>12</v>
      </c>
      <c r="AHX36" s="6"/>
      <c r="AHY36" s="6"/>
      <c r="AHZ36" s="6"/>
      <c r="AIA36" s="6"/>
      <c r="AIB36" s="6"/>
      <c r="AIC36" s="6"/>
      <c r="AID36" s="6"/>
      <c r="AIE36" s="6"/>
      <c r="AIF36" s="6"/>
      <c r="AIG36" s="6"/>
      <c r="AIH36" s="6"/>
      <c r="AII36" s="6"/>
      <c r="AIJ36" s="6"/>
      <c r="AIK36" s="6"/>
      <c r="AIL36" s="6"/>
      <c r="AIM36" s="6"/>
      <c r="AIN36" s="6"/>
      <c r="AIO36" s="6"/>
      <c r="AIP36" s="6"/>
      <c r="AIQ36" s="6"/>
      <c r="AIR36" s="6"/>
      <c r="AIS36" s="6"/>
      <c r="AIT36" s="6"/>
      <c r="AIU36" s="6"/>
      <c r="AIV36" s="6"/>
      <c r="AIW36" s="6"/>
      <c r="AIX36" s="6"/>
      <c r="AIY36" s="6"/>
      <c r="AIZ36" s="6"/>
      <c r="AJA36" s="6"/>
      <c r="AJB36" s="6"/>
      <c r="AJC36" s="6" t="s">
        <v>12</v>
      </c>
      <c r="AJD36" s="6"/>
      <c r="AJE36" s="6"/>
      <c r="AJF36" s="6"/>
      <c r="AJG36" s="6"/>
      <c r="AJH36" s="6"/>
      <c r="AJI36" s="6"/>
      <c r="AJJ36" s="6"/>
      <c r="AJK36" s="6"/>
      <c r="AJL36" s="6"/>
      <c r="AJM36" s="6"/>
      <c r="AJN36" s="6"/>
      <c r="AJO36" s="6"/>
      <c r="AJP36" s="6"/>
      <c r="AJQ36" s="6"/>
      <c r="AJR36" s="6"/>
      <c r="AJS36" s="6"/>
      <c r="AJT36" s="6"/>
      <c r="AJU36" s="6"/>
      <c r="AJV36" s="6"/>
      <c r="AJW36" s="6"/>
      <c r="AJX36" s="6"/>
      <c r="AJY36" s="6"/>
      <c r="AJZ36" s="6"/>
      <c r="AKA36" s="6"/>
      <c r="AKB36" s="6"/>
      <c r="AKC36" s="6"/>
      <c r="AKD36" s="6"/>
      <c r="AKE36" s="6"/>
      <c r="AKF36" s="6"/>
      <c r="AKG36" s="6"/>
      <c r="AKH36" s="6"/>
      <c r="AKI36" s="6"/>
      <c r="AKJ36" s="6"/>
      <c r="AKK36" s="6"/>
      <c r="AKL36" s="6"/>
      <c r="AKM36" s="6"/>
      <c r="AKN36" s="6"/>
      <c r="AKO36" s="6"/>
      <c r="AKP36" s="6"/>
      <c r="AKQ36" s="6" t="s">
        <v>12</v>
      </c>
      <c r="AKR36" s="6"/>
      <c r="AKS36" s="6"/>
      <c r="AKT36" s="6"/>
      <c r="AKU36" s="6"/>
      <c r="AKV36" s="6"/>
      <c r="AKW36" s="6"/>
      <c r="AKX36" s="6"/>
      <c r="AKY36" s="6"/>
      <c r="AKZ36" s="6"/>
      <c r="ALA36" s="6"/>
      <c r="ALB36" s="6"/>
      <c r="ALC36" s="6"/>
      <c r="ALD36" s="6"/>
      <c r="ALE36" s="6"/>
      <c r="ALF36" s="6"/>
      <c r="ALG36" s="6"/>
      <c r="ALH36" s="6"/>
      <c r="ALI36" s="6"/>
      <c r="ALJ36" s="6"/>
      <c r="ALK36" s="6"/>
      <c r="ALL36" s="6"/>
      <c r="ALM36" s="6"/>
      <c r="ALN36" s="6"/>
      <c r="ALO36" s="6"/>
      <c r="ALP36" s="6"/>
      <c r="ALQ36" s="6"/>
      <c r="ALR36" s="6"/>
      <c r="ALS36" s="6"/>
      <c r="ALT36" s="6"/>
      <c r="ALU36" s="6"/>
      <c r="ALV36" s="6"/>
      <c r="ALW36" s="6"/>
    </row>
    <row r="37" spans="2:1011" outlineLevel="1" x14ac:dyDescent="0.25">
      <c r="C37" s="5" t="s">
        <v>13</v>
      </c>
      <c r="D37" s="6" t="s">
        <v>13</v>
      </c>
      <c r="E37" s="6" t="s">
        <v>13</v>
      </c>
      <c r="F37" s="6" t="s">
        <v>13</v>
      </c>
      <c r="G37" s="6" t="s">
        <v>13</v>
      </c>
      <c r="H37" s="6" t="s">
        <v>13</v>
      </c>
      <c r="I37" s="6" t="s">
        <v>13</v>
      </c>
      <c r="J37" s="6" t="s">
        <v>13</v>
      </c>
      <c r="K37" s="6" t="s">
        <v>13</v>
      </c>
      <c r="L37" s="6" t="s">
        <v>13</v>
      </c>
      <c r="M37" s="6" t="s">
        <v>13</v>
      </c>
      <c r="N37" s="6" t="s">
        <v>13</v>
      </c>
      <c r="O37" s="6" t="s">
        <v>13</v>
      </c>
      <c r="P37" s="6" t="s">
        <v>13</v>
      </c>
      <c r="Q37" s="6" t="s">
        <v>13</v>
      </c>
      <c r="R37" s="6" t="s">
        <v>13</v>
      </c>
      <c r="S37" s="6" t="s">
        <v>13</v>
      </c>
      <c r="T37" s="6" t="s">
        <v>13</v>
      </c>
      <c r="U37" s="6" t="s">
        <v>13</v>
      </c>
      <c r="V37" s="6" t="s">
        <v>13</v>
      </c>
      <c r="W37" s="6" t="s">
        <v>13</v>
      </c>
      <c r="X37" s="6" t="s">
        <v>13</v>
      </c>
      <c r="Y37" s="6" t="s">
        <v>13</v>
      </c>
      <c r="Z37" s="6" t="s">
        <v>13</v>
      </c>
      <c r="AA37" s="6" t="s">
        <v>13</v>
      </c>
      <c r="AB37" s="6" t="s">
        <v>13</v>
      </c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 t="s">
        <v>13</v>
      </c>
      <c r="AS37" s="6" t="s">
        <v>13</v>
      </c>
      <c r="AT37" s="6" t="s">
        <v>13</v>
      </c>
      <c r="AU37" s="6" t="s">
        <v>13</v>
      </c>
      <c r="AV37" s="6" t="s">
        <v>13</v>
      </c>
      <c r="AW37" s="6" t="s">
        <v>13</v>
      </c>
      <c r="AX37" s="6" t="s">
        <v>13</v>
      </c>
      <c r="AY37" s="6" t="s">
        <v>13</v>
      </c>
      <c r="AZ37" s="6" t="s">
        <v>13</v>
      </c>
      <c r="BA37" s="6" t="s">
        <v>13</v>
      </c>
      <c r="BB37" s="6" t="s">
        <v>13</v>
      </c>
      <c r="BC37" s="6" t="s">
        <v>13</v>
      </c>
      <c r="BD37" s="6" t="s">
        <v>13</v>
      </c>
      <c r="BE37" s="6" t="s">
        <v>13</v>
      </c>
      <c r="BF37" s="6" t="s">
        <v>13</v>
      </c>
      <c r="BG37" s="6" t="s">
        <v>13</v>
      </c>
      <c r="BH37" s="6" t="s">
        <v>13</v>
      </c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 t="s">
        <v>13</v>
      </c>
      <c r="BY37" s="6" t="s">
        <v>13</v>
      </c>
      <c r="BZ37" s="6" t="s">
        <v>13</v>
      </c>
      <c r="CA37" s="6" t="s">
        <v>13</v>
      </c>
      <c r="CB37" s="6" t="s">
        <v>13</v>
      </c>
      <c r="CC37" s="6" t="s">
        <v>13</v>
      </c>
      <c r="CD37" s="6" t="s">
        <v>13</v>
      </c>
      <c r="CE37" s="6" t="s">
        <v>13</v>
      </c>
      <c r="CF37" s="6" t="s">
        <v>13</v>
      </c>
      <c r="CG37" s="6" t="s">
        <v>13</v>
      </c>
      <c r="CH37" s="6" t="s">
        <v>13</v>
      </c>
      <c r="CI37" s="6" t="s">
        <v>13</v>
      </c>
      <c r="CJ37" s="6" t="s">
        <v>13</v>
      </c>
      <c r="CK37" s="6" t="s">
        <v>13</v>
      </c>
      <c r="CL37" s="6" t="s">
        <v>13</v>
      </c>
      <c r="CM37" s="6" t="s">
        <v>13</v>
      </c>
      <c r="CN37" s="6" t="s">
        <v>13</v>
      </c>
      <c r="CO37" s="6" t="s">
        <v>13</v>
      </c>
      <c r="CP37" s="6" t="s">
        <v>13</v>
      </c>
      <c r="CQ37" s="6" t="s">
        <v>13</v>
      </c>
      <c r="CR37" s="6" t="s">
        <v>13</v>
      </c>
      <c r="CS37" s="6" t="s">
        <v>13</v>
      </c>
      <c r="CT37" s="6" t="s">
        <v>13</v>
      </c>
      <c r="CU37" s="6" t="s">
        <v>13</v>
      </c>
      <c r="CV37" s="6" t="s">
        <v>13</v>
      </c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 t="s">
        <v>13</v>
      </c>
      <c r="DM37" s="6" t="s">
        <v>13</v>
      </c>
      <c r="DN37" s="6" t="s">
        <v>13</v>
      </c>
      <c r="DO37" s="6" t="s">
        <v>13</v>
      </c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  <c r="HV37" s="6"/>
      <c r="HW37" s="6"/>
      <c r="HX37" s="6"/>
      <c r="HY37" s="6"/>
      <c r="HZ37" s="6"/>
      <c r="IA37" s="6"/>
      <c r="IB37" s="6"/>
      <c r="IC37" s="6"/>
      <c r="ID37" s="6"/>
      <c r="IE37" s="6"/>
      <c r="IF37" s="6"/>
      <c r="IG37" s="6"/>
      <c r="IH37" s="6"/>
      <c r="II37" s="6"/>
      <c r="IJ37" s="6"/>
      <c r="IK37" s="6"/>
      <c r="IL37" s="6"/>
      <c r="IM37" s="6"/>
      <c r="IN37" s="6"/>
      <c r="IO37" s="6"/>
      <c r="IP37" s="6"/>
      <c r="IQ37" s="6"/>
      <c r="IR37" s="6"/>
      <c r="IS37" s="6"/>
      <c r="IT37" s="6"/>
      <c r="IU37" s="6"/>
      <c r="IV37" s="6"/>
      <c r="IW37" s="6"/>
      <c r="IX37" s="6"/>
      <c r="IY37" s="6"/>
      <c r="IZ37" s="6"/>
      <c r="JA37" s="6"/>
      <c r="JB37" s="6"/>
      <c r="JC37" s="6"/>
      <c r="JD37" s="6" t="s">
        <v>13</v>
      </c>
      <c r="JE37" s="6" t="s">
        <v>13</v>
      </c>
      <c r="JF37" s="6" t="s">
        <v>13</v>
      </c>
      <c r="JG37" s="6" t="s">
        <v>13</v>
      </c>
      <c r="JH37" s="6" t="s">
        <v>13</v>
      </c>
      <c r="JI37" s="6" t="s">
        <v>13</v>
      </c>
      <c r="JJ37" s="6" t="s">
        <v>13</v>
      </c>
      <c r="JK37" s="6" t="s">
        <v>13</v>
      </c>
      <c r="JL37" s="6" t="s">
        <v>13</v>
      </c>
      <c r="JM37" s="6" t="s">
        <v>13</v>
      </c>
      <c r="JN37" s="6" t="s">
        <v>13</v>
      </c>
      <c r="JO37" s="6" t="s">
        <v>13</v>
      </c>
      <c r="JP37" s="6" t="s">
        <v>13</v>
      </c>
      <c r="JQ37" s="6" t="s">
        <v>13</v>
      </c>
      <c r="JR37" s="6" t="s">
        <v>13</v>
      </c>
      <c r="JS37" s="6" t="s">
        <v>13</v>
      </c>
      <c r="JT37" s="6" t="s">
        <v>13</v>
      </c>
      <c r="JU37" s="6" t="s">
        <v>13</v>
      </c>
      <c r="JV37" s="6" t="s">
        <v>13</v>
      </c>
      <c r="JW37" s="6" t="s">
        <v>13</v>
      </c>
      <c r="JX37" s="6" t="s">
        <v>13</v>
      </c>
      <c r="JY37" s="6" t="s">
        <v>13</v>
      </c>
      <c r="JZ37" s="6"/>
      <c r="KA37" s="6"/>
      <c r="KB37" s="6"/>
      <c r="KC37" s="6"/>
      <c r="KD37" s="6"/>
      <c r="KE37" s="6"/>
      <c r="KF37" s="6" t="s">
        <v>13</v>
      </c>
      <c r="KG37" s="6" t="s">
        <v>13</v>
      </c>
      <c r="KH37" s="6" t="s">
        <v>13</v>
      </c>
      <c r="KI37" s="6" t="s">
        <v>13</v>
      </c>
      <c r="KJ37" s="6" t="s">
        <v>13</v>
      </c>
      <c r="KK37" s="6" t="s">
        <v>13</v>
      </c>
      <c r="KL37" s="6" t="s">
        <v>13</v>
      </c>
      <c r="KM37" s="6" t="s">
        <v>13</v>
      </c>
      <c r="KN37" s="6" t="s">
        <v>13</v>
      </c>
      <c r="KO37" s="6" t="s">
        <v>13</v>
      </c>
      <c r="KP37" s="6" t="s">
        <v>13</v>
      </c>
      <c r="KQ37" s="6" t="s">
        <v>13</v>
      </c>
      <c r="KR37" s="6" t="s">
        <v>13</v>
      </c>
      <c r="KS37" s="6" t="s">
        <v>13</v>
      </c>
      <c r="KT37" s="6" t="s">
        <v>13</v>
      </c>
      <c r="KU37" s="6" t="s">
        <v>13</v>
      </c>
      <c r="KV37" s="6" t="s">
        <v>13</v>
      </c>
      <c r="KW37" s="6" t="s">
        <v>13</v>
      </c>
      <c r="KX37" s="6" t="s">
        <v>13</v>
      </c>
      <c r="KY37" s="6" t="s">
        <v>13</v>
      </c>
      <c r="KZ37" s="6" t="s">
        <v>13</v>
      </c>
      <c r="LA37" s="6" t="s">
        <v>13</v>
      </c>
      <c r="LB37" s="6" t="s">
        <v>13</v>
      </c>
      <c r="LC37" s="6" t="s">
        <v>13</v>
      </c>
      <c r="LD37" s="6" t="s">
        <v>13</v>
      </c>
      <c r="LE37" s="6"/>
      <c r="LF37" s="6"/>
      <c r="LG37" s="6"/>
      <c r="LH37" s="6"/>
      <c r="LI37" s="6"/>
      <c r="LJ37" s="6"/>
      <c r="LK37" s="6"/>
      <c r="LL37" s="6"/>
      <c r="LM37" s="6"/>
      <c r="LN37" s="6"/>
      <c r="LO37" s="6"/>
      <c r="LP37" s="6"/>
      <c r="LQ37" s="6"/>
      <c r="LR37" s="6"/>
      <c r="LS37" s="6"/>
      <c r="LT37" s="6" t="s">
        <v>13</v>
      </c>
      <c r="LU37" s="6" t="s">
        <v>13</v>
      </c>
      <c r="LV37" s="6" t="s">
        <v>13</v>
      </c>
      <c r="LW37" s="6" t="s">
        <v>13</v>
      </c>
      <c r="LX37" s="6" t="s">
        <v>13</v>
      </c>
      <c r="LY37" s="6" t="s">
        <v>13</v>
      </c>
      <c r="LZ37" s="6" t="s">
        <v>13</v>
      </c>
      <c r="MA37" s="6" t="s">
        <v>13</v>
      </c>
      <c r="MB37" s="6" t="s">
        <v>13</v>
      </c>
      <c r="MC37" s="6" t="s">
        <v>13</v>
      </c>
      <c r="MD37" s="6" t="s">
        <v>13</v>
      </c>
      <c r="ME37" s="6" t="s">
        <v>13</v>
      </c>
      <c r="MF37" s="6" t="s">
        <v>13</v>
      </c>
      <c r="MG37" s="6" t="s">
        <v>13</v>
      </c>
      <c r="MH37" s="6" t="s">
        <v>13</v>
      </c>
      <c r="MI37" s="6" t="s">
        <v>13</v>
      </c>
      <c r="MJ37" s="6" t="s">
        <v>13</v>
      </c>
      <c r="MK37" s="6"/>
      <c r="ML37" s="6"/>
      <c r="MM37" s="6"/>
      <c r="MN37" s="6"/>
      <c r="MO37" s="6"/>
      <c r="MP37" s="6"/>
      <c r="MQ37" s="6"/>
      <c r="MR37" s="6"/>
      <c r="MS37" s="6"/>
      <c r="MT37" s="6"/>
      <c r="MU37" s="6"/>
      <c r="MV37" s="6"/>
      <c r="MW37" s="6"/>
      <c r="MX37" s="6"/>
      <c r="MY37" s="6"/>
      <c r="MZ37" s="6" t="s">
        <v>13</v>
      </c>
      <c r="NA37" s="6" t="s">
        <v>13</v>
      </c>
      <c r="NB37" s="6" t="s">
        <v>13</v>
      </c>
      <c r="NC37" s="6" t="s">
        <v>13</v>
      </c>
      <c r="ND37" s="6" t="s">
        <v>13</v>
      </c>
      <c r="NE37" s="6" t="s">
        <v>13</v>
      </c>
      <c r="NF37" s="6" t="s">
        <v>13</v>
      </c>
      <c r="NG37" s="6" t="s">
        <v>13</v>
      </c>
      <c r="NH37" s="6" t="s">
        <v>13</v>
      </c>
      <c r="NI37" s="6" t="s">
        <v>13</v>
      </c>
      <c r="NJ37" s="6" t="s">
        <v>13</v>
      </c>
      <c r="NK37" s="6" t="s">
        <v>13</v>
      </c>
      <c r="NL37" s="6" t="s">
        <v>13</v>
      </c>
      <c r="NM37" s="6" t="s">
        <v>13</v>
      </c>
      <c r="NN37" s="6" t="s">
        <v>13</v>
      </c>
      <c r="NO37" s="6" t="s">
        <v>13</v>
      </c>
      <c r="NP37" s="6" t="s">
        <v>13</v>
      </c>
      <c r="NQ37" s="6" t="s">
        <v>13</v>
      </c>
      <c r="NR37" s="6" t="s">
        <v>13</v>
      </c>
      <c r="NS37" s="6" t="s">
        <v>13</v>
      </c>
      <c r="NT37" s="6" t="s">
        <v>13</v>
      </c>
      <c r="NU37" s="6" t="s">
        <v>13</v>
      </c>
      <c r="NV37" s="6" t="s">
        <v>13</v>
      </c>
      <c r="NW37" s="6" t="s">
        <v>13</v>
      </c>
      <c r="NX37" s="6" t="s">
        <v>13</v>
      </c>
      <c r="NY37" s="6"/>
      <c r="NZ37" s="6"/>
      <c r="OA37" s="6"/>
      <c r="OB37" s="6"/>
      <c r="OC37" s="6"/>
      <c r="OD37" s="6"/>
      <c r="OE37" s="6"/>
      <c r="OF37" s="6"/>
      <c r="OG37" s="6"/>
      <c r="OH37" s="6"/>
      <c r="OI37" s="6"/>
      <c r="OJ37" s="6"/>
      <c r="OK37" s="6"/>
      <c r="OL37" s="6"/>
      <c r="OM37" s="6"/>
      <c r="ON37" s="6" t="s">
        <v>13</v>
      </c>
      <c r="OO37" s="6" t="s">
        <v>13</v>
      </c>
      <c r="OP37" s="6" t="s">
        <v>13</v>
      </c>
      <c r="OQ37" s="6" t="s">
        <v>13</v>
      </c>
      <c r="OR37" s="6"/>
      <c r="OS37" s="6"/>
      <c r="OT37" s="6"/>
      <c r="OU37" s="6"/>
      <c r="OV37" s="6"/>
      <c r="OW37" s="6"/>
      <c r="OX37" s="6"/>
      <c r="OY37" s="6"/>
      <c r="OZ37" s="6"/>
      <c r="PA37" s="6"/>
      <c r="PB37" s="6"/>
      <c r="PC37" s="6"/>
      <c r="PD37" s="6"/>
      <c r="PE37" s="6"/>
      <c r="PF37" s="6"/>
      <c r="PG37" s="6"/>
      <c r="PH37" s="6"/>
      <c r="PI37" s="6"/>
      <c r="PJ37" s="6"/>
      <c r="PK37" s="6"/>
      <c r="PL37" s="6"/>
      <c r="PM37" s="6"/>
      <c r="PN37" s="6"/>
      <c r="PO37" s="6"/>
      <c r="PP37" s="6"/>
      <c r="PQ37" s="6"/>
      <c r="PR37" s="6"/>
      <c r="PS37" s="6"/>
      <c r="PT37" s="6" t="s">
        <v>13</v>
      </c>
      <c r="PU37" s="6" t="s">
        <v>13</v>
      </c>
      <c r="PV37" s="6" t="s">
        <v>13</v>
      </c>
      <c r="PW37" s="6" t="s">
        <v>13</v>
      </c>
      <c r="PX37" s="6" t="s">
        <v>13</v>
      </c>
      <c r="PY37" s="6" t="s">
        <v>13</v>
      </c>
      <c r="PZ37" s="6" t="s">
        <v>13</v>
      </c>
      <c r="QA37" s="6" t="s">
        <v>13</v>
      </c>
      <c r="QB37" s="6" t="s">
        <v>13</v>
      </c>
      <c r="QC37" s="6" t="s">
        <v>13</v>
      </c>
      <c r="QD37" s="6" t="s">
        <v>13</v>
      </c>
      <c r="QE37" s="6" t="s">
        <v>13</v>
      </c>
      <c r="QF37" s="6" t="s">
        <v>13</v>
      </c>
      <c r="QG37" s="6" t="s">
        <v>13</v>
      </c>
      <c r="QH37" s="6" t="s">
        <v>13</v>
      </c>
      <c r="QI37" s="6" t="s">
        <v>13</v>
      </c>
      <c r="QJ37" s="6" t="s">
        <v>13</v>
      </c>
      <c r="QK37" s="6" t="s">
        <v>13</v>
      </c>
      <c r="QL37" s="6" t="s">
        <v>13</v>
      </c>
      <c r="QM37" s="6" t="s">
        <v>13</v>
      </c>
      <c r="QN37" s="6" t="s">
        <v>13</v>
      </c>
      <c r="QO37" s="6" t="s">
        <v>13</v>
      </c>
      <c r="QP37" s="6" t="s">
        <v>13</v>
      </c>
      <c r="QQ37" s="6" t="s">
        <v>13</v>
      </c>
      <c r="QR37" s="6" t="s">
        <v>13</v>
      </c>
      <c r="QS37" s="6"/>
      <c r="QT37" s="6"/>
      <c r="QU37" s="6"/>
      <c r="QV37" s="6"/>
      <c r="QW37" s="6"/>
      <c r="QX37" s="6"/>
      <c r="QY37" s="6"/>
      <c r="QZ37" s="6"/>
      <c r="RA37" s="6"/>
      <c r="RB37" s="6"/>
      <c r="RC37" s="6"/>
      <c r="RD37" s="6"/>
      <c r="RE37" s="6"/>
      <c r="RF37" s="6"/>
      <c r="RG37" s="6"/>
      <c r="RH37" s="6" t="s">
        <v>13</v>
      </c>
      <c r="RI37" s="6" t="s">
        <v>13</v>
      </c>
      <c r="RJ37" s="6" t="s">
        <v>13</v>
      </c>
      <c r="RK37" s="6" t="s">
        <v>13</v>
      </c>
      <c r="RL37" s="6" t="s">
        <v>13</v>
      </c>
      <c r="RM37" s="6" t="s">
        <v>13</v>
      </c>
      <c r="RN37" s="6" t="s">
        <v>13</v>
      </c>
      <c r="RO37" s="6" t="s">
        <v>13</v>
      </c>
      <c r="RP37" s="6" t="s">
        <v>13</v>
      </c>
      <c r="RQ37" s="6" t="s">
        <v>13</v>
      </c>
      <c r="RR37" s="6" t="s">
        <v>13</v>
      </c>
      <c r="RS37" s="6" t="s">
        <v>13</v>
      </c>
      <c r="RT37" s="6" t="s">
        <v>13</v>
      </c>
      <c r="RU37" s="6" t="s">
        <v>13</v>
      </c>
      <c r="RV37" s="6" t="s">
        <v>13</v>
      </c>
      <c r="RW37" s="6" t="s">
        <v>13</v>
      </c>
      <c r="RX37" s="6" t="s">
        <v>13</v>
      </c>
      <c r="RY37" s="6"/>
      <c r="RZ37" s="6"/>
      <c r="SA37" s="6"/>
      <c r="SB37" s="6"/>
      <c r="SC37" s="6"/>
      <c r="SD37" s="6"/>
      <c r="SE37" s="6"/>
      <c r="SF37" s="6"/>
      <c r="SG37" s="6"/>
      <c r="SH37" s="6"/>
      <c r="SI37" s="6"/>
      <c r="SJ37" s="6"/>
      <c r="SK37" s="6"/>
      <c r="SL37" s="6"/>
      <c r="SM37" s="6"/>
      <c r="SN37" s="6" t="s">
        <v>13</v>
      </c>
      <c r="SO37" s="6" t="s">
        <v>13</v>
      </c>
      <c r="SP37" s="6" t="s">
        <v>13</v>
      </c>
      <c r="SQ37" s="6" t="s">
        <v>13</v>
      </c>
      <c r="SR37" s="6" t="s">
        <v>13</v>
      </c>
      <c r="SS37" s="6" t="s">
        <v>13</v>
      </c>
      <c r="ST37" s="6" t="s">
        <v>13</v>
      </c>
      <c r="SU37" s="6" t="s">
        <v>13</v>
      </c>
      <c r="SV37" s="6" t="s">
        <v>13</v>
      </c>
      <c r="SW37" s="6" t="s">
        <v>13</v>
      </c>
      <c r="SX37" s="6" t="s">
        <v>13</v>
      </c>
      <c r="SY37" s="6" t="s">
        <v>13</v>
      </c>
      <c r="SZ37" s="6" t="s">
        <v>13</v>
      </c>
      <c r="TA37" s="6" t="s">
        <v>13</v>
      </c>
      <c r="TB37" s="6" t="s">
        <v>13</v>
      </c>
      <c r="TC37" s="6" t="s">
        <v>13</v>
      </c>
      <c r="TD37" s="6" t="s">
        <v>13</v>
      </c>
      <c r="TE37" s="6" t="s">
        <v>13</v>
      </c>
      <c r="TF37" s="6" t="s">
        <v>13</v>
      </c>
      <c r="TG37" s="6" t="s">
        <v>13</v>
      </c>
      <c r="TH37" s="6" t="s">
        <v>13</v>
      </c>
      <c r="TI37" s="6" t="s">
        <v>13</v>
      </c>
      <c r="TJ37" s="6" t="s">
        <v>13</v>
      </c>
      <c r="TK37" s="6" t="s">
        <v>13</v>
      </c>
      <c r="TL37" s="6" t="s">
        <v>13</v>
      </c>
      <c r="TM37" s="6"/>
      <c r="TN37" s="6"/>
      <c r="TO37" s="6"/>
      <c r="TP37" s="6"/>
      <c r="TQ37" s="6"/>
      <c r="TR37" s="6"/>
      <c r="TS37" s="6"/>
      <c r="TT37" s="6"/>
      <c r="TU37" s="6"/>
      <c r="TV37" s="6"/>
      <c r="TW37" s="6"/>
      <c r="TX37" s="6"/>
      <c r="TY37" s="6"/>
      <c r="TZ37" s="6"/>
      <c r="UA37" s="6"/>
      <c r="UB37" s="6" t="s">
        <v>13</v>
      </c>
      <c r="UC37" s="6" t="s">
        <v>13</v>
      </c>
      <c r="UD37" s="6" t="s">
        <v>13</v>
      </c>
      <c r="UE37" s="6" t="s">
        <v>13</v>
      </c>
      <c r="UF37" s="6"/>
      <c r="UG37" s="6"/>
      <c r="UH37" s="6"/>
      <c r="UI37" s="6"/>
      <c r="UJ37" s="6"/>
      <c r="UK37" s="6"/>
      <c r="UL37" s="6"/>
      <c r="UM37" s="6"/>
      <c r="UN37" s="6"/>
      <c r="UO37" s="6"/>
      <c r="UP37" s="6"/>
      <c r="UQ37" s="6"/>
      <c r="UR37" s="6"/>
      <c r="US37" s="6"/>
      <c r="UT37" s="6"/>
      <c r="UU37" s="6"/>
      <c r="UV37" s="6"/>
      <c r="UW37" s="6"/>
      <c r="UX37" s="6"/>
      <c r="UY37" s="6"/>
      <c r="UZ37" s="6"/>
      <c r="VA37" s="6"/>
      <c r="VB37" s="6"/>
      <c r="VC37" s="6"/>
      <c r="VD37" s="6"/>
      <c r="VE37" s="6"/>
      <c r="VF37" s="6"/>
      <c r="VG37" s="6"/>
      <c r="VH37" s="6" t="s">
        <v>13</v>
      </c>
      <c r="VI37" s="6" t="s">
        <v>13</v>
      </c>
      <c r="VJ37" s="6" t="s">
        <v>13</v>
      </c>
      <c r="VK37" s="6" t="s">
        <v>13</v>
      </c>
      <c r="VL37" s="6" t="s">
        <v>13</v>
      </c>
      <c r="VM37" s="6" t="s">
        <v>13</v>
      </c>
      <c r="VN37" s="6" t="s">
        <v>13</v>
      </c>
      <c r="VO37" s="6" t="s">
        <v>13</v>
      </c>
      <c r="VP37" s="6" t="s">
        <v>13</v>
      </c>
      <c r="VQ37" s="6" t="s">
        <v>13</v>
      </c>
      <c r="VR37" s="6" t="s">
        <v>13</v>
      </c>
      <c r="VS37" s="6" t="s">
        <v>13</v>
      </c>
      <c r="VT37" s="6" t="s">
        <v>13</v>
      </c>
      <c r="VU37" s="6" t="s">
        <v>13</v>
      </c>
      <c r="VV37" s="6" t="s">
        <v>13</v>
      </c>
      <c r="VW37" s="6" t="s">
        <v>13</v>
      </c>
      <c r="VX37" s="6" t="s">
        <v>13</v>
      </c>
      <c r="VY37" s="6" t="s">
        <v>13</v>
      </c>
      <c r="VZ37" s="6" t="s">
        <v>13</v>
      </c>
      <c r="WA37" s="6" t="s">
        <v>13</v>
      </c>
      <c r="WB37" s="6" t="s">
        <v>13</v>
      </c>
      <c r="WC37" s="6" t="s">
        <v>13</v>
      </c>
      <c r="WD37" s="6" t="s">
        <v>13</v>
      </c>
      <c r="WE37" s="6" t="s">
        <v>13</v>
      </c>
      <c r="WF37" s="6" t="s">
        <v>13</v>
      </c>
      <c r="WG37" s="6"/>
      <c r="WH37" s="6"/>
      <c r="WI37" s="6"/>
      <c r="WJ37" s="6"/>
      <c r="WK37" s="6"/>
      <c r="WL37" s="6"/>
      <c r="WM37" s="6"/>
      <c r="WN37" s="6"/>
      <c r="WO37" s="6"/>
      <c r="WP37" s="6"/>
      <c r="WQ37" s="6"/>
      <c r="WR37" s="6"/>
      <c r="WS37" s="6"/>
      <c r="WT37" s="6"/>
      <c r="WU37" s="6"/>
      <c r="WV37" s="6" t="s">
        <v>13</v>
      </c>
      <c r="WW37" s="6" t="s">
        <v>13</v>
      </c>
      <c r="WX37" s="6" t="s">
        <v>13</v>
      </c>
      <c r="WY37" s="6" t="s">
        <v>13</v>
      </c>
      <c r="WZ37" s="6" t="s">
        <v>13</v>
      </c>
      <c r="XA37" s="6" t="s">
        <v>13</v>
      </c>
      <c r="XB37" s="6" t="s">
        <v>13</v>
      </c>
      <c r="XC37" s="6" t="s">
        <v>13</v>
      </c>
      <c r="XD37" s="6" t="s">
        <v>13</v>
      </c>
      <c r="XE37" s="6" t="s">
        <v>13</v>
      </c>
      <c r="XF37" s="6" t="s">
        <v>13</v>
      </c>
      <c r="XG37" s="6" t="s">
        <v>13</v>
      </c>
      <c r="XH37" s="6" t="s">
        <v>13</v>
      </c>
      <c r="XI37" s="6" t="s">
        <v>13</v>
      </c>
      <c r="XJ37" s="6" t="s">
        <v>13</v>
      </c>
      <c r="XK37" s="6" t="s">
        <v>13</v>
      </c>
      <c r="XL37" s="6" t="s">
        <v>13</v>
      </c>
      <c r="XM37" s="6"/>
      <c r="XN37" s="6"/>
      <c r="XO37" s="6"/>
      <c r="XP37" s="6"/>
      <c r="XQ37" s="6"/>
      <c r="XR37" s="6"/>
      <c r="XS37" s="6"/>
      <c r="XT37" s="6"/>
      <c r="XU37" s="6"/>
      <c r="XV37" s="6"/>
      <c r="XW37" s="6"/>
      <c r="XX37" s="6"/>
      <c r="XY37" s="6"/>
      <c r="XZ37" s="6"/>
      <c r="YA37" s="6"/>
      <c r="YB37" s="6" t="s">
        <v>13</v>
      </c>
      <c r="YC37" s="6" t="s">
        <v>13</v>
      </c>
      <c r="YD37" s="6" t="s">
        <v>13</v>
      </c>
      <c r="YE37" s="6" t="s">
        <v>13</v>
      </c>
      <c r="YF37" s="6" t="s">
        <v>13</v>
      </c>
      <c r="YG37" s="6" t="s">
        <v>13</v>
      </c>
      <c r="YH37" s="6" t="s">
        <v>13</v>
      </c>
      <c r="YI37" s="6" t="s">
        <v>13</v>
      </c>
      <c r="YJ37" s="6" t="s">
        <v>13</v>
      </c>
      <c r="YK37" s="6" t="s">
        <v>13</v>
      </c>
      <c r="YL37" s="6" t="s">
        <v>13</v>
      </c>
      <c r="YM37" s="6" t="s">
        <v>13</v>
      </c>
      <c r="YN37" s="6" t="s">
        <v>13</v>
      </c>
      <c r="YO37" s="6" t="s">
        <v>13</v>
      </c>
      <c r="YP37" s="6" t="s">
        <v>13</v>
      </c>
      <c r="YQ37" s="6" t="s">
        <v>13</v>
      </c>
      <c r="YR37" s="6" t="s">
        <v>13</v>
      </c>
      <c r="YS37" s="6" t="s">
        <v>13</v>
      </c>
      <c r="YT37" s="6" t="s">
        <v>13</v>
      </c>
      <c r="YU37" s="6" t="s">
        <v>13</v>
      </c>
      <c r="YV37" s="6" t="s">
        <v>13</v>
      </c>
      <c r="YW37" s="6" t="s">
        <v>13</v>
      </c>
      <c r="YX37" s="6" t="s">
        <v>13</v>
      </c>
      <c r="YY37" s="6" t="s">
        <v>13</v>
      </c>
      <c r="YZ37" s="6" t="s">
        <v>13</v>
      </c>
      <c r="ZA37" s="6"/>
      <c r="ZB37" s="6"/>
      <c r="ZC37" s="6"/>
      <c r="ZD37" s="6"/>
      <c r="ZE37" s="6"/>
      <c r="ZF37" s="6"/>
      <c r="ZG37" s="6"/>
      <c r="ZH37" s="6"/>
      <c r="ZI37" s="6"/>
      <c r="ZJ37" s="6"/>
      <c r="ZK37" s="6"/>
      <c r="ZL37" s="6"/>
      <c r="ZM37" s="6"/>
      <c r="ZN37" s="6"/>
      <c r="ZO37" s="6"/>
      <c r="ZP37" s="6" t="s">
        <v>13</v>
      </c>
      <c r="ZQ37" s="6" t="s">
        <v>13</v>
      </c>
      <c r="ZR37" s="6" t="s">
        <v>13</v>
      </c>
      <c r="ZS37" s="6" t="s">
        <v>13</v>
      </c>
      <c r="ZT37" s="6"/>
      <c r="ZU37" s="6"/>
      <c r="ZV37" s="6"/>
      <c r="ZW37" s="6"/>
      <c r="ZX37" s="6"/>
      <c r="ZY37" s="6"/>
      <c r="ZZ37" s="6"/>
      <c r="AAA37" s="6"/>
      <c r="AAB37" s="6"/>
      <c r="AAC37" s="6"/>
      <c r="AAD37" s="6"/>
      <c r="AAE37" s="6"/>
      <c r="AAF37" s="6"/>
      <c r="AAG37" s="6"/>
      <c r="AAH37" s="6"/>
      <c r="AAI37" s="6"/>
      <c r="AAJ37" s="6"/>
      <c r="AAK37" s="6"/>
      <c r="AAL37" s="6"/>
      <c r="AAM37" s="6"/>
      <c r="AAN37" s="6"/>
      <c r="AAO37" s="6"/>
      <c r="AAP37" s="6"/>
      <c r="AAQ37" s="6"/>
      <c r="AAR37" s="6"/>
      <c r="AAS37" s="6"/>
      <c r="AAT37" s="6"/>
      <c r="AAU37" s="6"/>
      <c r="AAV37" s="6" t="s">
        <v>13</v>
      </c>
      <c r="AAW37" s="6" t="s">
        <v>13</v>
      </c>
      <c r="AAX37" s="6" t="s">
        <v>13</v>
      </c>
      <c r="AAY37" s="6" t="s">
        <v>13</v>
      </c>
      <c r="AAZ37" s="6" t="s">
        <v>13</v>
      </c>
      <c r="ABA37" s="6" t="s">
        <v>13</v>
      </c>
      <c r="ABB37" s="6" t="s">
        <v>13</v>
      </c>
      <c r="ABC37" s="6" t="s">
        <v>13</v>
      </c>
      <c r="ABD37" s="6" t="s">
        <v>13</v>
      </c>
      <c r="ABE37" s="6" t="s">
        <v>13</v>
      </c>
      <c r="ABF37" s="6" t="s">
        <v>13</v>
      </c>
      <c r="ABG37" s="6" t="s">
        <v>13</v>
      </c>
      <c r="ABH37" s="6" t="s">
        <v>13</v>
      </c>
      <c r="ABI37" s="6" t="s">
        <v>13</v>
      </c>
      <c r="ABJ37" s="6" t="s">
        <v>13</v>
      </c>
      <c r="ABK37" s="6" t="s">
        <v>13</v>
      </c>
      <c r="ABL37" s="6" t="s">
        <v>13</v>
      </c>
      <c r="ABM37" s="6" t="s">
        <v>13</v>
      </c>
      <c r="ABN37" s="6" t="s">
        <v>13</v>
      </c>
      <c r="ABO37" s="6" t="s">
        <v>13</v>
      </c>
      <c r="ABP37" s="6" t="s">
        <v>13</v>
      </c>
      <c r="ABQ37" s="6" t="s">
        <v>13</v>
      </c>
      <c r="ABR37" s="6" t="s">
        <v>13</v>
      </c>
      <c r="ABS37" s="6" t="s">
        <v>13</v>
      </c>
      <c r="ABT37" s="6" t="s">
        <v>13</v>
      </c>
      <c r="ABU37" s="6"/>
      <c r="ABV37" s="6"/>
      <c r="ABW37" s="6"/>
      <c r="ABX37" s="6"/>
      <c r="ABY37" s="6"/>
      <c r="ABZ37" s="6"/>
      <c r="ACA37" s="6"/>
      <c r="ACB37" s="6"/>
      <c r="ACC37" s="6"/>
      <c r="ACD37" s="6"/>
      <c r="ACE37" s="6"/>
      <c r="ACF37" s="6"/>
      <c r="ACG37" s="6"/>
      <c r="ACH37" s="6"/>
      <c r="ACI37" s="6"/>
      <c r="ACJ37" s="6" t="s">
        <v>13</v>
      </c>
      <c r="ACK37" s="6" t="s">
        <v>13</v>
      </c>
      <c r="ACL37" s="6" t="s">
        <v>13</v>
      </c>
      <c r="ACM37" s="6" t="s">
        <v>13</v>
      </c>
      <c r="ACN37" s="6" t="s">
        <v>13</v>
      </c>
      <c r="ACO37" s="6" t="s">
        <v>13</v>
      </c>
      <c r="ACP37" s="6" t="s">
        <v>13</v>
      </c>
      <c r="ACQ37" s="6" t="s">
        <v>13</v>
      </c>
      <c r="ACR37" s="6" t="s">
        <v>13</v>
      </c>
      <c r="ACS37" s="6" t="s">
        <v>13</v>
      </c>
      <c r="ACT37" s="6" t="s">
        <v>13</v>
      </c>
      <c r="ACU37" s="6" t="s">
        <v>13</v>
      </c>
      <c r="ACV37" s="6" t="s">
        <v>13</v>
      </c>
      <c r="ACW37" s="6" t="s">
        <v>13</v>
      </c>
      <c r="ACX37" s="6" t="s">
        <v>13</v>
      </c>
      <c r="ACY37" s="6" t="s">
        <v>13</v>
      </c>
      <c r="ACZ37" s="6" t="s">
        <v>13</v>
      </c>
      <c r="ADA37" s="6"/>
      <c r="ADB37" s="6"/>
      <c r="ADC37" s="6"/>
      <c r="ADD37" s="6"/>
      <c r="ADE37" s="6"/>
      <c r="ADF37" s="6"/>
      <c r="ADG37" s="6"/>
      <c r="ADH37" s="6"/>
      <c r="ADI37" s="6"/>
      <c r="ADJ37" s="6"/>
      <c r="ADK37" s="6"/>
      <c r="ADL37" s="6"/>
      <c r="ADM37" s="6"/>
      <c r="ADN37" s="6"/>
      <c r="ADO37" s="6"/>
      <c r="ADP37" s="6" t="s">
        <v>13</v>
      </c>
      <c r="ADQ37" s="6" t="s">
        <v>13</v>
      </c>
      <c r="ADR37" s="6" t="s">
        <v>13</v>
      </c>
      <c r="ADS37" s="6" t="s">
        <v>13</v>
      </c>
      <c r="ADT37" s="6" t="s">
        <v>13</v>
      </c>
      <c r="ADU37" s="6" t="s">
        <v>13</v>
      </c>
      <c r="ADV37" s="6" t="s">
        <v>13</v>
      </c>
      <c r="ADW37" s="6" t="s">
        <v>13</v>
      </c>
      <c r="ADX37" s="6" t="s">
        <v>13</v>
      </c>
      <c r="ADY37" s="6" t="s">
        <v>13</v>
      </c>
      <c r="ADZ37" s="6" t="s">
        <v>13</v>
      </c>
      <c r="AEA37" s="6" t="s">
        <v>13</v>
      </c>
      <c r="AEB37" s="6" t="s">
        <v>13</v>
      </c>
      <c r="AEC37" s="6" t="s">
        <v>13</v>
      </c>
      <c r="AED37" s="6" t="s">
        <v>13</v>
      </c>
      <c r="AEE37" s="6" t="s">
        <v>13</v>
      </c>
      <c r="AEF37" s="6" t="s">
        <v>13</v>
      </c>
      <c r="AEG37" s="6" t="s">
        <v>13</v>
      </c>
      <c r="AEH37" s="6" t="s">
        <v>13</v>
      </c>
      <c r="AEI37" s="6" t="s">
        <v>13</v>
      </c>
      <c r="AEJ37" s="6" t="s">
        <v>13</v>
      </c>
      <c r="AEK37" s="6" t="s">
        <v>13</v>
      </c>
      <c r="AEL37" s="6" t="s">
        <v>13</v>
      </c>
      <c r="AEM37" s="6" t="s">
        <v>13</v>
      </c>
      <c r="AEN37" s="6" t="s">
        <v>13</v>
      </c>
      <c r="AEO37" s="6"/>
      <c r="AEP37" s="6"/>
      <c r="AEQ37" s="6"/>
      <c r="AER37" s="6"/>
      <c r="AES37" s="6"/>
      <c r="AET37" s="6"/>
      <c r="AEU37" s="6"/>
      <c r="AEV37" s="6"/>
      <c r="AEW37" s="6"/>
      <c r="AEX37" s="6"/>
      <c r="AEY37" s="6"/>
      <c r="AEZ37" s="6"/>
      <c r="AFA37" s="6"/>
      <c r="AFB37" s="6"/>
      <c r="AFC37" s="6"/>
      <c r="AFD37" s="6" t="s">
        <v>13</v>
      </c>
      <c r="AFE37" s="6" t="s">
        <v>13</v>
      </c>
      <c r="AFF37" s="6" t="s">
        <v>13</v>
      </c>
      <c r="AFG37" s="6" t="s">
        <v>13</v>
      </c>
      <c r="AFH37" s="6"/>
      <c r="AFI37" s="6"/>
      <c r="AFJ37" s="6"/>
      <c r="AFK37" s="6"/>
      <c r="AFL37" s="6"/>
      <c r="AFM37" s="6"/>
      <c r="AFN37" s="6"/>
      <c r="AFO37" s="6"/>
      <c r="AFP37" s="6"/>
      <c r="AFQ37" s="6"/>
      <c r="AFR37" s="6"/>
      <c r="AFS37" s="6"/>
      <c r="AFT37" s="6"/>
      <c r="AFU37" s="6"/>
      <c r="AFV37" s="6"/>
      <c r="AFW37" s="6"/>
      <c r="AFX37" s="6"/>
      <c r="AFY37" s="6"/>
      <c r="AFZ37" s="6"/>
      <c r="AGA37" s="6"/>
      <c r="AGB37" s="6"/>
      <c r="AGC37" s="6"/>
      <c r="AGD37" s="6"/>
      <c r="AGE37" s="6"/>
      <c r="AGF37" s="6"/>
      <c r="AGG37" s="6"/>
      <c r="AGH37" s="6"/>
      <c r="AGI37" s="6"/>
      <c r="AGJ37" s="6" t="s">
        <v>13</v>
      </c>
      <c r="AGK37" s="6" t="s">
        <v>13</v>
      </c>
      <c r="AGL37" s="6" t="s">
        <v>13</v>
      </c>
      <c r="AGM37" s="6" t="s">
        <v>13</v>
      </c>
      <c r="AGN37" s="6" t="s">
        <v>13</v>
      </c>
      <c r="AGO37" s="6" t="s">
        <v>13</v>
      </c>
      <c r="AGP37" s="6" t="s">
        <v>13</v>
      </c>
      <c r="AGQ37" s="6" t="s">
        <v>13</v>
      </c>
      <c r="AGR37" s="6" t="s">
        <v>13</v>
      </c>
      <c r="AGS37" s="6" t="s">
        <v>13</v>
      </c>
      <c r="AGT37" s="6" t="s">
        <v>13</v>
      </c>
      <c r="AGU37" s="6" t="s">
        <v>13</v>
      </c>
      <c r="AGV37" s="6" t="s">
        <v>13</v>
      </c>
      <c r="AGW37" s="6" t="s">
        <v>13</v>
      </c>
      <c r="AGX37" s="6" t="s">
        <v>13</v>
      </c>
      <c r="AGY37" s="6" t="s">
        <v>13</v>
      </c>
      <c r="AGZ37" s="6" t="s">
        <v>13</v>
      </c>
      <c r="AHA37" s="6" t="s">
        <v>13</v>
      </c>
      <c r="AHB37" s="6" t="s">
        <v>13</v>
      </c>
      <c r="AHC37" s="6" t="s">
        <v>13</v>
      </c>
      <c r="AHD37" s="6" t="s">
        <v>13</v>
      </c>
      <c r="AHE37" s="6" t="s">
        <v>13</v>
      </c>
      <c r="AHF37" s="6" t="s">
        <v>13</v>
      </c>
      <c r="AHG37" s="6" t="s">
        <v>13</v>
      </c>
      <c r="AHH37" s="6" t="s">
        <v>13</v>
      </c>
      <c r="AHI37" s="6"/>
      <c r="AHJ37" s="6"/>
      <c r="AHK37" s="6"/>
      <c r="AHL37" s="6"/>
      <c r="AHM37" s="6"/>
      <c r="AHN37" s="6"/>
      <c r="AHO37" s="6"/>
      <c r="AHP37" s="6"/>
      <c r="AHQ37" s="6"/>
      <c r="AHR37" s="6"/>
      <c r="AHS37" s="6"/>
      <c r="AHT37" s="6"/>
      <c r="AHU37" s="6"/>
      <c r="AHV37" s="6"/>
      <c r="AHW37" s="6"/>
      <c r="AHX37" s="6" t="s">
        <v>13</v>
      </c>
      <c r="AHY37" s="6" t="s">
        <v>13</v>
      </c>
      <c r="AHZ37" s="6" t="s">
        <v>13</v>
      </c>
      <c r="AIA37" s="6" t="s">
        <v>13</v>
      </c>
      <c r="AIB37" s="6" t="s">
        <v>13</v>
      </c>
      <c r="AIC37" s="6" t="s">
        <v>13</v>
      </c>
      <c r="AID37" s="6" t="s">
        <v>13</v>
      </c>
      <c r="AIE37" s="6" t="s">
        <v>13</v>
      </c>
      <c r="AIF37" s="6" t="s">
        <v>13</v>
      </c>
      <c r="AIG37" s="6" t="s">
        <v>13</v>
      </c>
      <c r="AIH37" s="6" t="s">
        <v>13</v>
      </c>
      <c r="AII37" s="6" t="s">
        <v>13</v>
      </c>
      <c r="AIJ37" s="6" t="s">
        <v>13</v>
      </c>
      <c r="AIK37" s="6" t="s">
        <v>13</v>
      </c>
      <c r="AIL37" s="6" t="s">
        <v>13</v>
      </c>
      <c r="AIM37" s="6" t="s">
        <v>13</v>
      </c>
      <c r="AIN37" s="6" t="s">
        <v>13</v>
      </c>
      <c r="AIO37" s="6"/>
      <c r="AIP37" s="6"/>
      <c r="AIQ37" s="6"/>
      <c r="AIR37" s="6"/>
      <c r="AIS37" s="6"/>
      <c r="AIT37" s="6"/>
      <c r="AIU37" s="6"/>
      <c r="AIV37" s="6"/>
      <c r="AIW37" s="6"/>
      <c r="AIX37" s="6"/>
      <c r="AIY37" s="6"/>
      <c r="AIZ37" s="6"/>
      <c r="AJA37" s="6"/>
      <c r="AJB37" s="6"/>
      <c r="AJC37" s="6"/>
      <c r="AJD37" s="6" t="s">
        <v>13</v>
      </c>
      <c r="AJE37" s="6" t="s">
        <v>13</v>
      </c>
      <c r="AJF37" s="6" t="s">
        <v>13</v>
      </c>
      <c r="AJG37" s="6" t="s">
        <v>13</v>
      </c>
      <c r="AJH37" s="6" t="s">
        <v>13</v>
      </c>
      <c r="AJI37" s="6" t="s">
        <v>13</v>
      </c>
      <c r="AJJ37" s="6" t="s">
        <v>13</v>
      </c>
      <c r="AJK37" s="6" t="s">
        <v>13</v>
      </c>
      <c r="AJL37" s="6" t="s">
        <v>13</v>
      </c>
      <c r="AJM37" s="6" t="s">
        <v>13</v>
      </c>
      <c r="AJN37" s="6" t="s">
        <v>13</v>
      </c>
      <c r="AJO37" s="6" t="s">
        <v>13</v>
      </c>
      <c r="AJP37" s="6" t="s">
        <v>13</v>
      </c>
      <c r="AJQ37" s="6" t="s">
        <v>13</v>
      </c>
      <c r="AJR37" s="6" t="s">
        <v>13</v>
      </c>
      <c r="AJS37" s="6" t="s">
        <v>13</v>
      </c>
      <c r="AJT37" s="6" t="s">
        <v>13</v>
      </c>
      <c r="AJU37" s="6" t="s">
        <v>13</v>
      </c>
      <c r="AJV37" s="6" t="s">
        <v>13</v>
      </c>
      <c r="AJW37" s="6" t="s">
        <v>13</v>
      </c>
      <c r="AJX37" s="6" t="s">
        <v>13</v>
      </c>
      <c r="AJY37" s="6" t="s">
        <v>13</v>
      </c>
      <c r="AJZ37" s="6" t="s">
        <v>13</v>
      </c>
      <c r="AKA37" s="6" t="s">
        <v>13</v>
      </c>
      <c r="AKB37" s="6" t="s">
        <v>13</v>
      </c>
      <c r="AKC37" s="6"/>
      <c r="AKD37" s="6"/>
      <c r="AKE37" s="6"/>
      <c r="AKF37" s="6"/>
      <c r="AKG37" s="6"/>
      <c r="AKH37" s="6"/>
      <c r="AKI37" s="6"/>
      <c r="AKJ37" s="6"/>
      <c r="AKK37" s="6"/>
      <c r="AKL37" s="6"/>
      <c r="AKM37" s="6"/>
      <c r="AKN37" s="6"/>
      <c r="AKO37" s="6"/>
      <c r="AKP37" s="6"/>
      <c r="AKQ37" s="6"/>
      <c r="AKR37" s="6" t="s">
        <v>13</v>
      </c>
      <c r="AKS37" s="6" t="s">
        <v>13</v>
      </c>
      <c r="AKT37" s="6" t="s">
        <v>13</v>
      </c>
      <c r="AKU37" s="6" t="s">
        <v>13</v>
      </c>
      <c r="AKV37" s="6"/>
      <c r="AKW37" s="6"/>
      <c r="AKX37" s="6"/>
      <c r="AKY37" s="6"/>
      <c r="AKZ37" s="6"/>
      <c r="ALA37" s="6"/>
      <c r="ALB37" s="6"/>
      <c r="ALC37" s="6"/>
      <c r="ALD37" s="6"/>
      <c r="ALE37" s="6"/>
      <c r="ALF37" s="6"/>
      <c r="ALG37" s="6"/>
      <c r="ALH37" s="6"/>
      <c r="ALI37" s="6"/>
      <c r="ALJ37" s="6"/>
      <c r="ALK37" s="6"/>
      <c r="ALL37" s="6"/>
      <c r="ALM37" s="6"/>
      <c r="ALN37" s="6"/>
      <c r="ALO37" s="6"/>
      <c r="ALP37" s="6"/>
      <c r="ALQ37" s="6"/>
      <c r="ALR37" s="6"/>
      <c r="ALS37" s="6"/>
      <c r="ALT37" s="6"/>
      <c r="ALU37" s="6"/>
      <c r="ALV37" s="6"/>
      <c r="ALW37" s="6"/>
    </row>
    <row r="38" spans="2:1011" outlineLevel="1" x14ac:dyDescent="0.25">
      <c r="B38" s="8"/>
      <c r="C38" s="5" t="s">
        <v>14</v>
      </c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 t="s">
        <v>14</v>
      </c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 t="s">
        <v>14</v>
      </c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 t="s">
        <v>14</v>
      </c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6"/>
      <c r="HX38" s="6"/>
      <c r="HY38" s="6"/>
      <c r="HZ38" s="6"/>
      <c r="IA38" s="6"/>
      <c r="IB38" s="6"/>
      <c r="IC38" s="6"/>
      <c r="ID38" s="6"/>
      <c r="IE38" s="6"/>
      <c r="IF38" s="6"/>
      <c r="IG38" s="6"/>
      <c r="IH38" s="6"/>
      <c r="II38" s="6"/>
      <c r="IJ38" s="6"/>
      <c r="IK38" s="6"/>
      <c r="IL38" s="6"/>
      <c r="IM38" s="6"/>
      <c r="IN38" s="6"/>
      <c r="IO38" s="6"/>
      <c r="IP38" s="6"/>
      <c r="IQ38" s="6"/>
      <c r="IR38" s="6"/>
      <c r="IS38" s="6"/>
      <c r="IT38" s="6"/>
      <c r="IU38" s="6"/>
      <c r="IV38" s="6"/>
      <c r="IW38" s="6"/>
      <c r="IX38" s="6"/>
      <c r="IY38" s="6"/>
      <c r="IZ38" s="6"/>
      <c r="JA38" s="6"/>
      <c r="JB38" s="6"/>
      <c r="JC38" s="6"/>
      <c r="JD38" s="6"/>
      <c r="JE38" s="6"/>
      <c r="JF38" s="6"/>
      <c r="JG38" s="6"/>
      <c r="JH38" s="6"/>
      <c r="JI38" s="6"/>
      <c r="JJ38" s="6"/>
      <c r="JK38" s="6"/>
      <c r="JL38" s="6"/>
      <c r="JM38" s="6"/>
      <c r="JN38" s="6"/>
      <c r="JO38" s="6"/>
      <c r="JP38" s="6"/>
      <c r="JQ38" s="6"/>
      <c r="JR38" s="6"/>
      <c r="JS38" s="6"/>
      <c r="JT38" s="6"/>
      <c r="JU38" s="6"/>
      <c r="JV38" s="6"/>
      <c r="JW38" s="6"/>
      <c r="JX38" s="6"/>
      <c r="JY38" s="6"/>
      <c r="JZ38" s="6"/>
      <c r="KA38" s="6"/>
      <c r="KB38" s="6"/>
      <c r="KC38" s="6"/>
      <c r="KD38" s="6"/>
      <c r="KE38" s="6"/>
      <c r="KF38" s="6"/>
      <c r="KG38" s="6"/>
      <c r="KH38" s="6"/>
      <c r="KI38" s="6"/>
      <c r="KJ38" s="6"/>
      <c r="KK38" s="6"/>
      <c r="KL38" s="6"/>
      <c r="KM38" s="6"/>
      <c r="KN38" s="6"/>
      <c r="KO38" s="6"/>
      <c r="KP38" s="6"/>
      <c r="KQ38" s="6"/>
      <c r="KR38" s="6"/>
      <c r="KS38" s="6"/>
      <c r="KT38" s="6"/>
      <c r="KU38" s="6"/>
      <c r="KV38" s="6"/>
      <c r="KW38" s="6"/>
      <c r="KX38" s="6"/>
      <c r="KY38" s="6"/>
      <c r="KZ38" s="6"/>
      <c r="LA38" s="6"/>
      <c r="LB38" s="6"/>
      <c r="LC38" s="6"/>
      <c r="LD38" s="6"/>
      <c r="LE38" s="6" t="s">
        <v>14</v>
      </c>
      <c r="LF38" s="6"/>
      <c r="LG38" s="6"/>
      <c r="LH38" s="6"/>
      <c r="LI38" s="6"/>
      <c r="LJ38" s="6"/>
      <c r="LK38" s="6"/>
      <c r="LL38" s="6"/>
      <c r="LM38" s="6"/>
      <c r="LN38" s="6"/>
      <c r="LO38" s="6"/>
      <c r="LP38" s="6"/>
      <c r="LQ38" s="6"/>
      <c r="LR38" s="6"/>
      <c r="LS38" s="6"/>
      <c r="LT38" s="6"/>
      <c r="LU38" s="6"/>
      <c r="LV38" s="6"/>
      <c r="LW38" s="6"/>
      <c r="LX38" s="6"/>
      <c r="LY38" s="6"/>
      <c r="LZ38" s="6"/>
      <c r="MA38" s="6"/>
      <c r="MB38" s="6"/>
      <c r="MC38" s="6"/>
      <c r="MD38" s="6"/>
      <c r="ME38" s="6"/>
      <c r="MF38" s="6"/>
      <c r="MG38" s="6"/>
      <c r="MH38" s="6"/>
      <c r="MI38" s="6"/>
      <c r="MJ38" s="6"/>
      <c r="MK38" s="6" t="s">
        <v>14</v>
      </c>
      <c r="ML38" s="6"/>
      <c r="MM38" s="6"/>
      <c r="MN38" s="6"/>
      <c r="MO38" s="6"/>
      <c r="MP38" s="6"/>
      <c r="MQ38" s="6"/>
      <c r="MR38" s="6"/>
      <c r="MS38" s="6"/>
      <c r="MT38" s="6"/>
      <c r="MU38" s="6"/>
      <c r="MV38" s="6"/>
      <c r="MW38" s="6"/>
      <c r="MX38" s="6"/>
      <c r="MY38" s="6"/>
      <c r="MZ38" s="6"/>
      <c r="NA38" s="6"/>
      <c r="NB38" s="6"/>
      <c r="NC38" s="6"/>
      <c r="ND38" s="6"/>
      <c r="NE38" s="6"/>
      <c r="NF38" s="6"/>
      <c r="NG38" s="6"/>
      <c r="NH38" s="6"/>
      <c r="NI38" s="6"/>
      <c r="NJ38" s="6"/>
      <c r="NK38" s="6"/>
      <c r="NL38" s="6"/>
      <c r="NM38" s="6"/>
      <c r="NN38" s="6"/>
      <c r="NO38" s="6"/>
      <c r="NP38" s="6"/>
      <c r="NQ38" s="6"/>
      <c r="NR38" s="6"/>
      <c r="NS38" s="6"/>
      <c r="NT38" s="6"/>
      <c r="NU38" s="6"/>
      <c r="NV38" s="6"/>
      <c r="NW38" s="6"/>
      <c r="NX38" s="6"/>
      <c r="NY38" s="6" t="s">
        <v>14</v>
      </c>
      <c r="NZ38" s="6"/>
      <c r="OA38" s="6"/>
      <c r="OB38" s="6"/>
      <c r="OC38" s="6"/>
      <c r="OD38" s="6"/>
      <c r="OE38" s="6"/>
      <c r="OF38" s="6"/>
      <c r="OG38" s="6"/>
      <c r="OH38" s="6"/>
      <c r="OI38" s="6"/>
      <c r="OJ38" s="6"/>
      <c r="OK38" s="6"/>
      <c r="OL38" s="6"/>
      <c r="OM38" s="6"/>
      <c r="ON38" s="6"/>
      <c r="OO38" s="6"/>
      <c r="OP38" s="6"/>
      <c r="OQ38" s="6"/>
      <c r="OR38" s="6"/>
      <c r="OS38" s="6"/>
      <c r="OT38" s="6"/>
      <c r="OU38" s="6"/>
      <c r="OV38" s="6"/>
      <c r="OW38" s="6"/>
      <c r="OX38" s="6"/>
      <c r="OY38" s="6"/>
      <c r="OZ38" s="6"/>
      <c r="PA38" s="6"/>
      <c r="PB38" s="6"/>
      <c r="PC38" s="6"/>
      <c r="PD38" s="6"/>
      <c r="PE38" s="6"/>
      <c r="PF38" s="6"/>
      <c r="PG38" s="6"/>
      <c r="PH38" s="6"/>
      <c r="PI38" s="6"/>
      <c r="PJ38" s="6"/>
      <c r="PK38" s="6"/>
      <c r="PL38" s="6"/>
      <c r="PM38" s="6"/>
      <c r="PN38" s="6"/>
      <c r="PO38" s="6"/>
      <c r="PP38" s="6"/>
      <c r="PQ38" s="6"/>
      <c r="PR38" s="6"/>
      <c r="PS38" s="6"/>
      <c r="PT38" s="6"/>
      <c r="PU38" s="6"/>
      <c r="PV38" s="6"/>
      <c r="PW38" s="6"/>
      <c r="PX38" s="6"/>
      <c r="PY38" s="6"/>
      <c r="PZ38" s="6"/>
      <c r="QA38" s="6"/>
      <c r="QB38" s="6"/>
      <c r="QC38" s="6"/>
      <c r="QD38" s="6"/>
      <c r="QE38" s="6"/>
      <c r="QF38" s="6"/>
      <c r="QG38" s="6"/>
      <c r="QH38" s="6"/>
      <c r="QI38" s="6"/>
      <c r="QJ38" s="6"/>
      <c r="QK38" s="6"/>
      <c r="QL38" s="6"/>
      <c r="QM38" s="6"/>
      <c r="QN38" s="6"/>
      <c r="QO38" s="6"/>
      <c r="QP38" s="6"/>
      <c r="QQ38" s="6"/>
      <c r="QR38" s="6"/>
      <c r="QS38" s="6" t="s">
        <v>14</v>
      </c>
      <c r="QT38" s="6"/>
      <c r="QU38" s="6"/>
      <c r="QV38" s="6"/>
      <c r="QW38" s="6"/>
      <c r="QX38" s="6"/>
      <c r="QY38" s="6"/>
      <c r="QZ38" s="6"/>
      <c r="RA38" s="6"/>
      <c r="RB38" s="6"/>
      <c r="RC38" s="6"/>
      <c r="RD38" s="6"/>
      <c r="RE38" s="6"/>
      <c r="RF38" s="6"/>
      <c r="RG38" s="6"/>
      <c r="RH38" s="6"/>
      <c r="RI38" s="6"/>
      <c r="RJ38" s="6"/>
      <c r="RK38" s="6"/>
      <c r="RL38" s="6"/>
      <c r="RM38" s="6"/>
      <c r="RN38" s="6"/>
      <c r="RO38" s="6"/>
      <c r="RP38" s="6"/>
      <c r="RQ38" s="6"/>
      <c r="RR38" s="6"/>
      <c r="RS38" s="6"/>
      <c r="RT38" s="6"/>
      <c r="RU38" s="6"/>
      <c r="RV38" s="6"/>
      <c r="RW38" s="6"/>
      <c r="RX38" s="6"/>
      <c r="RY38" s="6" t="s">
        <v>14</v>
      </c>
      <c r="RZ38" s="6"/>
      <c r="SA38" s="6"/>
      <c r="SB38" s="6"/>
      <c r="SC38" s="6"/>
      <c r="SD38" s="6"/>
      <c r="SE38" s="6"/>
      <c r="SF38" s="6"/>
      <c r="SG38" s="6"/>
      <c r="SH38" s="6"/>
      <c r="SI38" s="6"/>
      <c r="SJ38" s="6"/>
      <c r="SK38" s="6"/>
      <c r="SL38" s="6"/>
      <c r="SM38" s="6"/>
      <c r="SN38" s="6"/>
      <c r="SO38" s="6"/>
      <c r="SP38" s="6"/>
      <c r="SQ38" s="6"/>
      <c r="SR38" s="6"/>
      <c r="SS38" s="6"/>
      <c r="ST38" s="6"/>
      <c r="SU38" s="6"/>
      <c r="SV38" s="6"/>
      <c r="SW38" s="6"/>
      <c r="SX38" s="6"/>
      <c r="SY38" s="6"/>
      <c r="SZ38" s="6"/>
      <c r="TA38" s="6"/>
      <c r="TB38" s="6"/>
      <c r="TC38" s="6"/>
      <c r="TD38" s="6"/>
      <c r="TE38" s="6"/>
      <c r="TF38" s="6"/>
      <c r="TG38" s="6"/>
      <c r="TH38" s="6"/>
      <c r="TI38" s="6"/>
      <c r="TJ38" s="6"/>
      <c r="TK38" s="6"/>
      <c r="TL38" s="6"/>
      <c r="TM38" s="6" t="s">
        <v>14</v>
      </c>
      <c r="TN38" s="6"/>
      <c r="TO38" s="6"/>
      <c r="TP38" s="6"/>
      <c r="TQ38" s="6"/>
      <c r="TR38" s="6"/>
      <c r="TS38" s="6"/>
      <c r="TT38" s="6"/>
      <c r="TU38" s="6"/>
      <c r="TV38" s="6"/>
      <c r="TW38" s="6"/>
      <c r="TX38" s="6"/>
      <c r="TY38" s="6"/>
      <c r="TZ38" s="6"/>
      <c r="UA38" s="6"/>
      <c r="UB38" s="6"/>
      <c r="UC38" s="6"/>
      <c r="UD38" s="6"/>
      <c r="UE38" s="6"/>
      <c r="UF38" s="6"/>
      <c r="UG38" s="6"/>
      <c r="UH38" s="6"/>
      <c r="UI38" s="6"/>
      <c r="UJ38" s="6"/>
      <c r="UK38" s="6"/>
      <c r="UL38" s="6"/>
      <c r="UM38" s="6"/>
      <c r="UN38" s="6"/>
      <c r="UO38" s="6"/>
      <c r="UP38" s="6"/>
      <c r="UQ38" s="6"/>
      <c r="UR38" s="6"/>
      <c r="US38" s="6"/>
      <c r="UT38" s="6"/>
      <c r="UU38" s="6"/>
      <c r="UV38" s="6"/>
      <c r="UW38" s="6"/>
      <c r="UX38" s="6"/>
      <c r="UY38" s="6"/>
      <c r="UZ38" s="6"/>
      <c r="VA38" s="6"/>
      <c r="VB38" s="6"/>
      <c r="VC38" s="6"/>
      <c r="VD38" s="6"/>
      <c r="VE38" s="6"/>
      <c r="VF38" s="6"/>
      <c r="VG38" s="6"/>
      <c r="VH38" s="6"/>
      <c r="VI38" s="6"/>
      <c r="VJ38" s="6"/>
      <c r="VK38" s="6"/>
      <c r="VL38" s="6"/>
      <c r="VM38" s="6"/>
      <c r="VN38" s="6"/>
      <c r="VO38" s="6"/>
      <c r="VP38" s="6"/>
      <c r="VQ38" s="6"/>
      <c r="VR38" s="6"/>
      <c r="VS38" s="6"/>
      <c r="VT38" s="6"/>
      <c r="VU38" s="6"/>
      <c r="VV38" s="6"/>
      <c r="VW38" s="6"/>
      <c r="VX38" s="6"/>
      <c r="VY38" s="6"/>
      <c r="VZ38" s="6"/>
      <c r="WA38" s="6"/>
      <c r="WB38" s="6"/>
      <c r="WC38" s="6"/>
      <c r="WD38" s="6"/>
      <c r="WE38" s="6"/>
      <c r="WF38" s="6"/>
      <c r="WG38" s="6" t="s">
        <v>14</v>
      </c>
      <c r="WH38" s="6"/>
      <c r="WI38" s="6"/>
      <c r="WJ38" s="6"/>
      <c r="WK38" s="6"/>
      <c r="WL38" s="6"/>
      <c r="WM38" s="6"/>
      <c r="WN38" s="6"/>
      <c r="WO38" s="6"/>
      <c r="WP38" s="6"/>
      <c r="WQ38" s="6"/>
      <c r="WR38" s="6"/>
      <c r="WS38" s="6"/>
      <c r="WT38" s="6"/>
      <c r="WU38" s="6"/>
      <c r="WV38" s="6"/>
      <c r="WW38" s="6"/>
      <c r="WX38" s="6"/>
      <c r="WY38" s="6"/>
      <c r="WZ38" s="6"/>
      <c r="XA38" s="6"/>
      <c r="XB38" s="6"/>
      <c r="XC38" s="6"/>
      <c r="XD38" s="6"/>
      <c r="XE38" s="6"/>
      <c r="XF38" s="6"/>
      <c r="XG38" s="6"/>
      <c r="XH38" s="6"/>
      <c r="XI38" s="6"/>
      <c r="XJ38" s="6"/>
      <c r="XK38" s="6"/>
      <c r="XL38" s="6"/>
      <c r="XM38" s="6" t="s">
        <v>14</v>
      </c>
      <c r="XN38" s="6"/>
      <c r="XO38" s="6"/>
      <c r="XP38" s="6"/>
      <c r="XQ38" s="6"/>
      <c r="XR38" s="6"/>
      <c r="XS38" s="6"/>
      <c r="XT38" s="6"/>
      <c r="XU38" s="6"/>
      <c r="XV38" s="6"/>
      <c r="XW38" s="6"/>
      <c r="XX38" s="6"/>
      <c r="XY38" s="6"/>
      <c r="XZ38" s="6"/>
      <c r="YA38" s="6"/>
      <c r="YB38" s="6"/>
      <c r="YC38" s="6"/>
      <c r="YD38" s="6"/>
      <c r="YE38" s="6"/>
      <c r="YF38" s="6"/>
      <c r="YG38" s="6"/>
      <c r="YH38" s="6"/>
      <c r="YI38" s="6"/>
      <c r="YJ38" s="6"/>
      <c r="YK38" s="6"/>
      <c r="YL38" s="6"/>
      <c r="YM38" s="6"/>
      <c r="YN38" s="6"/>
      <c r="YO38" s="6"/>
      <c r="YP38" s="6"/>
      <c r="YQ38" s="6"/>
      <c r="YR38" s="6"/>
      <c r="YS38" s="6"/>
      <c r="YT38" s="6"/>
      <c r="YU38" s="6"/>
      <c r="YV38" s="6"/>
      <c r="YW38" s="6"/>
      <c r="YX38" s="6"/>
      <c r="YY38" s="6"/>
      <c r="YZ38" s="6"/>
      <c r="ZA38" s="6" t="s">
        <v>14</v>
      </c>
      <c r="ZB38" s="6"/>
      <c r="ZC38" s="6"/>
      <c r="ZD38" s="6"/>
      <c r="ZE38" s="6"/>
      <c r="ZF38" s="6"/>
      <c r="ZG38" s="6"/>
      <c r="ZH38" s="6"/>
      <c r="ZI38" s="6"/>
      <c r="ZJ38" s="6"/>
      <c r="ZK38" s="6"/>
      <c r="ZL38" s="6"/>
      <c r="ZM38" s="6"/>
      <c r="ZN38" s="6"/>
      <c r="ZO38" s="6"/>
      <c r="ZP38" s="6"/>
      <c r="ZQ38" s="6"/>
      <c r="ZR38" s="6"/>
      <c r="ZS38" s="6"/>
      <c r="ZT38" s="6"/>
      <c r="ZU38" s="6"/>
      <c r="ZV38" s="6"/>
      <c r="ZW38" s="6"/>
      <c r="ZX38" s="6"/>
      <c r="ZY38" s="6"/>
      <c r="ZZ38" s="6"/>
      <c r="AAA38" s="6"/>
      <c r="AAB38" s="6"/>
      <c r="AAC38" s="6"/>
      <c r="AAD38" s="6"/>
      <c r="AAE38" s="6"/>
      <c r="AAF38" s="6"/>
      <c r="AAG38" s="6"/>
      <c r="AAH38" s="6"/>
      <c r="AAI38" s="6"/>
      <c r="AAJ38" s="6"/>
      <c r="AAK38" s="6"/>
      <c r="AAL38" s="6"/>
      <c r="AAM38" s="6"/>
      <c r="AAN38" s="6"/>
      <c r="AAO38" s="6"/>
      <c r="AAP38" s="6"/>
      <c r="AAQ38" s="6"/>
      <c r="AAR38" s="6"/>
      <c r="AAS38" s="6"/>
      <c r="AAT38" s="6"/>
      <c r="AAU38" s="6"/>
      <c r="AAV38" s="6"/>
      <c r="AAW38" s="6"/>
      <c r="AAX38" s="6"/>
      <c r="AAY38" s="6"/>
      <c r="AAZ38" s="6"/>
      <c r="ABA38" s="6"/>
      <c r="ABB38" s="6"/>
      <c r="ABC38" s="6"/>
      <c r="ABD38" s="6"/>
      <c r="ABE38" s="6"/>
      <c r="ABF38" s="6"/>
      <c r="ABG38" s="6"/>
      <c r="ABH38" s="6"/>
      <c r="ABI38" s="6"/>
      <c r="ABJ38" s="6"/>
      <c r="ABK38" s="6"/>
      <c r="ABL38" s="6"/>
      <c r="ABM38" s="6"/>
      <c r="ABN38" s="6"/>
      <c r="ABO38" s="6"/>
      <c r="ABP38" s="6"/>
      <c r="ABQ38" s="6"/>
      <c r="ABR38" s="6"/>
      <c r="ABS38" s="6"/>
      <c r="ABT38" s="6"/>
      <c r="ABU38" s="6" t="s">
        <v>14</v>
      </c>
      <c r="ABV38" s="6"/>
      <c r="ABW38" s="6"/>
      <c r="ABX38" s="6"/>
      <c r="ABY38" s="6"/>
      <c r="ABZ38" s="6"/>
      <c r="ACA38" s="6"/>
      <c r="ACB38" s="6"/>
      <c r="ACC38" s="6"/>
      <c r="ACD38" s="6"/>
      <c r="ACE38" s="6"/>
      <c r="ACF38" s="6"/>
      <c r="ACG38" s="6"/>
      <c r="ACH38" s="6"/>
      <c r="ACI38" s="6"/>
      <c r="ACJ38" s="6"/>
      <c r="ACK38" s="6"/>
      <c r="ACL38" s="6"/>
      <c r="ACM38" s="6"/>
      <c r="ACN38" s="6"/>
      <c r="ACO38" s="6"/>
      <c r="ACP38" s="6"/>
      <c r="ACQ38" s="6"/>
      <c r="ACR38" s="6"/>
      <c r="ACS38" s="6"/>
      <c r="ACT38" s="6"/>
      <c r="ACU38" s="6"/>
      <c r="ACV38" s="6"/>
      <c r="ACW38" s="6"/>
      <c r="ACX38" s="6"/>
      <c r="ACY38" s="6"/>
      <c r="ACZ38" s="6"/>
      <c r="ADA38" s="6" t="s">
        <v>14</v>
      </c>
      <c r="ADB38" s="6"/>
      <c r="ADC38" s="6"/>
      <c r="ADD38" s="6"/>
      <c r="ADE38" s="6"/>
      <c r="ADF38" s="6"/>
      <c r="ADG38" s="6"/>
      <c r="ADH38" s="6"/>
      <c r="ADI38" s="6"/>
      <c r="ADJ38" s="6"/>
      <c r="ADK38" s="6"/>
      <c r="ADL38" s="6"/>
      <c r="ADM38" s="6"/>
      <c r="ADN38" s="6"/>
      <c r="ADO38" s="6"/>
      <c r="ADP38" s="6"/>
      <c r="ADQ38" s="6"/>
      <c r="ADR38" s="6"/>
      <c r="ADS38" s="6"/>
      <c r="ADT38" s="6"/>
      <c r="ADU38" s="6"/>
      <c r="ADV38" s="6"/>
      <c r="ADW38" s="6"/>
      <c r="ADX38" s="6"/>
      <c r="ADY38" s="6"/>
      <c r="ADZ38" s="6"/>
      <c r="AEA38" s="6"/>
      <c r="AEB38" s="6"/>
      <c r="AEC38" s="6"/>
      <c r="AED38" s="6"/>
      <c r="AEE38" s="6"/>
      <c r="AEF38" s="6"/>
      <c r="AEG38" s="6"/>
      <c r="AEH38" s="6"/>
      <c r="AEI38" s="6"/>
      <c r="AEJ38" s="6"/>
      <c r="AEK38" s="6"/>
      <c r="AEL38" s="6"/>
      <c r="AEM38" s="6"/>
      <c r="AEN38" s="6"/>
      <c r="AEO38" s="6" t="s">
        <v>14</v>
      </c>
      <c r="AEP38" s="6"/>
      <c r="AEQ38" s="6"/>
      <c r="AER38" s="6"/>
      <c r="AES38" s="6"/>
      <c r="AET38" s="6"/>
      <c r="AEU38" s="6"/>
      <c r="AEV38" s="6"/>
      <c r="AEW38" s="6"/>
      <c r="AEX38" s="6"/>
      <c r="AEY38" s="6"/>
      <c r="AEZ38" s="6"/>
      <c r="AFA38" s="6"/>
      <c r="AFB38" s="6"/>
      <c r="AFC38" s="6"/>
      <c r="AFD38" s="6"/>
      <c r="AFE38" s="6"/>
      <c r="AFF38" s="6"/>
      <c r="AFG38" s="6"/>
      <c r="AFH38" s="6"/>
      <c r="AFI38" s="6"/>
      <c r="AFJ38" s="6"/>
      <c r="AFK38" s="6"/>
      <c r="AFL38" s="6"/>
      <c r="AFM38" s="6"/>
      <c r="AFN38" s="6"/>
      <c r="AFO38" s="6"/>
      <c r="AFP38" s="6"/>
      <c r="AFQ38" s="6"/>
      <c r="AFR38" s="6"/>
      <c r="AFS38" s="6"/>
      <c r="AFT38" s="6"/>
      <c r="AFU38" s="6"/>
      <c r="AFV38" s="6"/>
      <c r="AFW38" s="6"/>
      <c r="AFX38" s="6"/>
      <c r="AFY38" s="6"/>
      <c r="AFZ38" s="6"/>
      <c r="AGA38" s="6"/>
      <c r="AGB38" s="6"/>
      <c r="AGC38" s="6"/>
      <c r="AGD38" s="6"/>
      <c r="AGE38" s="6"/>
      <c r="AGF38" s="6"/>
      <c r="AGG38" s="6"/>
      <c r="AGH38" s="6"/>
      <c r="AGI38" s="6"/>
      <c r="AGJ38" s="6"/>
      <c r="AGK38" s="6"/>
      <c r="AGL38" s="6"/>
      <c r="AGM38" s="6"/>
      <c r="AGN38" s="6"/>
      <c r="AGO38" s="6"/>
      <c r="AGP38" s="6"/>
      <c r="AGQ38" s="6"/>
      <c r="AGR38" s="6"/>
      <c r="AGS38" s="6"/>
      <c r="AGT38" s="6"/>
      <c r="AGU38" s="6"/>
      <c r="AGV38" s="6"/>
      <c r="AGW38" s="6"/>
      <c r="AGX38" s="6"/>
      <c r="AGY38" s="6"/>
      <c r="AGZ38" s="6"/>
      <c r="AHA38" s="6"/>
      <c r="AHB38" s="6"/>
      <c r="AHC38" s="6"/>
      <c r="AHD38" s="6"/>
      <c r="AHE38" s="6"/>
      <c r="AHF38" s="6"/>
      <c r="AHG38" s="6"/>
      <c r="AHH38" s="6"/>
      <c r="AHI38" s="6" t="s">
        <v>14</v>
      </c>
      <c r="AHJ38" s="6"/>
      <c r="AHK38" s="6"/>
      <c r="AHL38" s="6"/>
      <c r="AHM38" s="6"/>
      <c r="AHN38" s="6"/>
      <c r="AHO38" s="6"/>
      <c r="AHP38" s="6"/>
      <c r="AHQ38" s="6"/>
      <c r="AHR38" s="6"/>
      <c r="AHS38" s="6"/>
      <c r="AHT38" s="6"/>
      <c r="AHU38" s="6"/>
      <c r="AHV38" s="6"/>
      <c r="AHW38" s="6"/>
      <c r="AHX38" s="6"/>
      <c r="AHY38" s="6"/>
      <c r="AHZ38" s="6"/>
      <c r="AIA38" s="6"/>
      <c r="AIB38" s="6"/>
      <c r="AIC38" s="6"/>
      <c r="AID38" s="6"/>
      <c r="AIE38" s="6"/>
      <c r="AIF38" s="6"/>
      <c r="AIG38" s="6"/>
      <c r="AIH38" s="6"/>
      <c r="AII38" s="6"/>
      <c r="AIJ38" s="6"/>
      <c r="AIK38" s="6"/>
      <c r="AIL38" s="6"/>
      <c r="AIM38" s="6"/>
      <c r="AIN38" s="6"/>
      <c r="AIO38" s="6" t="s">
        <v>14</v>
      </c>
      <c r="AIP38" s="6"/>
      <c r="AIQ38" s="6"/>
      <c r="AIR38" s="6"/>
      <c r="AIS38" s="6"/>
      <c r="AIT38" s="6"/>
      <c r="AIU38" s="6"/>
      <c r="AIV38" s="6"/>
      <c r="AIW38" s="6"/>
      <c r="AIX38" s="6"/>
      <c r="AIY38" s="6"/>
      <c r="AIZ38" s="6"/>
      <c r="AJA38" s="6"/>
      <c r="AJB38" s="6"/>
      <c r="AJC38" s="6"/>
      <c r="AJD38" s="6"/>
      <c r="AJE38" s="6"/>
      <c r="AJF38" s="6"/>
      <c r="AJG38" s="6"/>
      <c r="AJH38" s="6"/>
      <c r="AJI38" s="6"/>
      <c r="AJJ38" s="6"/>
      <c r="AJK38" s="6"/>
      <c r="AJL38" s="6"/>
      <c r="AJM38" s="6"/>
      <c r="AJN38" s="6"/>
      <c r="AJO38" s="6"/>
      <c r="AJP38" s="6"/>
      <c r="AJQ38" s="6"/>
      <c r="AJR38" s="6"/>
      <c r="AJS38" s="6"/>
      <c r="AJT38" s="6"/>
      <c r="AJU38" s="6"/>
      <c r="AJV38" s="6"/>
      <c r="AJW38" s="6"/>
      <c r="AJX38" s="6"/>
      <c r="AJY38" s="6"/>
      <c r="AJZ38" s="6"/>
      <c r="AKA38" s="6"/>
      <c r="AKB38" s="6"/>
      <c r="AKC38" s="6" t="s">
        <v>14</v>
      </c>
      <c r="AKD38" s="6"/>
      <c r="AKE38" s="6"/>
      <c r="AKF38" s="6"/>
      <c r="AKG38" s="6"/>
      <c r="AKH38" s="6"/>
      <c r="AKI38" s="6"/>
      <c r="AKJ38" s="6"/>
      <c r="AKK38" s="6"/>
      <c r="AKL38" s="6"/>
      <c r="AKM38" s="6"/>
      <c r="AKN38" s="6"/>
      <c r="AKO38" s="6"/>
      <c r="AKP38" s="6"/>
      <c r="AKQ38" s="6"/>
      <c r="AKR38" s="6"/>
      <c r="AKS38" s="6"/>
      <c r="AKT38" s="6"/>
      <c r="AKU38" s="6"/>
      <c r="AKV38" s="6"/>
      <c r="AKW38" s="6"/>
      <c r="AKX38" s="6"/>
      <c r="AKY38" s="6"/>
      <c r="AKZ38" s="6"/>
      <c r="ALA38" s="6"/>
      <c r="ALB38" s="6"/>
      <c r="ALC38" s="6"/>
      <c r="ALD38" s="6"/>
      <c r="ALE38" s="6"/>
      <c r="ALF38" s="6"/>
      <c r="ALG38" s="6"/>
      <c r="ALH38" s="6"/>
      <c r="ALI38" s="6"/>
      <c r="ALJ38" s="6"/>
      <c r="ALK38" s="6"/>
      <c r="ALL38" s="6"/>
      <c r="ALM38" s="6"/>
      <c r="ALN38" s="6"/>
      <c r="ALO38" s="6"/>
      <c r="ALP38" s="6"/>
      <c r="ALQ38" s="6"/>
      <c r="ALR38" s="6"/>
      <c r="ALS38" s="6"/>
      <c r="ALT38" s="6"/>
      <c r="ALU38" s="6"/>
      <c r="ALV38" s="6"/>
      <c r="ALW38" s="6"/>
    </row>
    <row r="39" spans="2:1011" x14ac:dyDescent="0.25">
      <c r="B39" s="9" t="s">
        <v>17</v>
      </c>
      <c r="C39" s="5"/>
      <c r="D39" s="6" t="str">
        <f>IF(D$40="M0","M0", IF(D$41="M1","M1", IF(D$42="M2","M2", "!")))</f>
        <v>M1</v>
      </c>
      <c r="E39" s="6" t="str">
        <f t="shared" ref="E39:BP39" si="1167">IF(E$40="M0","M0", IF(E$41="M1","M1", IF(E$42="M2","M2", "!")))</f>
        <v>M1</v>
      </c>
      <c r="F39" s="6" t="str">
        <f t="shared" si="1167"/>
        <v>M1</v>
      </c>
      <c r="G39" s="6" t="str">
        <f t="shared" si="1167"/>
        <v>M1</v>
      </c>
      <c r="H39" s="6" t="str">
        <f t="shared" si="1167"/>
        <v>M2</v>
      </c>
      <c r="I39" s="6" t="str">
        <f t="shared" si="1167"/>
        <v>M2</v>
      </c>
      <c r="J39" s="6" t="str">
        <f t="shared" si="1167"/>
        <v>M2</v>
      </c>
      <c r="K39" s="6" t="str">
        <f t="shared" si="1167"/>
        <v>M1</v>
      </c>
      <c r="L39" s="6" t="str">
        <f t="shared" si="1167"/>
        <v>M1</v>
      </c>
      <c r="M39" s="6" t="str">
        <f t="shared" si="1167"/>
        <v>M1</v>
      </c>
      <c r="N39" s="6" t="str">
        <f t="shared" si="1167"/>
        <v>M1</v>
      </c>
      <c r="O39" s="6" t="str">
        <f t="shared" si="1167"/>
        <v>M1</v>
      </c>
      <c r="P39" s="6" t="str">
        <f t="shared" si="1167"/>
        <v>M1</v>
      </c>
      <c r="Q39" s="6" t="str">
        <f t="shared" si="1167"/>
        <v>M1</v>
      </c>
      <c r="R39" s="6" t="str">
        <f t="shared" si="1167"/>
        <v>M0</v>
      </c>
      <c r="S39" s="6" t="str">
        <f t="shared" si="1167"/>
        <v>M0</v>
      </c>
      <c r="T39" s="6" t="str">
        <f t="shared" si="1167"/>
        <v>M0</v>
      </c>
      <c r="U39" s="6" t="str">
        <f t="shared" si="1167"/>
        <v>M0</v>
      </c>
      <c r="V39" s="6" t="str">
        <f t="shared" si="1167"/>
        <v>M0</v>
      </c>
      <c r="W39" s="6" t="str">
        <f t="shared" si="1167"/>
        <v>M0</v>
      </c>
      <c r="X39" s="6" t="str">
        <f t="shared" si="1167"/>
        <v>M0</v>
      </c>
      <c r="Y39" s="6" t="str">
        <f t="shared" si="1167"/>
        <v>M0</v>
      </c>
      <c r="Z39" s="6" t="str">
        <f t="shared" si="1167"/>
        <v>M0</v>
      </c>
      <c r="AA39" s="6" t="str">
        <f t="shared" si="1167"/>
        <v>M0</v>
      </c>
      <c r="AB39" s="6" t="str">
        <f t="shared" si="1167"/>
        <v>M0</v>
      </c>
      <c r="AC39" s="6" t="str">
        <f t="shared" si="1167"/>
        <v>M0</v>
      </c>
      <c r="AD39" s="6" t="str">
        <f t="shared" si="1167"/>
        <v>M0</v>
      </c>
      <c r="AE39" s="6" t="str">
        <f t="shared" si="1167"/>
        <v>M0</v>
      </c>
      <c r="AF39" s="6" t="str">
        <f t="shared" si="1167"/>
        <v>M0</v>
      </c>
      <c r="AG39" s="6" t="str">
        <f t="shared" si="1167"/>
        <v>M0</v>
      </c>
      <c r="AH39" s="6" t="str">
        <f t="shared" si="1167"/>
        <v>M0</v>
      </c>
      <c r="AI39" s="6" t="str">
        <f t="shared" si="1167"/>
        <v>M0</v>
      </c>
      <c r="AJ39" s="6" t="str">
        <f t="shared" si="1167"/>
        <v>M0</v>
      </c>
      <c r="AK39" s="6" t="str">
        <f t="shared" si="1167"/>
        <v>M0</v>
      </c>
      <c r="AL39" s="6" t="str">
        <f t="shared" si="1167"/>
        <v>M0</v>
      </c>
      <c r="AM39" s="6" t="str">
        <f t="shared" si="1167"/>
        <v>M0</v>
      </c>
      <c r="AN39" s="6" t="str">
        <f t="shared" si="1167"/>
        <v>M0</v>
      </c>
      <c r="AO39" s="6" t="str">
        <f t="shared" si="1167"/>
        <v>M0</v>
      </c>
      <c r="AP39" s="6" t="str">
        <f t="shared" si="1167"/>
        <v>M0</v>
      </c>
      <c r="AQ39" s="6" t="str">
        <f t="shared" si="1167"/>
        <v>M0</v>
      </c>
      <c r="AR39" s="6" t="str">
        <f t="shared" si="1167"/>
        <v>M0</v>
      </c>
      <c r="AS39" s="6" t="str">
        <f t="shared" si="1167"/>
        <v>M0</v>
      </c>
      <c r="AT39" s="6" t="str">
        <f t="shared" si="1167"/>
        <v>M0</v>
      </c>
      <c r="AU39" s="6" t="str">
        <f t="shared" si="1167"/>
        <v>M0</v>
      </c>
      <c r="AV39" s="6" t="str">
        <f t="shared" si="1167"/>
        <v>M0</v>
      </c>
      <c r="AW39" s="6" t="str">
        <f t="shared" si="1167"/>
        <v>M0</v>
      </c>
      <c r="AX39" s="6" t="str">
        <f t="shared" si="1167"/>
        <v>M0</v>
      </c>
      <c r="AY39" s="6" t="str">
        <f t="shared" si="1167"/>
        <v>M0</v>
      </c>
      <c r="AZ39" s="6" t="str">
        <f t="shared" si="1167"/>
        <v>M0</v>
      </c>
      <c r="BA39" s="6" t="str">
        <f t="shared" si="1167"/>
        <v>M0</v>
      </c>
      <c r="BB39" s="6" t="str">
        <f t="shared" si="1167"/>
        <v>M0</v>
      </c>
      <c r="BC39" s="6" t="str">
        <f t="shared" si="1167"/>
        <v>M0</v>
      </c>
      <c r="BD39" s="6" t="str">
        <f t="shared" si="1167"/>
        <v>M0</v>
      </c>
      <c r="BE39" s="6" t="str">
        <f t="shared" si="1167"/>
        <v>M0</v>
      </c>
      <c r="BF39" s="6" t="str">
        <f t="shared" si="1167"/>
        <v>M0</v>
      </c>
      <c r="BG39" s="6" t="str">
        <f t="shared" si="1167"/>
        <v>M0</v>
      </c>
      <c r="BH39" s="6" t="str">
        <f t="shared" si="1167"/>
        <v>M0</v>
      </c>
      <c r="BI39" s="6" t="str">
        <f t="shared" si="1167"/>
        <v>M0</v>
      </c>
      <c r="BJ39" s="6" t="str">
        <f t="shared" si="1167"/>
        <v>M0</v>
      </c>
      <c r="BK39" s="6" t="str">
        <f t="shared" si="1167"/>
        <v>M0</v>
      </c>
      <c r="BL39" s="6" t="str">
        <f t="shared" si="1167"/>
        <v>M0</v>
      </c>
      <c r="BM39" s="6" t="str">
        <f t="shared" si="1167"/>
        <v>M0</v>
      </c>
      <c r="BN39" s="6" t="str">
        <f t="shared" si="1167"/>
        <v>M0</v>
      </c>
      <c r="BO39" s="6" t="str">
        <f t="shared" si="1167"/>
        <v>M0</v>
      </c>
      <c r="BP39" s="6" t="str">
        <f t="shared" si="1167"/>
        <v>M0</v>
      </c>
      <c r="BQ39" s="6" t="str">
        <f t="shared" ref="BQ39:EB39" si="1168">IF(BQ$40="M0","M0", IF(BQ$41="M1","M1", IF(BQ$42="M2","M2", "!")))</f>
        <v>M0</v>
      </c>
      <c r="BR39" s="6" t="str">
        <f t="shared" si="1168"/>
        <v>M0</v>
      </c>
      <c r="BS39" s="6" t="str">
        <f t="shared" si="1168"/>
        <v>M0</v>
      </c>
      <c r="BT39" s="6" t="str">
        <f t="shared" si="1168"/>
        <v>M0</v>
      </c>
      <c r="BU39" s="6" t="str">
        <f t="shared" si="1168"/>
        <v>M0</v>
      </c>
      <c r="BV39" s="6" t="str">
        <f t="shared" si="1168"/>
        <v>M0</v>
      </c>
      <c r="BW39" s="6" t="str">
        <f t="shared" si="1168"/>
        <v>M0</v>
      </c>
      <c r="BX39" s="6" t="str">
        <f t="shared" si="1168"/>
        <v>M0</v>
      </c>
      <c r="BY39" s="6" t="str">
        <f t="shared" si="1168"/>
        <v>M0</v>
      </c>
      <c r="BZ39" s="6" t="str">
        <f t="shared" si="1168"/>
        <v>M0</v>
      </c>
      <c r="CA39" s="6" t="str">
        <f t="shared" si="1168"/>
        <v>M0</v>
      </c>
      <c r="CB39" s="6" t="str">
        <f t="shared" si="1168"/>
        <v>M0</v>
      </c>
      <c r="CC39" s="6" t="str">
        <f t="shared" si="1168"/>
        <v>M1</v>
      </c>
      <c r="CD39" s="6" t="str">
        <f t="shared" si="1168"/>
        <v>M1</v>
      </c>
      <c r="CE39" s="6" t="str">
        <f t="shared" si="1168"/>
        <v>M1</v>
      </c>
      <c r="CF39" s="6" t="str">
        <f t="shared" si="1168"/>
        <v>M1</v>
      </c>
      <c r="CG39" s="6" t="str">
        <f t="shared" si="1168"/>
        <v>M1</v>
      </c>
      <c r="CH39" s="6" t="str">
        <f t="shared" si="1168"/>
        <v>M2</v>
      </c>
      <c r="CI39" s="6" t="str">
        <f t="shared" si="1168"/>
        <v>M2</v>
      </c>
      <c r="CJ39" s="6" t="str">
        <f t="shared" si="1168"/>
        <v>M2</v>
      </c>
      <c r="CK39" s="6" t="str">
        <f t="shared" si="1168"/>
        <v>M1</v>
      </c>
      <c r="CL39" s="6" t="str">
        <f t="shared" si="1168"/>
        <v>M1</v>
      </c>
      <c r="CM39" s="6" t="str">
        <f t="shared" si="1168"/>
        <v>M1</v>
      </c>
      <c r="CN39" s="6" t="str">
        <f t="shared" si="1168"/>
        <v>M1</v>
      </c>
      <c r="CO39" s="6" t="str">
        <f t="shared" si="1168"/>
        <v>M1</v>
      </c>
      <c r="CP39" s="6" t="str">
        <f t="shared" si="1168"/>
        <v>M1</v>
      </c>
      <c r="CQ39" s="6" t="str">
        <f t="shared" si="1168"/>
        <v>M0</v>
      </c>
      <c r="CR39" s="6" t="str">
        <f t="shared" si="1168"/>
        <v>M0</v>
      </c>
      <c r="CS39" s="6" t="str">
        <f t="shared" si="1168"/>
        <v>M0</v>
      </c>
      <c r="CT39" s="6" t="str">
        <f t="shared" si="1168"/>
        <v>M0</v>
      </c>
      <c r="CU39" s="6" t="str">
        <f t="shared" si="1168"/>
        <v>M0</v>
      </c>
      <c r="CV39" s="6" t="str">
        <f t="shared" si="1168"/>
        <v>M0</v>
      </c>
      <c r="CW39" s="6" t="str">
        <f t="shared" si="1168"/>
        <v>M0</v>
      </c>
      <c r="CX39" s="6" t="str">
        <f t="shared" si="1168"/>
        <v>M0</v>
      </c>
      <c r="CY39" s="6" t="str">
        <f t="shared" si="1168"/>
        <v>M0</v>
      </c>
      <c r="CZ39" s="6" t="str">
        <f t="shared" si="1168"/>
        <v>M0</v>
      </c>
      <c r="DA39" s="6" t="str">
        <f t="shared" si="1168"/>
        <v>M0</v>
      </c>
      <c r="DB39" s="6" t="str">
        <f t="shared" si="1168"/>
        <v>M0</v>
      </c>
      <c r="DC39" s="6" t="str">
        <f t="shared" si="1168"/>
        <v>M0</v>
      </c>
      <c r="DD39" s="6" t="str">
        <f t="shared" si="1168"/>
        <v>M0</v>
      </c>
      <c r="DE39" s="6" t="str">
        <f t="shared" si="1168"/>
        <v>M0</v>
      </c>
      <c r="DF39" s="6" t="str">
        <f t="shared" si="1168"/>
        <v>M0</v>
      </c>
      <c r="DG39" s="6" t="str">
        <f t="shared" si="1168"/>
        <v>M0</v>
      </c>
      <c r="DH39" s="6" t="str">
        <f t="shared" si="1168"/>
        <v>M0</v>
      </c>
      <c r="DI39" s="6" t="str">
        <f t="shared" si="1168"/>
        <v>M0</v>
      </c>
      <c r="DJ39" s="6" t="str">
        <f t="shared" si="1168"/>
        <v>M0</v>
      </c>
      <c r="DK39" s="6" t="str">
        <f t="shared" si="1168"/>
        <v>M0</v>
      </c>
      <c r="DL39" s="6" t="str">
        <f t="shared" si="1168"/>
        <v>M0</v>
      </c>
      <c r="DM39" s="6" t="str">
        <f t="shared" si="1168"/>
        <v>M0</v>
      </c>
      <c r="DN39" s="6" t="str">
        <f t="shared" si="1168"/>
        <v>M0</v>
      </c>
      <c r="DO39" s="6" t="str">
        <f t="shared" si="1168"/>
        <v>M0</v>
      </c>
      <c r="DP39" s="6" t="str">
        <f t="shared" si="1168"/>
        <v>M0</v>
      </c>
      <c r="DQ39" s="6" t="str">
        <f t="shared" si="1168"/>
        <v>M0</v>
      </c>
      <c r="DR39" s="6" t="str">
        <f t="shared" si="1168"/>
        <v>M0</v>
      </c>
      <c r="DS39" s="6" t="str">
        <f t="shared" si="1168"/>
        <v>M0</v>
      </c>
      <c r="DT39" s="6" t="str">
        <f t="shared" si="1168"/>
        <v>M0</v>
      </c>
      <c r="DU39" s="6" t="str">
        <f t="shared" si="1168"/>
        <v>M0</v>
      </c>
      <c r="DV39" s="6" t="str">
        <f t="shared" si="1168"/>
        <v>M0</v>
      </c>
      <c r="DW39" s="6" t="str">
        <f t="shared" si="1168"/>
        <v>M0</v>
      </c>
      <c r="DX39" s="6" t="str">
        <f t="shared" si="1168"/>
        <v>M0</v>
      </c>
      <c r="DY39" s="6" t="str">
        <f t="shared" si="1168"/>
        <v>M0</v>
      </c>
      <c r="DZ39" s="6" t="str">
        <f t="shared" si="1168"/>
        <v>M0</v>
      </c>
      <c r="EA39" s="6" t="str">
        <f t="shared" si="1168"/>
        <v>M0</v>
      </c>
      <c r="EB39" s="6" t="str">
        <f t="shared" si="1168"/>
        <v>M0</v>
      </c>
      <c r="EC39" s="6" t="str">
        <f t="shared" ref="EC39:GN39" si="1169">IF(EC$40="M0","M0", IF(EC$41="M1","M1", IF(EC$42="M2","M2", "!")))</f>
        <v>M0</v>
      </c>
      <c r="ED39" s="6" t="str">
        <f t="shared" si="1169"/>
        <v>M0</v>
      </c>
      <c r="EE39" s="6" t="str">
        <f t="shared" si="1169"/>
        <v>M0</v>
      </c>
      <c r="EF39" s="6" t="str">
        <f t="shared" si="1169"/>
        <v>M0</v>
      </c>
      <c r="EG39" s="6" t="str">
        <f t="shared" si="1169"/>
        <v>M0</v>
      </c>
      <c r="EH39" s="6" t="str">
        <f t="shared" si="1169"/>
        <v>M0</v>
      </c>
      <c r="EI39" s="6" t="str">
        <f t="shared" si="1169"/>
        <v>M0</v>
      </c>
      <c r="EJ39" s="6" t="str">
        <f t="shared" si="1169"/>
        <v>M0</v>
      </c>
      <c r="EK39" s="6" t="str">
        <f t="shared" si="1169"/>
        <v>M0</v>
      </c>
      <c r="EL39" s="6" t="str">
        <f t="shared" si="1169"/>
        <v>M0</v>
      </c>
      <c r="EM39" s="6" t="str">
        <f t="shared" si="1169"/>
        <v>M0</v>
      </c>
      <c r="EN39" s="6" t="str">
        <f t="shared" si="1169"/>
        <v>M0</v>
      </c>
      <c r="EO39" s="6" t="str">
        <f t="shared" si="1169"/>
        <v>M0</v>
      </c>
      <c r="EP39" s="6" t="str">
        <f t="shared" si="1169"/>
        <v>M0</v>
      </c>
      <c r="EQ39" s="6" t="str">
        <f t="shared" si="1169"/>
        <v>M0</v>
      </c>
      <c r="ER39" s="6" t="str">
        <f t="shared" si="1169"/>
        <v>M0</v>
      </c>
      <c r="ES39" s="6" t="str">
        <f t="shared" si="1169"/>
        <v>M0</v>
      </c>
      <c r="ET39" s="6" t="str">
        <f t="shared" si="1169"/>
        <v>M0</v>
      </c>
      <c r="EU39" s="6" t="str">
        <f t="shared" si="1169"/>
        <v>M0</v>
      </c>
      <c r="EV39" s="6" t="str">
        <f t="shared" si="1169"/>
        <v>M0</v>
      </c>
      <c r="EW39" s="6" t="str">
        <f t="shared" si="1169"/>
        <v>M0</v>
      </c>
      <c r="EX39" s="6" t="str">
        <f t="shared" si="1169"/>
        <v>M0</v>
      </c>
      <c r="EY39" s="6" t="str">
        <f t="shared" si="1169"/>
        <v>M0</v>
      </c>
      <c r="EZ39" s="6" t="str">
        <f t="shared" si="1169"/>
        <v>M0</v>
      </c>
      <c r="FA39" s="6" t="str">
        <f t="shared" si="1169"/>
        <v>M0</v>
      </c>
      <c r="FB39" s="6" t="str">
        <f t="shared" si="1169"/>
        <v>M0</v>
      </c>
      <c r="FC39" s="6" t="str">
        <f t="shared" si="1169"/>
        <v>M0</v>
      </c>
      <c r="FD39" s="6" t="str">
        <f t="shared" si="1169"/>
        <v>M0</v>
      </c>
      <c r="FE39" s="6" t="str">
        <f t="shared" si="1169"/>
        <v>M0</v>
      </c>
      <c r="FF39" s="6" t="str">
        <f t="shared" si="1169"/>
        <v>M0</v>
      </c>
      <c r="FG39" s="6" t="str">
        <f t="shared" si="1169"/>
        <v>M0</v>
      </c>
      <c r="FH39" s="6" t="str">
        <f t="shared" si="1169"/>
        <v>M0</v>
      </c>
      <c r="FI39" s="6" t="str">
        <f t="shared" si="1169"/>
        <v>M0</v>
      </c>
      <c r="FJ39" s="6" t="str">
        <f t="shared" si="1169"/>
        <v>M0</v>
      </c>
      <c r="FK39" s="6" t="str">
        <f t="shared" si="1169"/>
        <v>M0</v>
      </c>
      <c r="FL39" s="6" t="str">
        <f t="shared" si="1169"/>
        <v>M0</v>
      </c>
      <c r="FM39" s="6" t="str">
        <f t="shared" si="1169"/>
        <v>M0</v>
      </c>
      <c r="FN39" s="6" t="str">
        <f t="shared" si="1169"/>
        <v>M0</v>
      </c>
      <c r="FO39" s="6" t="str">
        <f t="shared" si="1169"/>
        <v>M0</v>
      </c>
      <c r="FP39" s="6" t="str">
        <f t="shared" si="1169"/>
        <v>M0</v>
      </c>
      <c r="FQ39" s="6" t="str">
        <f t="shared" si="1169"/>
        <v>M0</v>
      </c>
      <c r="FR39" s="6" t="str">
        <f t="shared" si="1169"/>
        <v>M0</v>
      </c>
      <c r="FS39" s="6" t="str">
        <f t="shared" si="1169"/>
        <v>M0</v>
      </c>
      <c r="FT39" s="6" t="str">
        <f t="shared" si="1169"/>
        <v>M0</v>
      </c>
      <c r="FU39" s="6" t="str">
        <f t="shared" si="1169"/>
        <v>M0</v>
      </c>
      <c r="FV39" s="6" t="str">
        <f t="shared" si="1169"/>
        <v>M0</v>
      </c>
      <c r="FW39" s="6" t="str">
        <f t="shared" si="1169"/>
        <v>M0</v>
      </c>
      <c r="FX39" s="6" t="str">
        <f t="shared" si="1169"/>
        <v>M0</v>
      </c>
      <c r="FY39" s="6" t="str">
        <f t="shared" si="1169"/>
        <v>M0</v>
      </c>
      <c r="FZ39" s="6" t="str">
        <f t="shared" si="1169"/>
        <v>M0</v>
      </c>
      <c r="GA39" s="6" t="str">
        <f t="shared" si="1169"/>
        <v>M0</v>
      </c>
      <c r="GB39" s="6" t="str">
        <f t="shared" si="1169"/>
        <v>M0</v>
      </c>
      <c r="GC39" s="6" t="str">
        <f t="shared" si="1169"/>
        <v>M0</v>
      </c>
      <c r="GD39" s="6" t="str">
        <f t="shared" si="1169"/>
        <v>M0</v>
      </c>
      <c r="GE39" s="6" t="str">
        <f t="shared" si="1169"/>
        <v>M0</v>
      </c>
      <c r="GF39" s="6" t="str">
        <f t="shared" si="1169"/>
        <v>M0</v>
      </c>
      <c r="GG39" s="6" t="str">
        <f t="shared" si="1169"/>
        <v>M0</v>
      </c>
      <c r="GH39" s="6" t="str">
        <f t="shared" si="1169"/>
        <v>M0</v>
      </c>
      <c r="GI39" s="6" t="str">
        <f t="shared" si="1169"/>
        <v>M0</v>
      </c>
      <c r="GJ39" s="6" t="str">
        <f t="shared" si="1169"/>
        <v>M0</v>
      </c>
      <c r="GK39" s="6" t="str">
        <f t="shared" si="1169"/>
        <v>M0</v>
      </c>
      <c r="GL39" s="6" t="str">
        <f t="shared" si="1169"/>
        <v>M0</v>
      </c>
      <c r="GM39" s="6" t="str">
        <f t="shared" si="1169"/>
        <v>M0</v>
      </c>
      <c r="GN39" s="6" t="str">
        <f t="shared" si="1169"/>
        <v>M0</v>
      </c>
      <c r="GO39" s="6" t="str">
        <f t="shared" ref="GO39:IZ39" si="1170">IF(GO$40="M0","M0", IF(GO$41="M1","M1", IF(GO$42="M2","M2", "!")))</f>
        <v>M0</v>
      </c>
      <c r="GP39" s="6" t="str">
        <f t="shared" si="1170"/>
        <v>M0</v>
      </c>
      <c r="GQ39" s="6" t="str">
        <f t="shared" si="1170"/>
        <v>M0</v>
      </c>
      <c r="GR39" s="6" t="str">
        <f t="shared" si="1170"/>
        <v>M0</v>
      </c>
      <c r="GS39" s="6" t="str">
        <f t="shared" si="1170"/>
        <v>M0</v>
      </c>
      <c r="GT39" s="6" t="str">
        <f t="shared" si="1170"/>
        <v>M0</v>
      </c>
      <c r="GU39" s="6" t="str">
        <f t="shared" si="1170"/>
        <v>M0</v>
      </c>
      <c r="GV39" s="6" t="str">
        <f t="shared" si="1170"/>
        <v>M0</v>
      </c>
      <c r="GW39" s="6" t="str">
        <f t="shared" si="1170"/>
        <v>M0</v>
      </c>
      <c r="GX39" s="6" t="str">
        <f t="shared" si="1170"/>
        <v>M0</v>
      </c>
      <c r="GY39" s="6" t="str">
        <f t="shared" si="1170"/>
        <v>M0</v>
      </c>
      <c r="GZ39" s="6" t="str">
        <f t="shared" si="1170"/>
        <v>M0</v>
      </c>
      <c r="HA39" s="6" t="str">
        <f t="shared" si="1170"/>
        <v>M0</v>
      </c>
      <c r="HB39" s="6" t="str">
        <f t="shared" si="1170"/>
        <v>M0</v>
      </c>
      <c r="HC39" s="6" t="str">
        <f t="shared" si="1170"/>
        <v>M0</v>
      </c>
      <c r="HD39" s="6" t="str">
        <f t="shared" si="1170"/>
        <v>M0</v>
      </c>
      <c r="HE39" s="6" t="str">
        <f t="shared" si="1170"/>
        <v>M0</v>
      </c>
      <c r="HF39" s="6" t="str">
        <f t="shared" si="1170"/>
        <v>M0</v>
      </c>
      <c r="HG39" s="6" t="str">
        <f t="shared" si="1170"/>
        <v>M0</v>
      </c>
      <c r="HH39" s="6" t="str">
        <f t="shared" si="1170"/>
        <v>M0</v>
      </c>
      <c r="HI39" s="6" t="str">
        <f t="shared" si="1170"/>
        <v>M0</v>
      </c>
      <c r="HJ39" s="6" t="str">
        <f t="shared" si="1170"/>
        <v>M0</v>
      </c>
      <c r="HK39" s="6" t="str">
        <f t="shared" si="1170"/>
        <v>M0</v>
      </c>
      <c r="HL39" s="6" t="str">
        <f t="shared" si="1170"/>
        <v>M0</v>
      </c>
      <c r="HM39" s="6" t="str">
        <f t="shared" si="1170"/>
        <v>M0</v>
      </c>
      <c r="HN39" s="6" t="str">
        <f t="shared" si="1170"/>
        <v>M0</v>
      </c>
      <c r="HO39" s="6" t="str">
        <f t="shared" si="1170"/>
        <v>M0</v>
      </c>
      <c r="HP39" s="6" t="str">
        <f t="shared" si="1170"/>
        <v>M0</v>
      </c>
      <c r="HQ39" s="6" t="str">
        <f t="shared" si="1170"/>
        <v>M0</v>
      </c>
      <c r="HR39" s="6" t="str">
        <f t="shared" si="1170"/>
        <v>M0</v>
      </c>
      <c r="HS39" s="6" t="str">
        <f t="shared" si="1170"/>
        <v>M0</v>
      </c>
      <c r="HT39" s="6" t="str">
        <f t="shared" si="1170"/>
        <v>M0</v>
      </c>
      <c r="HU39" s="6" t="str">
        <f t="shared" si="1170"/>
        <v>M0</v>
      </c>
      <c r="HV39" s="6" t="str">
        <f t="shared" si="1170"/>
        <v>M0</v>
      </c>
      <c r="HW39" s="6" t="str">
        <f t="shared" si="1170"/>
        <v>M0</v>
      </c>
      <c r="HX39" s="6" t="str">
        <f t="shared" si="1170"/>
        <v>M0</v>
      </c>
      <c r="HY39" s="6" t="str">
        <f t="shared" si="1170"/>
        <v>M0</v>
      </c>
      <c r="HZ39" s="6" t="str">
        <f t="shared" si="1170"/>
        <v>M0</v>
      </c>
      <c r="IA39" s="6" t="str">
        <f t="shared" si="1170"/>
        <v>M0</v>
      </c>
      <c r="IB39" s="6" t="str">
        <f t="shared" si="1170"/>
        <v>M0</v>
      </c>
      <c r="IC39" s="6" t="str">
        <f t="shared" si="1170"/>
        <v>M0</v>
      </c>
      <c r="ID39" s="6" t="str">
        <f t="shared" si="1170"/>
        <v>M0</v>
      </c>
      <c r="IE39" s="6" t="str">
        <f t="shared" si="1170"/>
        <v>M0</v>
      </c>
      <c r="IF39" s="6" t="str">
        <f t="shared" si="1170"/>
        <v>M0</v>
      </c>
      <c r="IG39" s="6" t="str">
        <f t="shared" si="1170"/>
        <v>M0</v>
      </c>
      <c r="IH39" s="6" t="str">
        <f t="shared" si="1170"/>
        <v>M0</v>
      </c>
      <c r="II39" s="6" t="str">
        <f t="shared" si="1170"/>
        <v>M0</v>
      </c>
      <c r="IJ39" s="6" t="str">
        <f t="shared" si="1170"/>
        <v>M0</v>
      </c>
      <c r="IK39" s="6" t="str">
        <f t="shared" si="1170"/>
        <v>M0</v>
      </c>
      <c r="IL39" s="6" t="str">
        <f t="shared" si="1170"/>
        <v>M0</v>
      </c>
      <c r="IM39" s="6" t="str">
        <f t="shared" si="1170"/>
        <v>M0</v>
      </c>
      <c r="IN39" s="6" t="str">
        <f t="shared" si="1170"/>
        <v>M0</v>
      </c>
      <c r="IO39" s="6" t="str">
        <f t="shared" si="1170"/>
        <v>M0</v>
      </c>
      <c r="IP39" s="6" t="str">
        <f t="shared" si="1170"/>
        <v>M0</v>
      </c>
      <c r="IQ39" s="6" t="str">
        <f t="shared" si="1170"/>
        <v>M0</v>
      </c>
      <c r="IR39" s="6" t="str">
        <f t="shared" si="1170"/>
        <v>M0</v>
      </c>
      <c r="IS39" s="6" t="str">
        <f t="shared" si="1170"/>
        <v>M0</v>
      </c>
      <c r="IT39" s="6" t="str">
        <f t="shared" si="1170"/>
        <v>M0</v>
      </c>
      <c r="IU39" s="6" t="str">
        <f t="shared" si="1170"/>
        <v>M0</v>
      </c>
      <c r="IV39" s="6" t="str">
        <f t="shared" si="1170"/>
        <v>M0</v>
      </c>
      <c r="IW39" s="6" t="str">
        <f t="shared" si="1170"/>
        <v>M0</v>
      </c>
      <c r="IX39" s="6" t="str">
        <f t="shared" si="1170"/>
        <v>M0</v>
      </c>
      <c r="IY39" s="6" t="str">
        <f t="shared" si="1170"/>
        <v>M0</v>
      </c>
      <c r="IZ39" s="6" t="str">
        <f t="shared" si="1170"/>
        <v>M0</v>
      </c>
      <c r="JA39" s="6" t="str">
        <f t="shared" ref="JA39:KE39" si="1171">IF(JA$40="M0","M0", IF(JA$41="M1","M1", IF(JA$42="M2","M2", "!")))</f>
        <v>M0</v>
      </c>
      <c r="JB39" s="6" t="str">
        <f t="shared" si="1171"/>
        <v>M0</v>
      </c>
      <c r="JC39" s="6" t="str">
        <f t="shared" si="1171"/>
        <v>M0</v>
      </c>
      <c r="JD39" s="6" t="str">
        <f t="shared" si="1171"/>
        <v>M0</v>
      </c>
      <c r="JE39" s="6" t="str">
        <f t="shared" si="1171"/>
        <v>M0</v>
      </c>
      <c r="JF39" s="6" t="str">
        <f t="shared" si="1171"/>
        <v>M0</v>
      </c>
      <c r="JG39" s="6" t="str">
        <f t="shared" si="1171"/>
        <v>M0</v>
      </c>
      <c r="JH39" s="6" t="str">
        <f t="shared" si="1171"/>
        <v>M0</v>
      </c>
      <c r="JI39" s="6" t="str">
        <f t="shared" si="1171"/>
        <v>M0</v>
      </c>
      <c r="JJ39" s="6" t="str">
        <f t="shared" si="1171"/>
        <v>M0</v>
      </c>
      <c r="JK39" s="6" t="str">
        <f t="shared" si="1171"/>
        <v>M0</v>
      </c>
      <c r="JL39" s="6" t="str">
        <f t="shared" si="1171"/>
        <v>M0</v>
      </c>
      <c r="JM39" s="6" t="str">
        <f t="shared" si="1171"/>
        <v>M0</v>
      </c>
      <c r="JN39" s="6" t="str">
        <f t="shared" si="1171"/>
        <v>M0</v>
      </c>
      <c r="JO39" s="6" t="str">
        <f t="shared" si="1171"/>
        <v>M0</v>
      </c>
      <c r="JP39" s="6" t="str">
        <f t="shared" si="1171"/>
        <v>M0</v>
      </c>
      <c r="JQ39" s="6" t="str">
        <f t="shared" si="1171"/>
        <v>M0</v>
      </c>
      <c r="JR39" s="6" t="str">
        <f t="shared" si="1171"/>
        <v>M0</v>
      </c>
      <c r="JS39" s="6" t="str">
        <f t="shared" si="1171"/>
        <v>M0</v>
      </c>
      <c r="JT39" s="6" t="str">
        <f t="shared" si="1171"/>
        <v>M0</v>
      </c>
      <c r="JU39" s="6" t="str">
        <f t="shared" si="1171"/>
        <v>M0</v>
      </c>
      <c r="JV39" s="6" t="str">
        <f t="shared" si="1171"/>
        <v>M0</v>
      </c>
      <c r="JW39" s="6" t="str">
        <f t="shared" si="1171"/>
        <v>M0</v>
      </c>
      <c r="JX39" s="6" t="str">
        <f t="shared" si="1171"/>
        <v>M0</v>
      </c>
      <c r="JY39" s="6" t="str">
        <f t="shared" si="1171"/>
        <v>M0</v>
      </c>
      <c r="JZ39" s="6" t="str">
        <f t="shared" si="1171"/>
        <v>M0</v>
      </c>
      <c r="KA39" s="6" t="str">
        <f t="shared" si="1171"/>
        <v>M0</v>
      </c>
      <c r="KB39" s="6" t="str">
        <f t="shared" si="1171"/>
        <v>M0</v>
      </c>
      <c r="KC39" s="6" t="str">
        <f t="shared" si="1171"/>
        <v>M0</v>
      </c>
      <c r="KD39" s="6" t="str">
        <f t="shared" si="1171"/>
        <v>M0</v>
      </c>
      <c r="KE39" s="6" t="str">
        <f t="shared" si="1171"/>
        <v>M0</v>
      </c>
      <c r="KF39" s="6" t="str">
        <f t="shared" ref="KF39:LK39" si="1172">IF(KF$40="M0","M0", IF(KF$41="M1","M1", IF(KF$42="M2","M2", "!")))</f>
        <v>M1</v>
      </c>
      <c r="KG39" s="6" t="str">
        <f t="shared" si="1172"/>
        <v>M1</v>
      </c>
      <c r="KH39" s="6" t="str">
        <f t="shared" si="1172"/>
        <v>M1</v>
      </c>
      <c r="KI39" s="6" t="str">
        <f t="shared" si="1172"/>
        <v>M1</v>
      </c>
      <c r="KJ39" s="6" t="str">
        <f t="shared" si="1172"/>
        <v>M2</v>
      </c>
      <c r="KK39" s="6" t="str">
        <f t="shared" si="1172"/>
        <v>M2</v>
      </c>
      <c r="KL39" s="6" t="str">
        <f t="shared" si="1172"/>
        <v>M2</v>
      </c>
      <c r="KM39" s="6" t="str">
        <f t="shared" si="1172"/>
        <v>M1</v>
      </c>
      <c r="KN39" s="6" t="str">
        <f t="shared" si="1172"/>
        <v>M1</v>
      </c>
      <c r="KO39" s="6" t="str">
        <f t="shared" si="1172"/>
        <v>M1</v>
      </c>
      <c r="KP39" s="6" t="str">
        <f t="shared" si="1172"/>
        <v>M1</v>
      </c>
      <c r="KQ39" s="6" t="str">
        <f t="shared" si="1172"/>
        <v>M1</v>
      </c>
      <c r="KR39" s="6" t="str">
        <f t="shared" si="1172"/>
        <v>M1</v>
      </c>
      <c r="KS39" s="6" t="str">
        <f t="shared" si="1172"/>
        <v>M1</v>
      </c>
      <c r="KT39" s="6" t="str">
        <f t="shared" si="1172"/>
        <v>M0</v>
      </c>
      <c r="KU39" s="6" t="str">
        <f t="shared" si="1172"/>
        <v>M0</v>
      </c>
      <c r="KV39" s="6" t="str">
        <f t="shared" si="1172"/>
        <v>M0</v>
      </c>
      <c r="KW39" s="6" t="str">
        <f t="shared" si="1172"/>
        <v>M0</v>
      </c>
      <c r="KX39" s="6" t="str">
        <f t="shared" si="1172"/>
        <v>M0</v>
      </c>
      <c r="KY39" s="6" t="str">
        <f t="shared" si="1172"/>
        <v>M0</v>
      </c>
      <c r="KZ39" s="6" t="str">
        <f t="shared" si="1172"/>
        <v>M0</v>
      </c>
      <c r="LA39" s="6" t="str">
        <f t="shared" si="1172"/>
        <v>M0</v>
      </c>
      <c r="LB39" s="6" t="str">
        <f t="shared" si="1172"/>
        <v>M0</v>
      </c>
      <c r="LC39" s="6" t="str">
        <f t="shared" si="1172"/>
        <v>M0</v>
      </c>
      <c r="LD39" s="6" t="str">
        <f t="shared" si="1172"/>
        <v>M0</v>
      </c>
      <c r="LE39" s="6" t="str">
        <f t="shared" si="1172"/>
        <v>M0</v>
      </c>
      <c r="LF39" s="6" t="str">
        <f t="shared" si="1172"/>
        <v>M0</v>
      </c>
      <c r="LG39" s="6" t="str">
        <f t="shared" si="1172"/>
        <v>M0</v>
      </c>
      <c r="LH39" s="6" t="str">
        <f t="shared" si="1172"/>
        <v>M0</v>
      </c>
      <c r="LI39" s="6" t="str">
        <f t="shared" si="1172"/>
        <v>M0</v>
      </c>
      <c r="LJ39" s="6" t="str">
        <f t="shared" si="1172"/>
        <v>M0</v>
      </c>
      <c r="LK39" s="6" t="str">
        <f t="shared" si="1172"/>
        <v>M0</v>
      </c>
      <c r="LL39" s="6" t="str">
        <f t="shared" ref="LL39:MQ39" si="1173">IF(LL$40="M0","M0", IF(LL$41="M1","M1", IF(LL$42="M2","M2", "!")))</f>
        <v>M0</v>
      </c>
      <c r="LM39" s="6" t="str">
        <f t="shared" si="1173"/>
        <v>M0</v>
      </c>
      <c r="LN39" s="6" t="str">
        <f t="shared" si="1173"/>
        <v>M0</v>
      </c>
      <c r="LO39" s="6" t="str">
        <f t="shared" si="1173"/>
        <v>M0</v>
      </c>
      <c r="LP39" s="6" t="str">
        <f t="shared" si="1173"/>
        <v>M0</v>
      </c>
      <c r="LQ39" s="6" t="str">
        <f t="shared" si="1173"/>
        <v>M0</v>
      </c>
      <c r="LR39" s="6" t="str">
        <f t="shared" si="1173"/>
        <v>M0</v>
      </c>
      <c r="LS39" s="6" t="str">
        <f t="shared" si="1173"/>
        <v>M0</v>
      </c>
      <c r="LT39" s="6" t="str">
        <f t="shared" si="1173"/>
        <v>M0</v>
      </c>
      <c r="LU39" s="6" t="str">
        <f t="shared" si="1173"/>
        <v>M0</v>
      </c>
      <c r="LV39" s="6" t="str">
        <f t="shared" si="1173"/>
        <v>M0</v>
      </c>
      <c r="LW39" s="6" t="str">
        <f t="shared" si="1173"/>
        <v>M0</v>
      </c>
      <c r="LX39" s="6" t="str">
        <f t="shared" si="1173"/>
        <v>M0</v>
      </c>
      <c r="LY39" s="6" t="str">
        <f t="shared" si="1173"/>
        <v>M0</v>
      </c>
      <c r="LZ39" s="6" t="str">
        <f t="shared" si="1173"/>
        <v>M0</v>
      </c>
      <c r="MA39" s="6" t="str">
        <f t="shared" si="1173"/>
        <v>M0</v>
      </c>
      <c r="MB39" s="6" t="str">
        <f t="shared" si="1173"/>
        <v>M0</v>
      </c>
      <c r="MC39" s="6" t="str">
        <f t="shared" si="1173"/>
        <v>M0</v>
      </c>
      <c r="MD39" s="6" t="str">
        <f t="shared" si="1173"/>
        <v>M0</v>
      </c>
      <c r="ME39" s="6" t="str">
        <f t="shared" si="1173"/>
        <v>M0</v>
      </c>
      <c r="MF39" s="6" t="str">
        <f t="shared" si="1173"/>
        <v>M0</v>
      </c>
      <c r="MG39" s="6" t="str">
        <f t="shared" si="1173"/>
        <v>M0</v>
      </c>
      <c r="MH39" s="6" t="str">
        <f t="shared" si="1173"/>
        <v>M0</v>
      </c>
      <c r="MI39" s="6" t="str">
        <f t="shared" si="1173"/>
        <v>M0</v>
      </c>
      <c r="MJ39" s="6" t="str">
        <f t="shared" si="1173"/>
        <v>M0</v>
      </c>
      <c r="MK39" s="6" t="str">
        <f t="shared" si="1173"/>
        <v>M0</v>
      </c>
      <c r="ML39" s="6" t="str">
        <f t="shared" si="1173"/>
        <v>M0</v>
      </c>
      <c r="MM39" s="6" t="str">
        <f t="shared" si="1173"/>
        <v>M0</v>
      </c>
      <c r="MN39" s="6" t="str">
        <f t="shared" si="1173"/>
        <v>M0</v>
      </c>
      <c r="MO39" s="6" t="str">
        <f t="shared" si="1173"/>
        <v>M0</v>
      </c>
      <c r="MP39" s="6" t="str">
        <f t="shared" si="1173"/>
        <v>M0</v>
      </c>
      <c r="MQ39" s="6" t="str">
        <f t="shared" si="1173"/>
        <v>M0</v>
      </c>
      <c r="MR39" s="6" t="str">
        <f t="shared" ref="MR39:NW39" si="1174">IF(MR$40="M0","M0", IF(MR$41="M1","M1", IF(MR$42="M2","M2", "!")))</f>
        <v>M0</v>
      </c>
      <c r="MS39" s="6" t="str">
        <f t="shared" si="1174"/>
        <v>M0</v>
      </c>
      <c r="MT39" s="6" t="str">
        <f t="shared" si="1174"/>
        <v>M0</v>
      </c>
      <c r="MU39" s="6" t="str">
        <f t="shared" si="1174"/>
        <v>M0</v>
      </c>
      <c r="MV39" s="6" t="str">
        <f t="shared" si="1174"/>
        <v>M0</v>
      </c>
      <c r="MW39" s="6" t="str">
        <f t="shared" si="1174"/>
        <v>M0</v>
      </c>
      <c r="MX39" s="6" t="str">
        <f t="shared" si="1174"/>
        <v>M0</v>
      </c>
      <c r="MY39" s="6" t="str">
        <f t="shared" si="1174"/>
        <v>M0</v>
      </c>
      <c r="MZ39" s="6" t="str">
        <f t="shared" si="1174"/>
        <v>M0</v>
      </c>
      <c r="NA39" s="6" t="str">
        <f t="shared" si="1174"/>
        <v>M0</v>
      </c>
      <c r="NB39" s="6" t="str">
        <f t="shared" si="1174"/>
        <v>M0</v>
      </c>
      <c r="NC39" s="6" t="str">
        <f t="shared" si="1174"/>
        <v>M0</v>
      </c>
      <c r="ND39" s="6" t="str">
        <f t="shared" si="1174"/>
        <v>M0</v>
      </c>
      <c r="NE39" s="6" t="str">
        <f t="shared" si="1174"/>
        <v>M1</v>
      </c>
      <c r="NF39" s="6" t="str">
        <f t="shared" si="1174"/>
        <v>M1</v>
      </c>
      <c r="NG39" s="6" t="str">
        <f t="shared" si="1174"/>
        <v>M1</v>
      </c>
      <c r="NH39" s="6" t="str">
        <f t="shared" si="1174"/>
        <v>M1</v>
      </c>
      <c r="NI39" s="6" t="str">
        <f t="shared" si="1174"/>
        <v>M1</v>
      </c>
      <c r="NJ39" s="6" t="str">
        <f t="shared" si="1174"/>
        <v>M2</v>
      </c>
      <c r="NK39" s="6" t="str">
        <f t="shared" si="1174"/>
        <v>M2</v>
      </c>
      <c r="NL39" s="6" t="str">
        <f t="shared" si="1174"/>
        <v>M2</v>
      </c>
      <c r="NM39" s="6" t="str">
        <f t="shared" si="1174"/>
        <v>M1</v>
      </c>
      <c r="NN39" s="6" t="str">
        <f t="shared" si="1174"/>
        <v>M1</v>
      </c>
      <c r="NO39" s="6" t="str">
        <f t="shared" si="1174"/>
        <v>M1</v>
      </c>
      <c r="NP39" s="6" t="str">
        <f t="shared" si="1174"/>
        <v>M1</v>
      </c>
      <c r="NQ39" s="6" t="str">
        <f t="shared" si="1174"/>
        <v>M1</v>
      </c>
      <c r="NR39" s="6" t="str">
        <f t="shared" si="1174"/>
        <v>M1</v>
      </c>
      <c r="NS39" s="6" t="str">
        <f t="shared" si="1174"/>
        <v>M0</v>
      </c>
      <c r="NT39" s="6" t="str">
        <f t="shared" si="1174"/>
        <v>M0</v>
      </c>
      <c r="NU39" s="6" t="str">
        <f t="shared" si="1174"/>
        <v>M0</v>
      </c>
      <c r="NV39" s="6" t="str">
        <f t="shared" si="1174"/>
        <v>M0</v>
      </c>
      <c r="NW39" s="6" t="str">
        <f t="shared" si="1174"/>
        <v>M0</v>
      </c>
      <c r="NX39" s="6" t="str">
        <f t="shared" ref="NX39:PC39" si="1175">IF(NX$40="M0","M0", IF(NX$41="M1","M1", IF(NX$42="M2","M2", "!")))</f>
        <v>M0</v>
      </c>
      <c r="NY39" s="6" t="str">
        <f t="shared" si="1175"/>
        <v>M0</v>
      </c>
      <c r="NZ39" s="6" t="str">
        <f t="shared" si="1175"/>
        <v>M0</v>
      </c>
      <c r="OA39" s="6" t="str">
        <f t="shared" si="1175"/>
        <v>M0</v>
      </c>
      <c r="OB39" s="6" t="str">
        <f t="shared" si="1175"/>
        <v>M0</v>
      </c>
      <c r="OC39" s="6" t="str">
        <f t="shared" si="1175"/>
        <v>M0</v>
      </c>
      <c r="OD39" s="6" t="str">
        <f t="shared" si="1175"/>
        <v>M0</v>
      </c>
      <c r="OE39" s="6" t="str">
        <f t="shared" si="1175"/>
        <v>M0</v>
      </c>
      <c r="OF39" s="6" t="str">
        <f t="shared" si="1175"/>
        <v>M0</v>
      </c>
      <c r="OG39" s="6" t="str">
        <f t="shared" si="1175"/>
        <v>M0</v>
      </c>
      <c r="OH39" s="6" t="str">
        <f t="shared" si="1175"/>
        <v>M0</v>
      </c>
      <c r="OI39" s="6" t="str">
        <f t="shared" si="1175"/>
        <v>M0</v>
      </c>
      <c r="OJ39" s="6" t="str">
        <f t="shared" si="1175"/>
        <v>M0</v>
      </c>
      <c r="OK39" s="6" t="str">
        <f t="shared" si="1175"/>
        <v>M0</v>
      </c>
      <c r="OL39" s="6" t="str">
        <f t="shared" si="1175"/>
        <v>M0</v>
      </c>
      <c r="OM39" s="6" t="str">
        <f t="shared" si="1175"/>
        <v>M0</v>
      </c>
      <c r="ON39" s="6" t="str">
        <f t="shared" si="1175"/>
        <v>M0</v>
      </c>
      <c r="OO39" s="6" t="str">
        <f t="shared" si="1175"/>
        <v>M0</v>
      </c>
      <c r="OP39" s="6" t="str">
        <f t="shared" si="1175"/>
        <v>M0</v>
      </c>
      <c r="OQ39" s="6" t="str">
        <f t="shared" si="1175"/>
        <v>M0</v>
      </c>
      <c r="OR39" s="6" t="str">
        <f t="shared" si="1175"/>
        <v>M0</v>
      </c>
      <c r="OS39" s="6" t="str">
        <f t="shared" si="1175"/>
        <v>M0</v>
      </c>
      <c r="OT39" s="6" t="str">
        <f t="shared" si="1175"/>
        <v>M0</v>
      </c>
      <c r="OU39" s="6" t="str">
        <f t="shared" si="1175"/>
        <v>M0</v>
      </c>
      <c r="OV39" s="6" t="str">
        <f t="shared" si="1175"/>
        <v>M0</v>
      </c>
      <c r="OW39" s="6" t="str">
        <f t="shared" si="1175"/>
        <v>M0</v>
      </c>
      <c r="OX39" s="6" t="str">
        <f t="shared" si="1175"/>
        <v>M0</v>
      </c>
      <c r="OY39" s="6" t="str">
        <f t="shared" si="1175"/>
        <v>M0</v>
      </c>
      <c r="OZ39" s="6" t="str">
        <f t="shared" si="1175"/>
        <v>M0</v>
      </c>
      <c r="PA39" s="6" t="str">
        <f t="shared" si="1175"/>
        <v>M0</v>
      </c>
      <c r="PB39" s="6" t="str">
        <f t="shared" si="1175"/>
        <v>M0</v>
      </c>
      <c r="PC39" s="6" t="str">
        <f t="shared" si="1175"/>
        <v>M0</v>
      </c>
      <c r="PD39" s="6" t="str">
        <f t="shared" ref="PD39:PS39" si="1176">IF(PD$40="M0","M0", IF(PD$41="M1","M1", IF(PD$42="M2","M2", "!")))</f>
        <v>M0</v>
      </c>
      <c r="PE39" s="6" t="str">
        <f t="shared" si="1176"/>
        <v>M0</v>
      </c>
      <c r="PF39" s="6" t="str">
        <f t="shared" si="1176"/>
        <v>M0</v>
      </c>
      <c r="PG39" s="6" t="str">
        <f t="shared" si="1176"/>
        <v>M0</v>
      </c>
      <c r="PH39" s="6" t="str">
        <f t="shared" si="1176"/>
        <v>M0</v>
      </c>
      <c r="PI39" s="6" t="str">
        <f t="shared" si="1176"/>
        <v>M0</v>
      </c>
      <c r="PJ39" s="6" t="str">
        <f t="shared" si="1176"/>
        <v>M0</v>
      </c>
      <c r="PK39" s="6" t="str">
        <f t="shared" si="1176"/>
        <v>M0</v>
      </c>
      <c r="PL39" s="6" t="str">
        <f t="shared" si="1176"/>
        <v>M0</v>
      </c>
      <c r="PM39" s="6" t="str">
        <f t="shared" si="1176"/>
        <v>M0</v>
      </c>
      <c r="PN39" s="6" t="str">
        <f t="shared" si="1176"/>
        <v>M0</v>
      </c>
      <c r="PO39" s="6" t="str">
        <f t="shared" si="1176"/>
        <v>M0</v>
      </c>
      <c r="PP39" s="6" t="str">
        <f t="shared" si="1176"/>
        <v>M0</v>
      </c>
      <c r="PQ39" s="6" t="str">
        <f t="shared" si="1176"/>
        <v>M0</v>
      </c>
      <c r="PR39" s="6" t="str">
        <f t="shared" si="1176"/>
        <v>M0</v>
      </c>
      <c r="PS39" s="6" t="str">
        <f t="shared" si="1176"/>
        <v>M0</v>
      </c>
      <c r="PT39" s="6" t="str">
        <f t="shared" ref="PT39:QJ39" si="1177">IF(PT$40="M0","M0", IF(PT$41="M1","M1", IF(PT$42="M2","M2", "!")))</f>
        <v>M1</v>
      </c>
      <c r="PU39" s="6" t="str">
        <f t="shared" si="1177"/>
        <v>M1</v>
      </c>
      <c r="PV39" s="6" t="str">
        <f t="shared" si="1177"/>
        <v>M1</v>
      </c>
      <c r="PW39" s="6" t="str">
        <f t="shared" si="1177"/>
        <v>M1</v>
      </c>
      <c r="PX39" s="6" t="str">
        <f t="shared" si="1177"/>
        <v>M2</v>
      </c>
      <c r="PY39" s="6" t="str">
        <f t="shared" si="1177"/>
        <v>M2</v>
      </c>
      <c r="PZ39" s="6" t="str">
        <f t="shared" si="1177"/>
        <v>M2</v>
      </c>
      <c r="QA39" s="6" t="str">
        <f t="shared" si="1177"/>
        <v>M1</v>
      </c>
      <c r="QB39" s="6" t="str">
        <f t="shared" si="1177"/>
        <v>M1</v>
      </c>
      <c r="QC39" s="6" t="str">
        <f t="shared" si="1177"/>
        <v>M1</v>
      </c>
      <c r="QD39" s="6" t="str">
        <f t="shared" si="1177"/>
        <v>M1</v>
      </c>
      <c r="QE39" s="6" t="str">
        <f t="shared" si="1177"/>
        <v>M1</v>
      </c>
      <c r="QF39" s="6" t="str">
        <f t="shared" si="1177"/>
        <v>M1</v>
      </c>
      <c r="QG39" s="6" t="str">
        <f t="shared" si="1177"/>
        <v>M1</v>
      </c>
      <c r="QH39" s="6" t="str">
        <f t="shared" si="1177"/>
        <v>M0</v>
      </c>
      <c r="QI39" s="6" t="str">
        <f t="shared" si="1177"/>
        <v>M0</v>
      </c>
      <c r="QJ39" s="6" t="str">
        <f t="shared" si="1177"/>
        <v>M0</v>
      </c>
      <c r="QK39" s="6" t="str">
        <f t="shared" ref="QK39:SV39" si="1178">IF(QK$40="M0","M0", IF(QK$41="M1","M1", IF(QK$42="M2","M2", "!")))</f>
        <v>M0</v>
      </c>
      <c r="QL39" s="6" t="str">
        <f t="shared" si="1178"/>
        <v>M0</v>
      </c>
      <c r="QM39" s="6" t="str">
        <f t="shared" si="1178"/>
        <v>M0</v>
      </c>
      <c r="QN39" s="6" t="str">
        <f t="shared" si="1178"/>
        <v>M0</v>
      </c>
      <c r="QO39" s="6" t="str">
        <f t="shared" si="1178"/>
        <v>M0</v>
      </c>
      <c r="QP39" s="6" t="str">
        <f t="shared" si="1178"/>
        <v>M0</v>
      </c>
      <c r="QQ39" s="6" t="str">
        <f t="shared" si="1178"/>
        <v>M0</v>
      </c>
      <c r="QR39" s="6" t="str">
        <f t="shared" si="1178"/>
        <v>M0</v>
      </c>
      <c r="QS39" s="6" t="str">
        <f t="shared" si="1178"/>
        <v>M0</v>
      </c>
      <c r="QT39" s="6" t="str">
        <f t="shared" si="1178"/>
        <v>M0</v>
      </c>
      <c r="QU39" s="6" t="str">
        <f t="shared" si="1178"/>
        <v>M0</v>
      </c>
      <c r="QV39" s="6" t="str">
        <f t="shared" si="1178"/>
        <v>M0</v>
      </c>
      <c r="QW39" s="6" t="str">
        <f t="shared" si="1178"/>
        <v>M0</v>
      </c>
      <c r="QX39" s="6" t="str">
        <f t="shared" si="1178"/>
        <v>M0</v>
      </c>
      <c r="QY39" s="6" t="str">
        <f t="shared" si="1178"/>
        <v>M0</v>
      </c>
      <c r="QZ39" s="6" t="str">
        <f t="shared" si="1178"/>
        <v>M0</v>
      </c>
      <c r="RA39" s="6" t="str">
        <f t="shared" si="1178"/>
        <v>M0</v>
      </c>
      <c r="RB39" s="6" t="str">
        <f t="shared" si="1178"/>
        <v>M0</v>
      </c>
      <c r="RC39" s="6" t="str">
        <f t="shared" si="1178"/>
        <v>M0</v>
      </c>
      <c r="RD39" s="6" t="str">
        <f t="shared" si="1178"/>
        <v>M0</v>
      </c>
      <c r="RE39" s="6" t="str">
        <f t="shared" si="1178"/>
        <v>M0</v>
      </c>
      <c r="RF39" s="6" t="str">
        <f t="shared" si="1178"/>
        <v>M0</v>
      </c>
      <c r="RG39" s="6" t="str">
        <f t="shared" si="1178"/>
        <v>M0</v>
      </c>
      <c r="RH39" s="6" t="str">
        <f t="shared" si="1178"/>
        <v>M0</v>
      </c>
      <c r="RI39" s="6" t="str">
        <f t="shared" si="1178"/>
        <v>M0</v>
      </c>
      <c r="RJ39" s="6" t="str">
        <f t="shared" si="1178"/>
        <v>M0</v>
      </c>
      <c r="RK39" s="6" t="str">
        <f t="shared" si="1178"/>
        <v>M0</v>
      </c>
      <c r="RL39" s="6" t="str">
        <f t="shared" si="1178"/>
        <v>M0</v>
      </c>
      <c r="RM39" s="6" t="str">
        <f t="shared" si="1178"/>
        <v>M0</v>
      </c>
      <c r="RN39" s="6" t="str">
        <f t="shared" si="1178"/>
        <v>M0</v>
      </c>
      <c r="RO39" s="6" t="str">
        <f t="shared" si="1178"/>
        <v>M0</v>
      </c>
      <c r="RP39" s="6" t="str">
        <f t="shared" si="1178"/>
        <v>M0</v>
      </c>
      <c r="RQ39" s="6" t="str">
        <f t="shared" si="1178"/>
        <v>M0</v>
      </c>
      <c r="RR39" s="6" t="str">
        <f t="shared" si="1178"/>
        <v>M0</v>
      </c>
      <c r="RS39" s="6" t="str">
        <f t="shared" si="1178"/>
        <v>M0</v>
      </c>
      <c r="RT39" s="6" t="str">
        <f t="shared" si="1178"/>
        <v>M0</v>
      </c>
      <c r="RU39" s="6" t="str">
        <f t="shared" si="1178"/>
        <v>M0</v>
      </c>
      <c r="RV39" s="6" t="str">
        <f t="shared" si="1178"/>
        <v>M0</v>
      </c>
      <c r="RW39" s="6" t="str">
        <f t="shared" si="1178"/>
        <v>M0</v>
      </c>
      <c r="RX39" s="6" t="str">
        <f t="shared" si="1178"/>
        <v>M0</v>
      </c>
      <c r="RY39" s="6" t="str">
        <f t="shared" si="1178"/>
        <v>M0</v>
      </c>
      <c r="RZ39" s="6" t="str">
        <f t="shared" si="1178"/>
        <v>M0</v>
      </c>
      <c r="SA39" s="6" t="str">
        <f t="shared" si="1178"/>
        <v>M0</v>
      </c>
      <c r="SB39" s="6" t="str">
        <f t="shared" si="1178"/>
        <v>M0</v>
      </c>
      <c r="SC39" s="6" t="str">
        <f t="shared" si="1178"/>
        <v>M0</v>
      </c>
      <c r="SD39" s="6" t="str">
        <f t="shared" si="1178"/>
        <v>M0</v>
      </c>
      <c r="SE39" s="6" t="str">
        <f t="shared" si="1178"/>
        <v>M0</v>
      </c>
      <c r="SF39" s="6" t="str">
        <f t="shared" si="1178"/>
        <v>M0</v>
      </c>
      <c r="SG39" s="6" t="str">
        <f t="shared" si="1178"/>
        <v>M0</v>
      </c>
      <c r="SH39" s="6" t="str">
        <f t="shared" si="1178"/>
        <v>M0</v>
      </c>
      <c r="SI39" s="6" t="str">
        <f t="shared" si="1178"/>
        <v>M0</v>
      </c>
      <c r="SJ39" s="6" t="str">
        <f t="shared" si="1178"/>
        <v>M0</v>
      </c>
      <c r="SK39" s="6" t="str">
        <f t="shared" si="1178"/>
        <v>M0</v>
      </c>
      <c r="SL39" s="6" t="str">
        <f t="shared" si="1178"/>
        <v>M0</v>
      </c>
      <c r="SM39" s="6" t="str">
        <f t="shared" si="1178"/>
        <v>M0</v>
      </c>
      <c r="SN39" s="6" t="str">
        <f t="shared" si="1178"/>
        <v>M0</v>
      </c>
      <c r="SO39" s="6" t="str">
        <f t="shared" si="1178"/>
        <v>M0</v>
      </c>
      <c r="SP39" s="6" t="str">
        <f t="shared" si="1178"/>
        <v>M0</v>
      </c>
      <c r="SQ39" s="6" t="str">
        <f t="shared" si="1178"/>
        <v>M0</v>
      </c>
      <c r="SR39" s="6" t="str">
        <f t="shared" si="1178"/>
        <v>M0</v>
      </c>
      <c r="SS39" s="6" t="str">
        <f t="shared" si="1178"/>
        <v>M1</v>
      </c>
      <c r="ST39" s="6" t="str">
        <f t="shared" si="1178"/>
        <v>M1</v>
      </c>
      <c r="SU39" s="6" t="str">
        <f t="shared" si="1178"/>
        <v>M1</v>
      </c>
      <c r="SV39" s="6" t="str">
        <f t="shared" si="1178"/>
        <v>M1</v>
      </c>
      <c r="SW39" s="6" t="str">
        <f t="shared" ref="SW39:VH39" si="1179">IF(SW$40="M0","M0", IF(SW$41="M1","M1", IF(SW$42="M2","M2", "!")))</f>
        <v>M1</v>
      </c>
      <c r="SX39" s="6" t="str">
        <f t="shared" si="1179"/>
        <v>M2</v>
      </c>
      <c r="SY39" s="6" t="str">
        <f t="shared" si="1179"/>
        <v>M2</v>
      </c>
      <c r="SZ39" s="6" t="str">
        <f t="shared" si="1179"/>
        <v>M2</v>
      </c>
      <c r="TA39" s="6" t="str">
        <f t="shared" si="1179"/>
        <v>M1</v>
      </c>
      <c r="TB39" s="6" t="str">
        <f t="shared" si="1179"/>
        <v>M1</v>
      </c>
      <c r="TC39" s="6" t="str">
        <f t="shared" si="1179"/>
        <v>M1</v>
      </c>
      <c r="TD39" s="6" t="str">
        <f t="shared" si="1179"/>
        <v>M1</v>
      </c>
      <c r="TE39" s="6" t="str">
        <f t="shared" si="1179"/>
        <v>M1</v>
      </c>
      <c r="TF39" s="6" t="str">
        <f t="shared" si="1179"/>
        <v>M1</v>
      </c>
      <c r="TG39" s="6" t="str">
        <f t="shared" si="1179"/>
        <v>M0</v>
      </c>
      <c r="TH39" s="6" t="str">
        <f t="shared" si="1179"/>
        <v>M0</v>
      </c>
      <c r="TI39" s="6" t="str">
        <f t="shared" si="1179"/>
        <v>M0</v>
      </c>
      <c r="TJ39" s="6" t="str">
        <f t="shared" si="1179"/>
        <v>M0</v>
      </c>
      <c r="TK39" s="6" t="str">
        <f t="shared" si="1179"/>
        <v>M0</v>
      </c>
      <c r="TL39" s="6" t="str">
        <f t="shared" si="1179"/>
        <v>M0</v>
      </c>
      <c r="TM39" s="6" t="str">
        <f t="shared" si="1179"/>
        <v>M0</v>
      </c>
      <c r="TN39" s="6" t="str">
        <f t="shared" si="1179"/>
        <v>M0</v>
      </c>
      <c r="TO39" s="6" t="str">
        <f t="shared" si="1179"/>
        <v>M0</v>
      </c>
      <c r="TP39" s="6" t="str">
        <f t="shared" si="1179"/>
        <v>M0</v>
      </c>
      <c r="TQ39" s="6" t="str">
        <f t="shared" si="1179"/>
        <v>M0</v>
      </c>
      <c r="TR39" s="6" t="str">
        <f t="shared" si="1179"/>
        <v>M0</v>
      </c>
      <c r="TS39" s="6" t="str">
        <f t="shared" si="1179"/>
        <v>M0</v>
      </c>
      <c r="TT39" s="6" t="str">
        <f t="shared" si="1179"/>
        <v>M0</v>
      </c>
      <c r="TU39" s="6" t="str">
        <f t="shared" si="1179"/>
        <v>M0</v>
      </c>
      <c r="TV39" s="6" t="str">
        <f t="shared" si="1179"/>
        <v>M0</v>
      </c>
      <c r="TW39" s="6" t="str">
        <f t="shared" si="1179"/>
        <v>M0</v>
      </c>
      <c r="TX39" s="6" t="str">
        <f t="shared" si="1179"/>
        <v>M0</v>
      </c>
      <c r="TY39" s="6" t="str">
        <f t="shared" si="1179"/>
        <v>M0</v>
      </c>
      <c r="TZ39" s="6" t="str">
        <f t="shared" si="1179"/>
        <v>M0</v>
      </c>
      <c r="UA39" s="6" t="str">
        <f t="shared" si="1179"/>
        <v>M0</v>
      </c>
      <c r="UB39" s="6" t="str">
        <f t="shared" si="1179"/>
        <v>M0</v>
      </c>
      <c r="UC39" s="6" t="str">
        <f t="shared" si="1179"/>
        <v>M0</v>
      </c>
      <c r="UD39" s="6" t="str">
        <f t="shared" si="1179"/>
        <v>M0</v>
      </c>
      <c r="UE39" s="6" t="str">
        <f t="shared" si="1179"/>
        <v>M0</v>
      </c>
      <c r="UF39" s="6" t="str">
        <f t="shared" si="1179"/>
        <v>M0</v>
      </c>
      <c r="UG39" s="6" t="str">
        <f t="shared" si="1179"/>
        <v>M0</v>
      </c>
      <c r="UH39" s="6" t="str">
        <f t="shared" si="1179"/>
        <v>M0</v>
      </c>
      <c r="UI39" s="6" t="str">
        <f t="shared" si="1179"/>
        <v>M0</v>
      </c>
      <c r="UJ39" s="6" t="str">
        <f t="shared" si="1179"/>
        <v>M0</v>
      </c>
      <c r="UK39" s="6" t="str">
        <f t="shared" si="1179"/>
        <v>M0</v>
      </c>
      <c r="UL39" s="6" t="str">
        <f t="shared" si="1179"/>
        <v>M0</v>
      </c>
      <c r="UM39" s="6" t="str">
        <f t="shared" si="1179"/>
        <v>M0</v>
      </c>
      <c r="UN39" s="6" t="str">
        <f t="shared" si="1179"/>
        <v>M0</v>
      </c>
      <c r="UO39" s="6" t="str">
        <f t="shared" si="1179"/>
        <v>M0</v>
      </c>
      <c r="UP39" s="6" t="str">
        <f t="shared" si="1179"/>
        <v>M0</v>
      </c>
      <c r="UQ39" s="6" t="str">
        <f t="shared" si="1179"/>
        <v>M0</v>
      </c>
      <c r="UR39" s="6" t="str">
        <f t="shared" si="1179"/>
        <v>M0</v>
      </c>
      <c r="US39" s="6" t="str">
        <f t="shared" si="1179"/>
        <v>M0</v>
      </c>
      <c r="UT39" s="6" t="str">
        <f t="shared" si="1179"/>
        <v>M0</v>
      </c>
      <c r="UU39" s="6" t="str">
        <f t="shared" si="1179"/>
        <v>M0</v>
      </c>
      <c r="UV39" s="6" t="str">
        <f t="shared" si="1179"/>
        <v>M0</v>
      </c>
      <c r="UW39" s="6" t="str">
        <f t="shared" si="1179"/>
        <v>M0</v>
      </c>
      <c r="UX39" s="6" t="str">
        <f t="shared" si="1179"/>
        <v>M0</v>
      </c>
      <c r="UY39" s="6" t="str">
        <f t="shared" si="1179"/>
        <v>M0</v>
      </c>
      <c r="UZ39" s="6" t="str">
        <f t="shared" si="1179"/>
        <v>M0</v>
      </c>
      <c r="VA39" s="6" t="str">
        <f t="shared" si="1179"/>
        <v>M0</v>
      </c>
      <c r="VB39" s="6" t="str">
        <f t="shared" si="1179"/>
        <v>M0</v>
      </c>
      <c r="VC39" s="6" t="str">
        <f t="shared" si="1179"/>
        <v>M0</v>
      </c>
      <c r="VD39" s="6" t="str">
        <f t="shared" si="1179"/>
        <v>M0</v>
      </c>
      <c r="VE39" s="6" t="str">
        <f t="shared" si="1179"/>
        <v>M0</v>
      </c>
      <c r="VF39" s="6" t="str">
        <f t="shared" si="1179"/>
        <v>M0</v>
      </c>
      <c r="VG39" s="6" t="str">
        <f t="shared" si="1179"/>
        <v>M0</v>
      </c>
      <c r="VH39" s="6" t="str">
        <f t="shared" si="1179"/>
        <v>M1</v>
      </c>
      <c r="VI39" s="6" t="str">
        <f t="shared" ref="VI39:XT39" si="1180">IF(VI$40="M0","M0", IF(VI$41="M1","M1", IF(VI$42="M2","M2", "!")))</f>
        <v>M1</v>
      </c>
      <c r="VJ39" s="6" t="str">
        <f t="shared" si="1180"/>
        <v>M1</v>
      </c>
      <c r="VK39" s="6" t="str">
        <f t="shared" si="1180"/>
        <v>M1</v>
      </c>
      <c r="VL39" s="6" t="str">
        <f t="shared" si="1180"/>
        <v>M2</v>
      </c>
      <c r="VM39" s="6" t="str">
        <f t="shared" si="1180"/>
        <v>M2</v>
      </c>
      <c r="VN39" s="6" t="str">
        <f t="shared" si="1180"/>
        <v>M2</v>
      </c>
      <c r="VO39" s="6" t="str">
        <f t="shared" si="1180"/>
        <v>M1</v>
      </c>
      <c r="VP39" s="6" t="str">
        <f t="shared" si="1180"/>
        <v>M1</v>
      </c>
      <c r="VQ39" s="6" t="str">
        <f t="shared" si="1180"/>
        <v>M1</v>
      </c>
      <c r="VR39" s="6" t="str">
        <f t="shared" si="1180"/>
        <v>M1</v>
      </c>
      <c r="VS39" s="6" t="str">
        <f t="shared" si="1180"/>
        <v>M1</v>
      </c>
      <c r="VT39" s="6" t="str">
        <f t="shared" si="1180"/>
        <v>M1</v>
      </c>
      <c r="VU39" s="6" t="str">
        <f t="shared" si="1180"/>
        <v>M1</v>
      </c>
      <c r="VV39" s="6" t="str">
        <f t="shared" si="1180"/>
        <v>M0</v>
      </c>
      <c r="VW39" s="6" t="str">
        <f t="shared" si="1180"/>
        <v>M0</v>
      </c>
      <c r="VX39" s="6" t="str">
        <f t="shared" si="1180"/>
        <v>M0</v>
      </c>
      <c r="VY39" s="6" t="str">
        <f t="shared" si="1180"/>
        <v>M0</v>
      </c>
      <c r="VZ39" s="6" t="str">
        <f t="shared" si="1180"/>
        <v>M0</v>
      </c>
      <c r="WA39" s="6" t="str">
        <f t="shared" si="1180"/>
        <v>M0</v>
      </c>
      <c r="WB39" s="6" t="str">
        <f t="shared" si="1180"/>
        <v>M0</v>
      </c>
      <c r="WC39" s="6" t="str">
        <f t="shared" si="1180"/>
        <v>M0</v>
      </c>
      <c r="WD39" s="6" t="str">
        <f t="shared" si="1180"/>
        <v>M0</v>
      </c>
      <c r="WE39" s="6" t="str">
        <f t="shared" si="1180"/>
        <v>M0</v>
      </c>
      <c r="WF39" s="6" t="str">
        <f t="shared" si="1180"/>
        <v>M0</v>
      </c>
      <c r="WG39" s="6" t="str">
        <f t="shared" si="1180"/>
        <v>M0</v>
      </c>
      <c r="WH39" s="6" t="str">
        <f t="shared" si="1180"/>
        <v>M0</v>
      </c>
      <c r="WI39" s="6" t="str">
        <f t="shared" si="1180"/>
        <v>M0</v>
      </c>
      <c r="WJ39" s="6" t="str">
        <f t="shared" si="1180"/>
        <v>M0</v>
      </c>
      <c r="WK39" s="6" t="str">
        <f t="shared" si="1180"/>
        <v>M0</v>
      </c>
      <c r="WL39" s="6" t="str">
        <f t="shared" si="1180"/>
        <v>M0</v>
      </c>
      <c r="WM39" s="6" t="str">
        <f t="shared" si="1180"/>
        <v>M0</v>
      </c>
      <c r="WN39" s="6" t="str">
        <f t="shared" si="1180"/>
        <v>M0</v>
      </c>
      <c r="WO39" s="6" t="str">
        <f t="shared" si="1180"/>
        <v>M0</v>
      </c>
      <c r="WP39" s="6" t="str">
        <f t="shared" si="1180"/>
        <v>M0</v>
      </c>
      <c r="WQ39" s="6" t="str">
        <f t="shared" si="1180"/>
        <v>M0</v>
      </c>
      <c r="WR39" s="6" t="str">
        <f t="shared" si="1180"/>
        <v>M0</v>
      </c>
      <c r="WS39" s="6" t="str">
        <f t="shared" si="1180"/>
        <v>M0</v>
      </c>
      <c r="WT39" s="6" t="str">
        <f t="shared" si="1180"/>
        <v>M0</v>
      </c>
      <c r="WU39" s="6" t="str">
        <f t="shared" si="1180"/>
        <v>M0</v>
      </c>
      <c r="WV39" s="6" t="str">
        <f t="shared" si="1180"/>
        <v>M0</v>
      </c>
      <c r="WW39" s="6" t="str">
        <f t="shared" si="1180"/>
        <v>M0</v>
      </c>
      <c r="WX39" s="6" t="str">
        <f t="shared" si="1180"/>
        <v>M0</v>
      </c>
      <c r="WY39" s="6" t="str">
        <f t="shared" si="1180"/>
        <v>M0</v>
      </c>
      <c r="WZ39" s="6" t="str">
        <f t="shared" si="1180"/>
        <v>M0</v>
      </c>
      <c r="XA39" s="6" t="str">
        <f t="shared" si="1180"/>
        <v>M0</v>
      </c>
      <c r="XB39" s="6" t="str">
        <f t="shared" si="1180"/>
        <v>M0</v>
      </c>
      <c r="XC39" s="6" t="str">
        <f t="shared" si="1180"/>
        <v>M0</v>
      </c>
      <c r="XD39" s="6" t="str">
        <f t="shared" si="1180"/>
        <v>M0</v>
      </c>
      <c r="XE39" s="6" t="str">
        <f t="shared" si="1180"/>
        <v>M0</v>
      </c>
      <c r="XF39" s="6" t="str">
        <f t="shared" si="1180"/>
        <v>M0</v>
      </c>
      <c r="XG39" s="6" t="str">
        <f t="shared" si="1180"/>
        <v>M0</v>
      </c>
      <c r="XH39" s="6" t="str">
        <f t="shared" si="1180"/>
        <v>M0</v>
      </c>
      <c r="XI39" s="6" t="str">
        <f t="shared" si="1180"/>
        <v>M0</v>
      </c>
      <c r="XJ39" s="6" t="str">
        <f t="shared" si="1180"/>
        <v>M0</v>
      </c>
      <c r="XK39" s="6" t="str">
        <f t="shared" si="1180"/>
        <v>M0</v>
      </c>
      <c r="XL39" s="6" t="str">
        <f t="shared" si="1180"/>
        <v>M0</v>
      </c>
      <c r="XM39" s="6" t="str">
        <f t="shared" si="1180"/>
        <v>M0</v>
      </c>
      <c r="XN39" s="6" t="str">
        <f t="shared" si="1180"/>
        <v>M0</v>
      </c>
      <c r="XO39" s="6" t="str">
        <f t="shared" si="1180"/>
        <v>M0</v>
      </c>
      <c r="XP39" s="6" t="str">
        <f t="shared" si="1180"/>
        <v>M0</v>
      </c>
      <c r="XQ39" s="6" t="str">
        <f t="shared" si="1180"/>
        <v>M0</v>
      </c>
      <c r="XR39" s="6" t="str">
        <f t="shared" si="1180"/>
        <v>M0</v>
      </c>
      <c r="XS39" s="6" t="str">
        <f t="shared" si="1180"/>
        <v>M0</v>
      </c>
      <c r="XT39" s="6" t="str">
        <f t="shared" si="1180"/>
        <v>M0</v>
      </c>
      <c r="XU39" s="6" t="str">
        <f t="shared" ref="XU39:AAF39" si="1181">IF(XU$40="M0","M0", IF(XU$41="M1","M1", IF(XU$42="M2","M2", "!")))</f>
        <v>M0</v>
      </c>
      <c r="XV39" s="6" t="str">
        <f t="shared" si="1181"/>
        <v>M0</v>
      </c>
      <c r="XW39" s="6" t="str">
        <f t="shared" si="1181"/>
        <v>M0</v>
      </c>
      <c r="XX39" s="6" t="str">
        <f t="shared" si="1181"/>
        <v>M0</v>
      </c>
      <c r="XY39" s="6" t="str">
        <f t="shared" si="1181"/>
        <v>M0</v>
      </c>
      <c r="XZ39" s="6" t="str">
        <f t="shared" si="1181"/>
        <v>M0</v>
      </c>
      <c r="YA39" s="6" t="str">
        <f t="shared" si="1181"/>
        <v>M0</v>
      </c>
      <c r="YB39" s="6" t="str">
        <f t="shared" si="1181"/>
        <v>M0</v>
      </c>
      <c r="YC39" s="6" t="str">
        <f t="shared" si="1181"/>
        <v>M0</v>
      </c>
      <c r="YD39" s="6" t="str">
        <f t="shared" si="1181"/>
        <v>M0</v>
      </c>
      <c r="YE39" s="6" t="str">
        <f t="shared" si="1181"/>
        <v>M0</v>
      </c>
      <c r="YF39" s="6" t="str">
        <f t="shared" si="1181"/>
        <v>M0</v>
      </c>
      <c r="YG39" s="6" t="str">
        <f t="shared" si="1181"/>
        <v>M1</v>
      </c>
      <c r="YH39" s="6" t="str">
        <f t="shared" si="1181"/>
        <v>M1</v>
      </c>
      <c r="YI39" s="6" t="str">
        <f t="shared" si="1181"/>
        <v>M1</v>
      </c>
      <c r="YJ39" s="6" t="str">
        <f t="shared" si="1181"/>
        <v>M1</v>
      </c>
      <c r="YK39" s="6" t="str">
        <f t="shared" si="1181"/>
        <v>M1</v>
      </c>
      <c r="YL39" s="6" t="str">
        <f t="shared" si="1181"/>
        <v>M2</v>
      </c>
      <c r="YM39" s="6" t="str">
        <f t="shared" si="1181"/>
        <v>M2</v>
      </c>
      <c r="YN39" s="6" t="str">
        <f t="shared" si="1181"/>
        <v>M2</v>
      </c>
      <c r="YO39" s="6" t="str">
        <f t="shared" si="1181"/>
        <v>M1</v>
      </c>
      <c r="YP39" s="6" t="str">
        <f t="shared" si="1181"/>
        <v>M1</v>
      </c>
      <c r="YQ39" s="6" t="str">
        <f t="shared" si="1181"/>
        <v>M1</v>
      </c>
      <c r="YR39" s="6" t="str">
        <f t="shared" si="1181"/>
        <v>M1</v>
      </c>
      <c r="YS39" s="6" t="str">
        <f t="shared" si="1181"/>
        <v>M1</v>
      </c>
      <c r="YT39" s="6" t="str">
        <f t="shared" si="1181"/>
        <v>M1</v>
      </c>
      <c r="YU39" s="6" t="str">
        <f t="shared" si="1181"/>
        <v>M0</v>
      </c>
      <c r="YV39" s="6" t="str">
        <f t="shared" si="1181"/>
        <v>M0</v>
      </c>
      <c r="YW39" s="6" t="str">
        <f t="shared" si="1181"/>
        <v>M0</v>
      </c>
      <c r="YX39" s="6" t="str">
        <f t="shared" si="1181"/>
        <v>M0</v>
      </c>
      <c r="YY39" s="6" t="str">
        <f t="shared" si="1181"/>
        <v>M0</v>
      </c>
      <c r="YZ39" s="6" t="str">
        <f t="shared" si="1181"/>
        <v>M0</v>
      </c>
      <c r="ZA39" s="6" t="str">
        <f t="shared" si="1181"/>
        <v>M0</v>
      </c>
      <c r="ZB39" s="6" t="str">
        <f t="shared" si="1181"/>
        <v>M0</v>
      </c>
      <c r="ZC39" s="6" t="str">
        <f t="shared" si="1181"/>
        <v>M0</v>
      </c>
      <c r="ZD39" s="6" t="str">
        <f t="shared" si="1181"/>
        <v>M0</v>
      </c>
      <c r="ZE39" s="6" t="str">
        <f t="shared" si="1181"/>
        <v>M0</v>
      </c>
      <c r="ZF39" s="6" t="str">
        <f t="shared" si="1181"/>
        <v>M0</v>
      </c>
      <c r="ZG39" s="6" t="str">
        <f t="shared" si="1181"/>
        <v>M0</v>
      </c>
      <c r="ZH39" s="6" t="str">
        <f t="shared" si="1181"/>
        <v>M0</v>
      </c>
      <c r="ZI39" s="6" t="str">
        <f t="shared" si="1181"/>
        <v>M0</v>
      </c>
      <c r="ZJ39" s="6" t="str">
        <f t="shared" si="1181"/>
        <v>M0</v>
      </c>
      <c r="ZK39" s="6" t="str">
        <f t="shared" si="1181"/>
        <v>M0</v>
      </c>
      <c r="ZL39" s="6" t="str">
        <f t="shared" si="1181"/>
        <v>M0</v>
      </c>
      <c r="ZM39" s="6" t="str">
        <f t="shared" si="1181"/>
        <v>M0</v>
      </c>
      <c r="ZN39" s="6" t="str">
        <f t="shared" si="1181"/>
        <v>M0</v>
      </c>
      <c r="ZO39" s="6" t="str">
        <f t="shared" si="1181"/>
        <v>M0</v>
      </c>
      <c r="ZP39" s="6" t="str">
        <f t="shared" si="1181"/>
        <v>M0</v>
      </c>
      <c r="ZQ39" s="6" t="str">
        <f t="shared" si="1181"/>
        <v>M0</v>
      </c>
      <c r="ZR39" s="6" t="str">
        <f t="shared" si="1181"/>
        <v>M0</v>
      </c>
      <c r="ZS39" s="6" t="str">
        <f t="shared" si="1181"/>
        <v>M0</v>
      </c>
      <c r="ZT39" s="6" t="str">
        <f t="shared" si="1181"/>
        <v>M0</v>
      </c>
      <c r="ZU39" s="6" t="str">
        <f t="shared" si="1181"/>
        <v>M0</v>
      </c>
      <c r="ZV39" s="6" t="str">
        <f t="shared" si="1181"/>
        <v>M0</v>
      </c>
      <c r="ZW39" s="6" t="str">
        <f t="shared" si="1181"/>
        <v>M0</v>
      </c>
      <c r="ZX39" s="6" t="str">
        <f t="shared" si="1181"/>
        <v>M0</v>
      </c>
      <c r="ZY39" s="6" t="str">
        <f t="shared" si="1181"/>
        <v>M0</v>
      </c>
      <c r="ZZ39" s="6" t="str">
        <f t="shared" si="1181"/>
        <v>M0</v>
      </c>
      <c r="AAA39" s="6" t="str">
        <f t="shared" si="1181"/>
        <v>M0</v>
      </c>
      <c r="AAB39" s="6" t="str">
        <f t="shared" si="1181"/>
        <v>M0</v>
      </c>
      <c r="AAC39" s="6" t="str">
        <f t="shared" si="1181"/>
        <v>M0</v>
      </c>
      <c r="AAD39" s="6" t="str">
        <f t="shared" si="1181"/>
        <v>M0</v>
      </c>
      <c r="AAE39" s="6" t="str">
        <f t="shared" si="1181"/>
        <v>M0</v>
      </c>
      <c r="AAF39" s="6" t="str">
        <f t="shared" si="1181"/>
        <v>M0</v>
      </c>
      <c r="AAG39" s="6" t="str">
        <f t="shared" ref="AAG39:ACR39" si="1182">IF(AAG$40="M0","M0", IF(AAG$41="M1","M1", IF(AAG$42="M2","M2", "!")))</f>
        <v>M0</v>
      </c>
      <c r="AAH39" s="6" t="str">
        <f t="shared" si="1182"/>
        <v>M0</v>
      </c>
      <c r="AAI39" s="6" t="str">
        <f t="shared" si="1182"/>
        <v>M0</v>
      </c>
      <c r="AAJ39" s="6" t="str">
        <f t="shared" si="1182"/>
        <v>M0</v>
      </c>
      <c r="AAK39" s="6" t="str">
        <f t="shared" si="1182"/>
        <v>M0</v>
      </c>
      <c r="AAL39" s="6" t="str">
        <f t="shared" si="1182"/>
        <v>M0</v>
      </c>
      <c r="AAM39" s="6" t="str">
        <f t="shared" si="1182"/>
        <v>M0</v>
      </c>
      <c r="AAN39" s="6" t="str">
        <f t="shared" si="1182"/>
        <v>M0</v>
      </c>
      <c r="AAO39" s="6" t="str">
        <f t="shared" si="1182"/>
        <v>M0</v>
      </c>
      <c r="AAP39" s="6" t="str">
        <f t="shared" si="1182"/>
        <v>M0</v>
      </c>
      <c r="AAQ39" s="6" t="str">
        <f t="shared" si="1182"/>
        <v>M0</v>
      </c>
      <c r="AAR39" s="6" t="str">
        <f t="shared" si="1182"/>
        <v>M0</v>
      </c>
      <c r="AAS39" s="6" t="str">
        <f t="shared" si="1182"/>
        <v>M0</v>
      </c>
      <c r="AAT39" s="6" t="str">
        <f t="shared" si="1182"/>
        <v>M0</v>
      </c>
      <c r="AAU39" s="6" t="str">
        <f t="shared" si="1182"/>
        <v>M0</v>
      </c>
      <c r="AAV39" s="6" t="str">
        <f t="shared" si="1182"/>
        <v>M1</v>
      </c>
      <c r="AAW39" s="6" t="str">
        <f t="shared" si="1182"/>
        <v>M1</v>
      </c>
      <c r="AAX39" s="6" t="str">
        <f t="shared" si="1182"/>
        <v>M1</v>
      </c>
      <c r="AAY39" s="6" t="str">
        <f t="shared" si="1182"/>
        <v>M1</v>
      </c>
      <c r="AAZ39" s="6" t="str">
        <f t="shared" si="1182"/>
        <v>M2</v>
      </c>
      <c r="ABA39" s="6" t="str">
        <f t="shared" si="1182"/>
        <v>M2</v>
      </c>
      <c r="ABB39" s="6" t="str">
        <f t="shared" si="1182"/>
        <v>M2</v>
      </c>
      <c r="ABC39" s="6" t="str">
        <f t="shared" si="1182"/>
        <v>M1</v>
      </c>
      <c r="ABD39" s="6" t="str">
        <f t="shared" si="1182"/>
        <v>M1</v>
      </c>
      <c r="ABE39" s="6" t="str">
        <f t="shared" si="1182"/>
        <v>M1</v>
      </c>
      <c r="ABF39" s="6" t="str">
        <f t="shared" si="1182"/>
        <v>M1</v>
      </c>
      <c r="ABG39" s="6" t="str">
        <f t="shared" si="1182"/>
        <v>M1</v>
      </c>
      <c r="ABH39" s="6" t="str">
        <f t="shared" si="1182"/>
        <v>M1</v>
      </c>
      <c r="ABI39" s="6" t="str">
        <f t="shared" si="1182"/>
        <v>M1</v>
      </c>
      <c r="ABJ39" s="6" t="str">
        <f t="shared" si="1182"/>
        <v>M0</v>
      </c>
      <c r="ABK39" s="6" t="str">
        <f t="shared" si="1182"/>
        <v>M0</v>
      </c>
      <c r="ABL39" s="6" t="str">
        <f t="shared" si="1182"/>
        <v>M0</v>
      </c>
      <c r="ABM39" s="6" t="str">
        <f t="shared" si="1182"/>
        <v>M0</v>
      </c>
      <c r="ABN39" s="6" t="str">
        <f t="shared" si="1182"/>
        <v>M0</v>
      </c>
      <c r="ABO39" s="6" t="str">
        <f t="shared" si="1182"/>
        <v>M0</v>
      </c>
      <c r="ABP39" s="6" t="str">
        <f t="shared" si="1182"/>
        <v>M0</v>
      </c>
      <c r="ABQ39" s="6" t="str">
        <f t="shared" si="1182"/>
        <v>M0</v>
      </c>
      <c r="ABR39" s="6" t="str">
        <f t="shared" si="1182"/>
        <v>M0</v>
      </c>
      <c r="ABS39" s="6" t="str">
        <f t="shared" si="1182"/>
        <v>M0</v>
      </c>
      <c r="ABT39" s="6" t="str">
        <f t="shared" si="1182"/>
        <v>M0</v>
      </c>
      <c r="ABU39" s="6" t="str">
        <f t="shared" si="1182"/>
        <v>M0</v>
      </c>
      <c r="ABV39" s="6" t="str">
        <f t="shared" si="1182"/>
        <v>M0</v>
      </c>
      <c r="ABW39" s="6" t="str">
        <f t="shared" si="1182"/>
        <v>M0</v>
      </c>
      <c r="ABX39" s="6" t="str">
        <f t="shared" si="1182"/>
        <v>M0</v>
      </c>
      <c r="ABY39" s="6" t="str">
        <f t="shared" si="1182"/>
        <v>M0</v>
      </c>
      <c r="ABZ39" s="6" t="str">
        <f t="shared" si="1182"/>
        <v>M0</v>
      </c>
      <c r="ACA39" s="6" t="str">
        <f t="shared" si="1182"/>
        <v>M0</v>
      </c>
      <c r="ACB39" s="6" t="str">
        <f t="shared" si="1182"/>
        <v>M0</v>
      </c>
      <c r="ACC39" s="6" t="str">
        <f t="shared" si="1182"/>
        <v>M0</v>
      </c>
      <c r="ACD39" s="6" t="str">
        <f t="shared" si="1182"/>
        <v>M0</v>
      </c>
      <c r="ACE39" s="6" t="str">
        <f t="shared" si="1182"/>
        <v>M0</v>
      </c>
      <c r="ACF39" s="6" t="str">
        <f t="shared" si="1182"/>
        <v>M0</v>
      </c>
      <c r="ACG39" s="6" t="str">
        <f t="shared" si="1182"/>
        <v>M0</v>
      </c>
      <c r="ACH39" s="6" t="str">
        <f t="shared" si="1182"/>
        <v>M0</v>
      </c>
      <c r="ACI39" s="6" t="str">
        <f t="shared" si="1182"/>
        <v>M0</v>
      </c>
      <c r="ACJ39" s="6" t="str">
        <f t="shared" si="1182"/>
        <v>M0</v>
      </c>
      <c r="ACK39" s="6" t="str">
        <f t="shared" si="1182"/>
        <v>M0</v>
      </c>
      <c r="ACL39" s="6" t="str">
        <f t="shared" si="1182"/>
        <v>M0</v>
      </c>
      <c r="ACM39" s="6" t="str">
        <f t="shared" si="1182"/>
        <v>M0</v>
      </c>
      <c r="ACN39" s="6" t="str">
        <f t="shared" si="1182"/>
        <v>M0</v>
      </c>
      <c r="ACO39" s="6" t="str">
        <f t="shared" si="1182"/>
        <v>M0</v>
      </c>
      <c r="ACP39" s="6" t="str">
        <f t="shared" si="1182"/>
        <v>M0</v>
      </c>
      <c r="ACQ39" s="6" t="str">
        <f t="shared" si="1182"/>
        <v>M0</v>
      </c>
      <c r="ACR39" s="6" t="str">
        <f t="shared" si="1182"/>
        <v>M0</v>
      </c>
      <c r="ACS39" s="6" t="str">
        <f t="shared" ref="ACS39:AFD39" si="1183">IF(ACS$40="M0","M0", IF(ACS$41="M1","M1", IF(ACS$42="M2","M2", "!")))</f>
        <v>M0</v>
      </c>
      <c r="ACT39" s="6" t="str">
        <f t="shared" si="1183"/>
        <v>M0</v>
      </c>
      <c r="ACU39" s="6" t="str">
        <f t="shared" si="1183"/>
        <v>M0</v>
      </c>
      <c r="ACV39" s="6" t="str">
        <f t="shared" si="1183"/>
        <v>M0</v>
      </c>
      <c r="ACW39" s="6" t="str">
        <f t="shared" si="1183"/>
        <v>M0</v>
      </c>
      <c r="ACX39" s="6" t="str">
        <f t="shared" si="1183"/>
        <v>M0</v>
      </c>
      <c r="ACY39" s="6" t="str">
        <f t="shared" si="1183"/>
        <v>M0</v>
      </c>
      <c r="ACZ39" s="6" t="str">
        <f t="shared" si="1183"/>
        <v>M0</v>
      </c>
      <c r="ADA39" s="6" t="str">
        <f t="shared" si="1183"/>
        <v>M0</v>
      </c>
      <c r="ADB39" s="6" t="str">
        <f t="shared" si="1183"/>
        <v>M0</v>
      </c>
      <c r="ADC39" s="6" t="str">
        <f t="shared" si="1183"/>
        <v>M0</v>
      </c>
      <c r="ADD39" s="6" t="str">
        <f t="shared" si="1183"/>
        <v>M0</v>
      </c>
      <c r="ADE39" s="6" t="str">
        <f t="shared" si="1183"/>
        <v>M0</v>
      </c>
      <c r="ADF39" s="6" t="str">
        <f t="shared" si="1183"/>
        <v>M0</v>
      </c>
      <c r="ADG39" s="6" t="str">
        <f t="shared" si="1183"/>
        <v>M0</v>
      </c>
      <c r="ADH39" s="6" t="str">
        <f t="shared" si="1183"/>
        <v>M0</v>
      </c>
      <c r="ADI39" s="6" t="str">
        <f t="shared" si="1183"/>
        <v>M0</v>
      </c>
      <c r="ADJ39" s="6" t="str">
        <f t="shared" si="1183"/>
        <v>M0</v>
      </c>
      <c r="ADK39" s="6" t="str">
        <f t="shared" si="1183"/>
        <v>M0</v>
      </c>
      <c r="ADL39" s="6" t="str">
        <f t="shared" si="1183"/>
        <v>M0</v>
      </c>
      <c r="ADM39" s="6" t="str">
        <f t="shared" si="1183"/>
        <v>M0</v>
      </c>
      <c r="ADN39" s="6" t="str">
        <f t="shared" si="1183"/>
        <v>M0</v>
      </c>
      <c r="ADO39" s="6" t="str">
        <f t="shared" si="1183"/>
        <v>M0</v>
      </c>
      <c r="ADP39" s="6" t="str">
        <f t="shared" si="1183"/>
        <v>M0</v>
      </c>
      <c r="ADQ39" s="6" t="str">
        <f t="shared" si="1183"/>
        <v>M0</v>
      </c>
      <c r="ADR39" s="6" t="str">
        <f t="shared" si="1183"/>
        <v>M0</v>
      </c>
      <c r="ADS39" s="6" t="str">
        <f t="shared" si="1183"/>
        <v>M0</v>
      </c>
      <c r="ADT39" s="6" t="str">
        <f t="shared" si="1183"/>
        <v>M0</v>
      </c>
      <c r="ADU39" s="6" t="str">
        <f t="shared" si="1183"/>
        <v>M1</v>
      </c>
      <c r="ADV39" s="6" t="str">
        <f t="shared" si="1183"/>
        <v>M1</v>
      </c>
      <c r="ADW39" s="6" t="str">
        <f t="shared" si="1183"/>
        <v>M1</v>
      </c>
      <c r="ADX39" s="6" t="str">
        <f t="shared" si="1183"/>
        <v>M1</v>
      </c>
      <c r="ADY39" s="6" t="str">
        <f t="shared" si="1183"/>
        <v>M1</v>
      </c>
      <c r="ADZ39" s="6" t="str">
        <f t="shared" si="1183"/>
        <v>M2</v>
      </c>
      <c r="AEA39" s="6" t="str">
        <f t="shared" si="1183"/>
        <v>M2</v>
      </c>
      <c r="AEB39" s="6" t="str">
        <f t="shared" si="1183"/>
        <v>M2</v>
      </c>
      <c r="AEC39" s="6" t="str">
        <f t="shared" si="1183"/>
        <v>M1</v>
      </c>
      <c r="AED39" s="6" t="str">
        <f t="shared" si="1183"/>
        <v>M1</v>
      </c>
      <c r="AEE39" s="6" t="str">
        <f t="shared" si="1183"/>
        <v>M1</v>
      </c>
      <c r="AEF39" s="6" t="str">
        <f t="shared" si="1183"/>
        <v>M1</v>
      </c>
      <c r="AEG39" s="6" t="str">
        <f t="shared" si="1183"/>
        <v>M1</v>
      </c>
      <c r="AEH39" s="6" t="str">
        <f t="shared" si="1183"/>
        <v>M1</v>
      </c>
      <c r="AEI39" s="6" t="str">
        <f t="shared" si="1183"/>
        <v>M0</v>
      </c>
      <c r="AEJ39" s="6" t="str">
        <f t="shared" si="1183"/>
        <v>M0</v>
      </c>
      <c r="AEK39" s="6" t="str">
        <f t="shared" si="1183"/>
        <v>M0</v>
      </c>
      <c r="AEL39" s="6" t="str">
        <f t="shared" si="1183"/>
        <v>M0</v>
      </c>
      <c r="AEM39" s="6" t="str">
        <f t="shared" si="1183"/>
        <v>M0</v>
      </c>
      <c r="AEN39" s="6" t="str">
        <f t="shared" si="1183"/>
        <v>M0</v>
      </c>
      <c r="AEO39" s="6" t="str">
        <f t="shared" si="1183"/>
        <v>M0</v>
      </c>
      <c r="AEP39" s="6" t="str">
        <f t="shared" si="1183"/>
        <v>M0</v>
      </c>
      <c r="AEQ39" s="6" t="str">
        <f t="shared" si="1183"/>
        <v>M0</v>
      </c>
      <c r="AER39" s="6" t="str">
        <f t="shared" si="1183"/>
        <v>M0</v>
      </c>
      <c r="AES39" s="6" t="str">
        <f t="shared" si="1183"/>
        <v>M0</v>
      </c>
      <c r="AET39" s="6" t="str">
        <f t="shared" si="1183"/>
        <v>M0</v>
      </c>
      <c r="AEU39" s="6" t="str">
        <f t="shared" si="1183"/>
        <v>M0</v>
      </c>
      <c r="AEV39" s="6" t="str">
        <f t="shared" si="1183"/>
        <v>M0</v>
      </c>
      <c r="AEW39" s="6" t="str">
        <f t="shared" si="1183"/>
        <v>M0</v>
      </c>
      <c r="AEX39" s="6" t="str">
        <f t="shared" si="1183"/>
        <v>M0</v>
      </c>
      <c r="AEY39" s="6" t="str">
        <f t="shared" si="1183"/>
        <v>M0</v>
      </c>
      <c r="AEZ39" s="6" t="str">
        <f t="shared" si="1183"/>
        <v>M0</v>
      </c>
      <c r="AFA39" s="6" t="str">
        <f t="shared" si="1183"/>
        <v>M0</v>
      </c>
      <c r="AFB39" s="6" t="str">
        <f t="shared" si="1183"/>
        <v>M0</v>
      </c>
      <c r="AFC39" s="6" t="str">
        <f t="shared" si="1183"/>
        <v>M0</v>
      </c>
      <c r="AFD39" s="6" t="str">
        <f t="shared" si="1183"/>
        <v>M0</v>
      </c>
      <c r="AFE39" s="6" t="str">
        <f t="shared" ref="AFE39:AHP39" si="1184">IF(AFE$40="M0","M0", IF(AFE$41="M1","M1", IF(AFE$42="M2","M2", "!")))</f>
        <v>M0</v>
      </c>
      <c r="AFF39" s="6" t="str">
        <f t="shared" si="1184"/>
        <v>M0</v>
      </c>
      <c r="AFG39" s="6" t="str">
        <f t="shared" si="1184"/>
        <v>M0</v>
      </c>
      <c r="AFH39" s="6" t="str">
        <f t="shared" si="1184"/>
        <v>M0</v>
      </c>
      <c r="AFI39" s="6" t="str">
        <f t="shared" si="1184"/>
        <v>M0</v>
      </c>
      <c r="AFJ39" s="6" t="str">
        <f t="shared" si="1184"/>
        <v>M0</v>
      </c>
      <c r="AFK39" s="6" t="str">
        <f t="shared" si="1184"/>
        <v>M0</v>
      </c>
      <c r="AFL39" s="6" t="str">
        <f t="shared" si="1184"/>
        <v>M0</v>
      </c>
      <c r="AFM39" s="6" t="str">
        <f t="shared" si="1184"/>
        <v>M0</v>
      </c>
      <c r="AFN39" s="6" t="str">
        <f t="shared" si="1184"/>
        <v>M0</v>
      </c>
      <c r="AFO39" s="6" t="str">
        <f t="shared" si="1184"/>
        <v>M0</v>
      </c>
      <c r="AFP39" s="6" t="str">
        <f t="shared" si="1184"/>
        <v>M0</v>
      </c>
      <c r="AFQ39" s="6" t="str">
        <f t="shared" si="1184"/>
        <v>M0</v>
      </c>
      <c r="AFR39" s="6" t="str">
        <f t="shared" si="1184"/>
        <v>M0</v>
      </c>
      <c r="AFS39" s="6" t="str">
        <f t="shared" si="1184"/>
        <v>M0</v>
      </c>
      <c r="AFT39" s="6" t="str">
        <f t="shared" si="1184"/>
        <v>M0</v>
      </c>
      <c r="AFU39" s="6" t="str">
        <f t="shared" si="1184"/>
        <v>M0</v>
      </c>
      <c r="AFV39" s="6" t="str">
        <f t="shared" si="1184"/>
        <v>M0</v>
      </c>
      <c r="AFW39" s="6" t="str">
        <f t="shared" si="1184"/>
        <v>M0</v>
      </c>
      <c r="AFX39" s="6" t="str">
        <f t="shared" si="1184"/>
        <v>M0</v>
      </c>
      <c r="AFY39" s="6" t="str">
        <f t="shared" si="1184"/>
        <v>M0</v>
      </c>
      <c r="AFZ39" s="6" t="str">
        <f t="shared" si="1184"/>
        <v>M0</v>
      </c>
      <c r="AGA39" s="6" t="str">
        <f t="shared" si="1184"/>
        <v>M0</v>
      </c>
      <c r="AGB39" s="6" t="str">
        <f t="shared" si="1184"/>
        <v>M0</v>
      </c>
      <c r="AGC39" s="6" t="str">
        <f t="shared" si="1184"/>
        <v>M0</v>
      </c>
      <c r="AGD39" s="6" t="str">
        <f t="shared" si="1184"/>
        <v>M0</v>
      </c>
      <c r="AGE39" s="6" t="str">
        <f t="shared" si="1184"/>
        <v>M0</v>
      </c>
      <c r="AGF39" s="6" t="str">
        <f t="shared" si="1184"/>
        <v>M0</v>
      </c>
      <c r="AGG39" s="6" t="str">
        <f t="shared" si="1184"/>
        <v>M0</v>
      </c>
      <c r="AGH39" s="6" t="str">
        <f t="shared" si="1184"/>
        <v>M0</v>
      </c>
      <c r="AGI39" s="6" t="str">
        <f t="shared" si="1184"/>
        <v>M0</v>
      </c>
      <c r="AGJ39" s="6" t="str">
        <f t="shared" si="1184"/>
        <v>M1</v>
      </c>
      <c r="AGK39" s="6" t="str">
        <f t="shared" si="1184"/>
        <v>M1</v>
      </c>
      <c r="AGL39" s="6" t="str">
        <f t="shared" si="1184"/>
        <v>M1</v>
      </c>
      <c r="AGM39" s="6" t="str">
        <f t="shared" si="1184"/>
        <v>M1</v>
      </c>
      <c r="AGN39" s="6" t="str">
        <f t="shared" si="1184"/>
        <v>M2</v>
      </c>
      <c r="AGO39" s="6" t="str">
        <f t="shared" si="1184"/>
        <v>M2</v>
      </c>
      <c r="AGP39" s="6" t="str">
        <f t="shared" si="1184"/>
        <v>M2</v>
      </c>
      <c r="AGQ39" s="6" t="str">
        <f t="shared" si="1184"/>
        <v>M1</v>
      </c>
      <c r="AGR39" s="6" t="str">
        <f t="shared" si="1184"/>
        <v>M1</v>
      </c>
      <c r="AGS39" s="6" t="str">
        <f t="shared" si="1184"/>
        <v>M1</v>
      </c>
      <c r="AGT39" s="6" t="str">
        <f t="shared" si="1184"/>
        <v>M1</v>
      </c>
      <c r="AGU39" s="6" t="str">
        <f t="shared" si="1184"/>
        <v>M1</v>
      </c>
      <c r="AGV39" s="6" t="str">
        <f t="shared" si="1184"/>
        <v>M1</v>
      </c>
      <c r="AGW39" s="6" t="str">
        <f t="shared" si="1184"/>
        <v>M1</v>
      </c>
      <c r="AGX39" s="6" t="str">
        <f t="shared" si="1184"/>
        <v>M0</v>
      </c>
      <c r="AGY39" s="6" t="str">
        <f t="shared" si="1184"/>
        <v>M0</v>
      </c>
      <c r="AGZ39" s="6" t="str">
        <f t="shared" si="1184"/>
        <v>M0</v>
      </c>
      <c r="AHA39" s="6" t="str">
        <f t="shared" si="1184"/>
        <v>M0</v>
      </c>
      <c r="AHB39" s="6" t="str">
        <f t="shared" si="1184"/>
        <v>M0</v>
      </c>
      <c r="AHC39" s="6" t="str">
        <f t="shared" si="1184"/>
        <v>M0</v>
      </c>
      <c r="AHD39" s="6" t="str">
        <f t="shared" si="1184"/>
        <v>M0</v>
      </c>
      <c r="AHE39" s="6" t="str">
        <f t="shared" si="1184"/>
        <v>M0</v>
      </c>
      <c r="AHF39" s="6" t="str">
        <f t="shared" si="1184"/>
        <v>M0</v>
      </c>
      <c r="AHG39" s="6" t="str">
        <f t="shared" si="1184"/>
        <v>M0</v>
      </c>
      <c r="AHH39" s="6" t="str">
        <f t="shared" si="1184"/>
        <v>M0</v>
      </c>
      <c r="AHI39" s="6" t="str">
        <f t="shared" si="1184"/>
        <v>M0</v>
      </c>
      <c r="AHJ39" s="6" t="str">
        <f t="shared" si="1184"/>
        <v>M0</v>
      </c>
      <c r="AHK39" s="6" t="str">
        <f t="shared" si="1184"/>
        <v>M0</v>
      </c>
      <c r="AHL39" s="6" t="str">
        <f t="shared" si="1184"/>
        <v>M0</v>
      </c>
      <c r="AHM39" s="6" t="str">
        <f t="shared" si="1184"/>
        <v>M0</v>
      </c>
      <c r="AHN39" s="6" t="str">
        <f t="shared" si="1184"/>
        <v>M0</v>
      </c>
      <c r="AHO39" s="6" t="str">
        <f t="shared" si="1184"/>
        <v>M0</v>
      </c>
      <c r="AHP39" s="6" t="str">
        <f t="shared" si="1184"/>
        <v>M0</v>
      </c>
      <c r="AHQ39" s="6" t="str">
        <f t="shared" ref="AHQ39:AKB39" si="1185">IF(AHQ$40="M0","M0", IF(AHQ$41="M1","M1", IF(AHQ$42="M2","M2", "!")))</f>
        <v>M0</v>
      </c>
      <c r="AHR39" s="6" t="str">
        <f t="shared" si="1185"/>
        <v>M0</v>
      </c>
      <c r="AHS39" s="6" t="str">
        <f t="shared" si="1185"/>
        <v>M0</v>
      </c>
      <c r="AHT39" s="6" t="str">
        <f t="shared" si="1185"/>
        <v>M0</v>
      </c>
      <c r="AHU39" s="6" t="str">
        <f t="shared" si="1185"/>
        <v>M0</v>
      </c>
      <c r="AHV39" s="6" t="str">
        <f t="shared" si="1185"/>
        <v>M0</v>
      </c>
      <c r="AHW39" s="6" t="str">
        <f t="shared" si="1185"/>
        <v>M0</v>
      </c>
      <c r="AHX39" s="6" t="str">
        <f t="shared" si="1185"/>
        <v>M0</v>
      </c>
      <c r="AHY39" s="6" t="str">
        <f t="shared" si="1185"/>
        <v>M0</v>
      </c>
      <c r="AHZ39" s="6" t="str">
        <f t="shared" si="1185"/>
        <v>M0</v>
      </c>
      <c r="AIA39" s="6" t="str">
        <f t="shared" si="1185"/>
        <v>M0</v>
      </c>
      <c r="AIB39" s="6" t="str">
        <f t="shared" si="1185"/>
        <v>M0</v>
      </c>
      <c r="AIC39" s="6" t="str">
        <f t="shared" si="1185"/>
        <v>M0</v>
      </c>
      <c r="AID39" s="6" t="str">
        <f t="shared" si="1185"/>
        <v>M0</v>
      </c>
      <c r="AIE39" s="6" t="str">
        <f t="shared" si="1185"/>
        <v>M0</v>
      </c>
      <c r="AIF39" s="6" t="str">
        <f t="shared" si="1185"/>
        <v>M0</v>
      </c>
      <c r="AIG39" s="6" t="str">
        <f t="shared" si="1185"/>
        <v>M0</v>
      </c>
      <c r="AIH39" s="6" t="str">
        <f t="shared" si="1185"/>
        <v>M0</v>
      </c>
      <c r="AII39" s="6" t="str">
        <f t="shared" si="1185"/>
        <v>M0</v>
      </c>
      <c r="AIJ39" s="6" t="str">
        <f t="shared" si="1185"/>
        <v>M0</v>
      </c>
      <c r="AIK39" s="6" t="str">
        <f t="shared" si="1185"/>
        <v>M0</v>
      </c>
      <c r="AIL39" s="6" t="str">
        <f t="shared" si="1185"/>
        <v>M0</v>
      </c>
      <c r="AIM39" s="6" t="str">
        <f t="shared" si="1185"/>
        <v>M0</v>
      </c>
      <c r="AIN39" s="6" t="str">
        <f t="shared" si="1185"/>
        <v>M0</v>
      </c>
      <c r="AIO39" s="6" t="str">
        <f t="shared" si="1185"/>
        <v>M0</v>
      </c>
      <c r="AIP39" s="6" t="str">
        <f t="shared" si="1185"/>
        <v>M0</v>
      </c>
      <c r="AIQ39" s="6" t="str">
        <f t="shared" si="1185"/>
        <v>M0</v>
      </c>
      <c r="AIR39" s="6" t="str">
        <f t="shared" si="1185"/>
        <v>M0</v>
      </c>
      <c r="AIS39" s="6" t="str">
        <f t="shared" si="1185"/>
        <v>M0</v>
      </c>
      <c r="AIT39" s="6" t="str">
        <f t="shared" si="1185"/>
        <v>M0</v>
      </c>
      <c r="AIU39" s="6" t="str">
        <f t="shared" si="1185"/>
        <v>M0</v>
      </c>
      <c r="AIV39" s="6" t="str">
        <f t="shared" si="1185"/>
        <v>M0</v>
      </c>
      <c r="AIW39" s="6" t="str">
        <f t="shared" si="1185"/>
        <v>M0</v>
      </c>
      <c r="AIX39" s="6" t="str">
        <f t="shared" si="1185"/>
        <v>M0</v>
      </c>
      <c r="AIY39" s="6" t="str">
        <f t="shared" si="1185"/>
        <v>M0</v>
      </c>
      <c r="AIZ39" s="6" t="str">
        <f t="shared" si="1185"/>
        <v>M0</v>
      </c>
      <c r="AJA39" s="6" t="str">
        <f t="shared" si="1185"/>
        <v>M0</v>
      </c>
      <c r="AJB39" s="6" t="str">
        <f t="shared" si="1185"/>
        <v>M0</v>
      </c>
      <c r="AJC39" s="6" t="str">
        <f t="shared" si="1185"/>
        <v>M0</v>
      </c>
      <c r="AJD39" s="6" t="str">
        <f t="shared" si="1185"/>
        <v>M0</v>
      </c>
      <c r="AJE39" s="6" t="str">
        <f t="shared" si="1185"/>
        <v>M0</v>
      </c>
      <c r="AJF39" s="6" t="str">
        <f t="shared" si="1185"/>
        <v>M0</v>
      </c>
      <c r="AJG39" s="6" t="str">
        <f t="shared" si="1185"/>
        <v>M0</v>
      </c>
      <c r="AJH39" s="6" t="str">
        <f t="shared" si="1185"/>
        <v>M0</v>
      </c>
      <c r="AJI39" s="6" t="str">
        <f t="shared" si="1185"/>
        <v>M1</v>
      </c>
      <c r="AJJ39" s="6" t="str">
        <f t="shared" si="1185"/>
        <v>M1</v>
      </c>
      <c r="AJK39" s="6" t="str">
        <f t="shared" si="1185"/>
        <v>M1</v>
      </c>
      <c r="AJL39" s="6" t="str">
        <f t="shared" si="1185"/>
        <v>M1</v>
      </c>
      <c r="AJM39" s="6" t="str">
        <f t="shared" si="1185"/>
        <v>M1</v>
      </c>
      <c r="AJN39" s="6" t="str">
        <f t="shared" si="1185"/>
        <v>M2</v>
      </c>
      <c r="AJO39" s="6" t="str">
        <f t="shared" si="1185"/>
        <v>M2</v>
      </c>
      <c r="AJP39" s="6" t="str">
        <f t="shared" si="1185"/>
        <v>M2</v>
      </c>
      <c r="AJQ39" s="6" t="str">
        <f t="shared" si="1185"/>
        <v>M1</v>
      </c>
      <c r="AJR39" s="6" t="str">
        <f t="shared" si="1185"/>
        <v>M1</v>
      </c>
      <c r="AJS39" s="6" t="str">
        <f t="shared" si="1185"/>
        <v>M1</v>
      </c>
      <c r="AJT39" s="6" t="str">
        <f t="shared" si="1185"/>
        <v>M1</v>
      </c>
      <c r="AJU39" s="6" t="str">
        <f t="shared" si="1185"/>
        <v>M1</v>
      </c>
      <c r="AJV39" s="6" t="str">
        <f t="shared" si="1185"/>
        <v>M1</v>
      </c>
      <c r="AJW39" s="6" t="str">
        <f t="shared" si="1185"/>
        <v>M0</v>
      </c>
      <c r="AJX39" s="6" t="str">
        <f t="shared" si="1185"/>
        <v>M0</v>
      </c>
      <c r="AJY39" s="6" t="str">
        <f t="shared" si="1185"/>
        <v>M0</v>
      </c>
      <c r="AJZ39" s="6" t="str">
        <f t="shared" si="1185"/>
        <v>M0</v>
      </c>
      <c r="AKA39" s="6" t="str">
        <f t="shared" si="1185"/>
        <v>M0</v>
      </c>
      <c r="AKB39" s="6" t="str">
        <f t="shared" si="1185"/>
        <v>M0</v>
      </c>
      <c r="AKC39" s="6" t="str">
        <f t="shared" ref="AKC39:ALW39" si="1186">IF(AKC$40="M0","M0", IF(AKC$41="M1","M1", IF(AKC$42="M2","M2", "!")))</f>
        <v>M0</v>
      </c>
      <c r="AKD39" s="6" t="str">
        <f t="shared" si="1186"/>
        <v>M0</v>
      </c>
      <c r="AKE39" s="6" t="str">
        <f t="shared" si="1186"/>
        <v>M0</v>
      </c>
      <c r="AKF39" s="6" t="str">
        <f t="shared" si="1186"/>
        <v>M0</v>
      </c>
      <c r="AKG39" s="6" t="str">
        <f t="shared" si="1186"/>
        <v>M0</v>
      </c>
      <c r="AKH39" s="6" t="str">
        <f t="shared" si="1186"/>
        <v>M0</v>
      </c>
      <c r="AKI39" s="6" t="str">
        <f t="shared" si="1186"/>
        <v>M0</v>
      </c>
      <c r="AKJ39" s="6" t="str">
        <f t="shared" si="1186"/>
        <v>M0</v>
      </c>
      <c r="AKK39" s="6" t="str">
        <f t="shared" si="1186"/>
        <v>M0</v>
      </c>
      <c r="AKL39" s="6" t="str">
        <f t="shared" si="1186"/>
        <v>M0</v>
      </c>
      <c r="AKM39" s="6" t="str">
        <f t="shared" si="1186"/>
        <v>M0</v>
      </c>
      <c r="AKN39" s="6" t="str">
        <f t="shared" si="1186"/>
        <v>M0</v>
      </c>
      <c r="AKO39" s="6" t="str">
        <f t="shared" si="1186"/>
        <v>M0</v>
      </c>
      <c r="AKP39" s="6" t="str">
        <f t="shared" si="1186"/>
        <v>M0</v>
      </c>
      <c r="AKQ39" s="6" t="str">
        <f t="shared" si="1186"/>
        <v>M0</v>
      </c>
      <c r="AKR39" s="6" t="str">
        <f t="shared" si="1186"/>
        <v>M0</v>
      </c>
      <c r="AKS39" s="6" t="str">
        <f t="shared" si="1186"/>
        <v>M0</v>
      </c>
      <c r="AKT39" s="6" t="str">
        <f t="shared" si="1186"/>
        <v>M0</v>
      </c>
      <c r="AKU39" s="6" t="str">
        <f t="shared" si="1186"/>
        <v>M0</v>
      </c>
      <c r="AKV39" s="6" t="str">
        <f t="shared" si="1186"/>
        <v>M0</v>
      </c>
      <c r="AKW39" s="6" t="str">
        <f t="shared" si="1186"/>
        <v>M0</v>
      </c>
      <c r="AKX39" s="6" t="str">
        <f t="shared" si="1186"/>
        <v>M0</v>
      </c>
      <c r="AKY39" s="6" t="str">
        <f t="shared" si="1186"/>
        <v>M0</v>
      </c>
      <c r="AKZ39" s="6" t="str">
        <f t="shared" si="1186"/>
        <v>M0</v>
      </c>
      <c r="ALA39" s="6" t="str">
        <f t="shared" si="1186"/>
        <v>M0</v>
      </c>
      <c r="ALB39" s="6" t="str">
        <f t="shared" si="1186"/>
        <v>M0</v>
      </c>
      <c r="ALC39" s="6" t="str">
        <f t="shared" si="1186"/>
        <v>M0</v>
      </c>
      <c r="ALD39" s="6" t="str">
        <f t="shared" si="1186"/>
        <v>M0</v>
      </c>
      <c r="ALE39" s="6" t="str">
        <f t="shared" si="1186"/>
        <v>M0</v>
      </c>
      <c r="ALF39" s="6" t="str">
        <f t="shared" si="1186"/>
        <v>M0</v>
      </c>
      <c r="ALG39" s="6" t="str">
        <f t="shared" si="1186"/>
        <v>M0</v>
      </c>
      <c r="ALH39" s="6" t="str">
        <f t="shared" si="1186"/>
        <v>M0</v>
      </c>
      <c r="ALI39" s="6" t="str">
        <f t="shared" si="1186"/>
        <v>M0</v>
      </c>
      <c r="ALJ39" s="6" t="str">
        <f t="shared" si="1186"/>
        <v>M0</v>
      </c>
      <c r="ALK39" s="6" t="str">
        <f t="shared" si="1186"/>
        <v>M0</v>
      </c>
      <c r="ALL39" s="6" t="str">
        <f t="shared" si="1186"/>
        <v>M0</v>
      </c>
      <c r="ALM39" s="6" t="str">
        <f t="shared" si="1186"/>
        <v>M0</v>
      </c>
      <c r="ALN39" s="6" t="str">
        <f t="shared" si="1186"/>
        <v>M0</v>
      </c>
      <c r="ALO39" s="6" t="str">
        <f t="shared" si="1186"/>
        <v>M0</v>
      </c>
      <c r="ALP39" s="6" t="str">
        <f t="shared" si="1186"/>
        <v>M0</v>
      </c>
      <c r="ALQ39" s="6" t="str">
        <f t="shared" si="1186"/>
        <v>M0</v>
      </c>
      <c r="ALR39" s="6" t="str">
        <f t="shared" si="1186"/>
        <v>M0</v>
      </c>
      <c r="ALS39" s="6" t="str">
        <f t="shared" si="1186"/>
        <v>M0</v>
      </c>
      <c r="ALT39" s="6" t="str">
        <f t="shared" si="1186"/>
        <v>M0</v>
      </c>
      <c r="ALU39" s="6" t="str">
        <f t="shared" si="1186"/>
        <v>M0</v>
      </c>
      <c r="ALV39" s="6" t="str">
        <f t="shared" si="1186"/>
        <v>M0</v>
      </c>
      <c r="ALW39" s="6" t="str">
        <f t="shared" si="1186"/>
        <v>M0</v>
      </c>
    </row>
    <row r="40" spans="2:1011" outlineLevel="1" x14ac:dyDescent="0.25">
      <c r="C40" s="5" t="s">
        <v>6</v>
      </c>
      <c r="D40" s="6" t="str">
        <f>IF(OR(D$41="M1", D42="M2"),"", "M0")</f>
        <v/>
      </c>
      <c r="E40" s="6" t="str">
        <f t="shared" ref="E40:BP40" si="1187">IF(OR(E$41="M1", E42="M2"),"", "M0")</f>
        <v/>
      </c>
      <c r="F40" s="6" t="str">
        <f t="shared" si="1187"/>
        <v/>
      </c>
      <c r="G40" s="6" t="str">
        <f t="shared" si="1187"/>
        <v/>
      </c>
      <c r="H40" s="6" t="str">
        <f t="shared" si="1187"/>
        <v/>
      </c>
      <c r="I40" s="6" t="str">
        <f t="shared" si="1187"/>
        <v/>
      </c>
      <c r="J40" s="6" t="str">
        <f t="shared" si="1187"/>
        <v/>
      </c>
      <c r="K40" s="6" t="str">
        <f t="shared" si="1187"/>
        <v/>
      </c>
      <c r="L40" s="6" t="str">
        <f t="shared" si="1187"/>
        <v/>
      </c>
      <c r="M40" s="6" t="str">
        <f t="shared" si="1187"/>
        <v/>
      </c>
      <c r="N40" s="6" t="str">
        <f t="shared" si="1187"/>
        <v/>
      </c>
      <c r="O40" s="6" t="str">
        <f t="shared" si="1187"/>
        <v/>
      </c>
      <c r="P40" s="6" t="str">
        <f t="shared" si="1187"/>
        <v/>
      </c>
      <c r="Q40" s="6" t="str">
        <f t="shared" si="1187"/>
        <v/>
      </c>
      <c r="R40" s="6" t="str">
        <f t="shared" si="1187"/>
        <v>M0</v>
      </c>
      <c r="S40" s="6" t="str">
        <f t="shared" si="1187"/>
        <v>M0</v>
      </c>
      <c r="T40" s="6" t="str">
        <f t="shared" si="1187"/>
        <v>M0</v>
      </c>
      <c r="U40" s="6" t="str">
        <f t="shared" si="1187"/>
        <v>M0</v>
      </c>
      <c r="V40" s="6" t="str">
        <f t="shared" si="1187"/>
        <v>M0</v>
      </c>
      <c r="W40" s="6" t="str">
        <f t="shared" si="1187"/>
        <v>M0</v>
      </c>
      <c r="X40" s="6" t="str">
        <f t="shared" si="1187"/>
        <v>M0</v>
      </c>
      <c r="Y40" s="6" t="str">
        <f t="shared" si="1187"/>
        <v>M0</v>
      </c>
      <c r="Z40" s="6" t="str">
        <f t="shared" si="1187"/>
        <v>M0</v>
      </c>
      <c r="AA40" s="6" t="str">
        <f t="shared" si="1187"/>
        <v>M0</v>
      </c>
      <c r="AB40" s="6" t="str">
        <f t="shared" si="1187"/>
        <v>M0</v>
      </c>
      <c r="AC40" s="6" t="str">
        <f t="shared" si="1187"/>
        <v>M0</v>
      </c>
      <c r="AD40" s="6" t="str">
        <f t="shared" si="1187"/>
        <v>M0</v>
      </c>
      <c r="AE40" s="6" t="str">
        <f t="shared" si="1187"/>
        <v>M0</v>
      </c>
      <c r="AF40" s="6" t="str">
        <f t="shared" si="1187"/>
        <v>M0</v>
      </c>
      <c r="AG40" s="6" t="str">
        <f t="shared" si="1187"/>
        <v>M0</v>
      </c>
      <c r="AH40" s="6" t="str">
        <f t="shared" si="1187"/>
        <v>M0</v>
      </c>
      <c r="AI40" s="6" t="str">
        <f t="shared" si="1187"/>
        <v>M0</v>
      </c>
      <c r="AJ40" s="6" t="str">
        <f t="shared" si="1187"/>
        <v>M0</v>
      </c>
      <c r="AK40" s="6" t="str">
        <f t="shared" si="1187"/>
        <v>M0</v>
      </c>
      <c r="AL40" s="6" t="str">
        <f t="shared" si="1187"/>
        <v>M0</v>
      </c>
      <c r="AM40" s="6" t="str">
        <f t="shared" si="1187"/>
        <v>M0</v>
      </c>
      <c r="AN40" s="6" t="str">
        <f t="shared" si="1187"/>
        <v>M0</v>
      </c>
      <c r="AO40" s="6" t="str">
        <f t="shared" si="1187"/>
        <v>M0</v>
      </c>
      <c r="AP40" s="6" t="str">
        <f t="shared" si="1187"/>
        <v>M0</v>
      </c>
      <c r="AQ40" s="6" t="str">
        <f t="shared" si="1187"/>
        <v>M0</v>
      </c>
      <c r="AR40" s="6" t="str">
        <f t="shared" si="1187"/>
        <v>M0</v>
      </c>
      <c r="AS40" s="6" t="str">
        <f t="shared" si="1187"/>
        <v>M0</v>
      </c>
      <c r="AT40" s="6" t="str">
        <f t="shared" si="1187"/>
        <v>M0</v>
      </c>
      <c r="AU40" s="6" t="str">
        <f t="shared" si="1187"/>
        <v>M0</v>
      </c>
      <c r="AV40" s="6" t="str">
        <f t="shared" si="1187"/>
        <v>M0</v>
      </c>
      <c r="AW40" s="6" t="str">
        <f t="shared" si="1187"/>
        <v>M0</v>
      </c>
      <c r="AX40" s="6" t="str">
        <f t="shared" si="1187"/>
        <v>M0</v>
      </c>
      <c r="AY40" s="6" t="str">
        <f t="shared" si="1187"/>
        <v>M0</v>
      </c>
      <c r="AZ40" s="6" t="str">
        <f t="shared" si="1187"/>
        <v>M0</v>
      </c>
      <c r="BA40" s="6" t="str">
        <f t="shared" si="1187"/>
        <v>M0</v>
      </c>
      <c r="BB40" s="6" t="str">
        <f t="shared" si="1187"/>
        <v>M0</v>
      </c>
      <c r="BC40" s="6" t="str">
        <f t="shared" si="1187"/>
        <v>M0</v>
      </c>
      <c r="BD40" s="6" t="str">
        <f t="shared" si="1187"/>
        <v>M0</v>
      </c>
      <c r="BE40" s="6" t="str">
        <f t="shared" si="1187"/>
        <v>M0</v>
      </c>
      <c r="BF40" s="6" t="str">
        <f t="shared" si="1187"/>
        <v>M0</v>
      </c>
      <c r="BG40" s="6" t="str">
        <f t="shared" si="1187"/>
        <v>M0</v>
      </c>
      <c r="BH40" s="6" t="str">
        <f t="shared" si="1187"/>
        <v>M0</v>
      </c>
      <c r="BI40" s="6" t="str">
        <f t="shared" si="1187"/>
        <v>M0</v>
      </c>
      <c r="BJ40" s="6" t="str">
        <f t="shared" si="1187"/>
        <v>M0</v>
      </c>
      <c r="BK40" s="6" t="str">
        <f t="shared" si="1187"/>
        <v>M0</v>
      </c>
      <c r="BL40" s="6" t="str">
        <f t="shared" si="1187"/>
        <v>M0</v>
      </c>
      <c r="BM40" s="6" t="str">
        <f t="shared" si="1187"/>
        <v>M0</v>
      </c>
      <c r="BN40" s="6" t="str">
        <f t="shared" si="1187"/>
        <v>M0</v>
      </c>
      <c r="BO40" s="6" t="str">
        <f t="shared" si="1187"/>
        <v>M0</v>
      </c>
      <c r="BP40" s="6" t="str">
        <f t="shared" si="1187"/>
        <v>M0</v>
      </c>
      <c r="BQ40" s="6" t="str">
        <f t="shared" ref="BQ40:EB40" si="1188">IF(OR(BQ$41="M1", BQ42="M2"),"", "M0")</f>
        <v>M0</v>
      </c>
      <c r="BR40" s="6" t="str">
        <f t="shared" si="1188"/>
        <v>M0</v>
      </c>
      <c r="BS40" s="6" t="str">
        <f t="shared" si="1188"/>
        <v>M0</v>
      </c>
      <c r="BT40" s="6" t="str">
        <f t="shared" si="1188"/>
        <v>M0</v>
      </c>
      <c r="BU40" s="6" t="str">
        <f t="shared" si="1188"/>
        <v>M0</v>
      </c>
      <c r="BV40" s="6" t="str">
        <f t="shared" si="1188"/>
        <v>M0</v>
      </c>
      <c r="BW40" s="6" t="str">
        <f t="shared" si="1188"/>
        <v>M0</v>
      </c>
      <c r="BX40" s="6" t="str">
        <f t="shared" si="1188"/>
        <v>M0</v>
      </c>
      <c r="BY40" s="6" t="str">
        <f t="shared" si="1188"/>
        <v>M0</v>
      </c>
      <c r="BZ40" s="6" t="str">
        <f t="shared" si="1188"/>
        <v>M0</v>
      </c>
      <c r="CA40" s="6" t="str">
        <f t="shared" si="1188"/>
        <v>M0</v>
      </c>
      <c r="CB40" s="6" t="str">
        <f t="shared" si="1188"/>
        <v>M0</v>
      </c>
      <c r="CC40" s="6" t="str">
        <f t="shared" si="1188"/>
        <v/>
      </c>
      <c r="CD40" s="6" t="str">
        <f t="shared" si="1188"/>
        <v/>
      </c>
      <c r="CE40" s="6" t="str">
        <f t="shared" si="1188"/>
        <v/>
      </c>
      <c r="CF40" s="6" t="str">
        <f t="shared" si="1188"/>
        <v/>
      </c>
      <c r="CG40" s="6" t="str">
        <f t="shared" si="1188"/>
        <v/>
      </c>
      <c r="CH40" s="6" t="str">
        <f t="shared" si="1188"/>
        <v/>
      </c>
      <c r="CI40" s="6" t="str">
        <f t="shared" si="1188"/>
        <v/>
      </c>
      <c r="CJ40" s="6" t="str">
        <f t="shared" si="1188"/>
        <v/>
      </c>
      <c r="CK40" s="6" t="str">
        <f t="shared" si="1188"/>
        <v/>
      </c>
      <c r="CL40" s="6" t="str">
        <f t="shared" si="1188"/>
        <v/>
      </c>
      <c r="CM40" s="6" t="str">
        <f t="shared" si="1188"/>
        <v/>
      </c>
      <c r="CN40" s="6" t="str">
        <f t="shared" si="1188"/>
        <v/>
      </c>
      <c r="CO40" s="6" t="str">
        <f t="shared" si="1188"/>
        <v/>
      </c>
      <c r="CP40" s="6" t="str">
        <f t="shared" si="1188"/>
        <v/>
      </c>
      <c r="CQ40" s="6" t="str">
        <f t="shared" si="1188"/>
        <v>M0</v>
      </c>
      <c r="CR40" s="6" t="str">
        <f t="shared" si="1188"/>
        <v>M0</v>
      </c>
      <c r="CS40" s="6" t="str">
        <f t="shared" si="1188"/>
        <v>M0</v>
      </c>
      <c r="CT40" s="6" t="str">
        <f t="shared" si="1188"/>
        <v>M0</v>
      </c>
      <c r="CU40" s="6" t="str">
        <f t="shared" si="1188"/>
        <v>M0</v>
      </c>
      <c r="CV40" s="6" t="str">
        <f t="shared" si="1188"/>
        <v>M0</v>
      </c>
      <c r="CW40" s="6" t="str">
        <f t="shared" si="1188"/>
        <v>M0</v>
      </c>
      <c r="CX40" s="6" t="str">
        <f t="shared" si="1188"/>
        <v>M0</v>
      </c>
      <c r="CY40" s="6" t="str">
        <f t="shared" si="1188"/>
        <v>M0</v>
      </c>
      <c r="CZ40" s="6" t="str">
        <f t="shared" si="1188"/>
        <v>M0</v>
      </c>
      <c r="DA40" s="6" t="str">
        <f t="shared" si="1188"/>
        <v>M0</v>
      </c>
      <c r="DB40" s="6" t="str">
        <f t="shared" si="1188"/>
        <v>M0</v>
      </c>
      <c r="DC40" s="6" t="str">
        <f t="shared" si="1188"/>
        <v>M0</v>
      </c>
      <c r="DD40" s="6" t="str">
        <f t="shared" si="1188"/>
        <v>M0</v>
      </c>
      <c r="DE40" s="6" t="str">
        <f t="shared" si="1188"/>
        <v>M0</v>
      </c>
      <c r="DF40" s="6" t="str">
        <f t="shared" si="1188"/>
        <v>M0</v>
      </c>
      <c r="DG40" s="6" t="str">
        <f t="shared" si="1188"/>
        <v>M0</v>
      </c>
      <c r="DH40" s="6" t="str">
        <f t="shared" si="1188"/>
        <v>M0</v>
      </c>
      <c r="DI40" s="6" t="str">
        <f t="shared" si="1188"/>
        <v>M0</v>
      </c>
      <c r="DJ40" s="6" t="str">
        <f t="shared" si="1188"/>
        <v>M0</v>
      </c>
      <c r="DK40" s="6" t="str">
        <f t="shared" si="1188"/>
        <v>M0</v>
      </c>
      <c r="DL40" s="6" t="str">
        <f t="shared" si="1188"/>
        <v>M0</v>
      </c>
      <c r="DM40" s="6" t="str">
        <f t="shared" si="1188"/>
        <v>M0</v>
      </c>
      <c r="DN40" s="6" t="str">
        <f t="shared" si="1188"/>
        <v>M0</v>
      </c>
      <c r="DO40" s="6" t="str">
        <f t="shared" si="1188"/>
        <v>M0</v>
      </c>
      <c r="DP40" s="6" t="str">
        <f t="shared" si="1188"/>
        <v>M0</v>
      </c>
      <c r="DQ40" s="6" t="str">
        <f t="shared" si="1188"/>
        <v>M0</v>
      </c>
      <c r="DR40" s="6" t="str">
        <f t="shared" si="1188"/>
        <v>M0</v>
      </c>
      <c r="DS40" s="6" t="str">
        <f t="shared" si="1188"/>
        <v>M0</v>
      </c>
      <c r="DT40" s="6" t="str">
        <f t="shared" si="1188"/>
        <v>M0</v>
      </c>
      <c r="DU40" s="6" t="str">
        <f t="shared" si="1188"/>
        <v>M0</v>
      </c>
      <c r="DV40" s="6" t="str">
        <f t="shared" si="1188"/>
        <v>M0</v>
      </c>
      <c r="DW40" s="6" t="str">
        <f t="shared" si="1188"/>
        <v>M0</v>
      </c>
      <c r="DX40" s="6" t="str">
        <f t="shared" si="1188"/>
        <v>M0</v>
      </c>
      <c r="DY40" s="6" t="str">
        <f t="shared" si="1188"/>
        <v>M0</v>
      </c>
      <c r="DZ40" s="6" t="str">
        <f t="shared" si="1188"/>
        <v>M0</v>
      </c>
      <c r="EA40" s="6" t="str">
        <f t="shared" si="1188"/>
        <v>M0</v>
      </c>
      <c r="EB40" s="6" t="str">
        <f t="shared" si="1188"/>
        <v>M0</v>
      </c>
      <c r="EC40" s="6" t="str">
        <f t="shared" ref="EC40:GN40" si="1189">IF(OR(EC$41="M1", EC42="M2"),"", "M0")</f>
        <v>M0</v>
      </c>
      <c r="ED40" s="6" t="str">
        <f t="shared" si="1189"/>
        <v>M0</v>
      </c>
      <c r="EE40" s="6" t="str">
        <f t="shared" si="1189"/>
        <v>M0</v>
      </c>
      <c r="EF40" s="6" t="str">
        <f t="shared" si="1189"/>
        <v>M0</v>
      </c>
      <c r="EG40" s="6" t="str">
        <f t="shared" si="1189"/>
        <v>M0</v>
      </c>
      <c r="EH40" s="6" t="str">
        <f t="shared" si="1189"/>
        <v>M0</v>
      </c>
      <c r="EI40" s="6" t="str">
        <f t="shared" si="1189"/>
        <v>M0</v>
      </c>
      <c r="EJ40" s="6" t="str">
        <f t="shared" si="1189"/>
        <v>M0</v>
      </c>
      <c r="EK40" s="6" t="str">
        <f t="shared" si="1189"/>
        <v>M0</v>
      </c>
      <c r="EL40" s="6" t="str">
        <f t="shared" si="1189"/>
        <v>M0</v>
      </c>
      <c r="EM40" s="6" t="str">
        <f t="shared" si="1189"/>
        <v>M0</v>
      </c>
      <c r="EN40" s="6" t="str">
        <f t="shared" si="1189"/>
        <v>M0</v>
      </c>
      <c r="EO40" s="6" t="str">
        <f t="shared" si="1189"/>
        <v>M0</v>
      </c>
      <c r="EP40" s="6" t="str">
        <f t="shared" si="1189"/>
        <v>M0</v>
      </c>
      <c r="EQ40" s="6" t="str">
        <f t="shared" si="1189"/>
        <v>M0</v>
      </c>
      <c r="ER40" s="6" t="str">
        <f t="shared" si="1189"/>
        <v>M0</v>
      </c>
      <c r="ES40" s="6" t="str">
        <f t="shared" si="1189"/>
        <v>M0</v>
      </c>
      <c r="ET40" s="6" t="str">
        <f t="shared" si="1189"/>
        <v>M0</v>
      </c>
      <c r="EU40" s="6" t="str">
        <f t="shared" si="1189"/>
        <v>M0</v>
      </c>
      <c r="EV40" s="6" t="str">
        <f t="shared" si="1189"/>
        <v>M0</v>
      </c>
      <c r="EW40" s="6" t="str">
        <f t="shared" si="1189"/>
        <v>M0</v>
      </c>
      <c r="EX40" s="6" t="str">
        <f t="shared" si="1189"/>
        <v>M0</v>
      </c>
      <c r="EY40" s="6" t="str">
        <f t="shared" si="1189"/>
        <v>M0</v>
      </c>
      <c r="EZ40" s="6" t="str">
        <f t="shared" si="1189"/>
        <v>M0</v>
      </c>
      <c r="FA40" s="6" t="str">
        <f t="shared" si="1189"/>
        <v>M0</v>
      </c>
      <c r="FB40" s="6" t="str">
        <f t="shared" si="1189"/>
        <v>M0</v>
      </c>
      <c r="FC40" s="6" t="str">
        <f t="shared" si="1189"/>
        <v>M0</v>
      </c>
      <c r="FD40" s="6" t="str">
        <f t="shared" si="1189"/>
        <v>M0</v>
      </c>
      <c r="FE40" s="6" t="str">
        <f t="shared" si="1189"/>
        <v>M0</v>
      </c>
      <c r="FF40" s="6" t="str">
        <f t="shared" si="1189"/>
        <v>M0</v>
      </c>
      <c r="FG40" s="6" t="str">
        <f t="shared" si="1189"/>
        <v>M0</v>
      </c>
      <c r="FH40" s="6" t="str">
        <f t="shared" si="1189"/>
        <v>M0</v>
      </c>
      <c r="FI40" s="6" t="str">
        <f t="shared" si="1189"/>
        <v>M0</v>
      </c>
      <c r="FJ40" s="6" t="str">
        <f t="shared" si="1189"/>
        <v>M0</v>
      </c>
      <c r="FK40" s="6" t="str">
        <f t="shared" si="1189"/>
        <v>M0</v>
      </c>
      <c r="FL40" s="6" t="str">
        <f t="shared" si="1189"/>
        <v>M0</v>
      </c>
      <c r="FM40" s="6" t="str">
        <f t="shared" si="1189"/>
        <v>M0</v>
      </c>
      <c r="FN40" s="6" t="str">
        <f t="shared" si="1189"/>
        <v>M0</v>
      </c>
      <c r="FO40" s="6" t="str">
        <f t="shared" si="1189"/>
        <v>M0</v>
      </c>
      <c r="FP40" s="6" t="str">
        <f t="shared" si="1189"/>
        <v>M0</v>
      </c>
      <c r="FQ40" s="6" t="str">
        <f t="shared" si="1189"/>
        <v>M0</v>
      </c>
      <c r="FR40" s="6" t="str">
        <f t="shared" si="1189"/>
        <v>M0</v>
      </c>
      <c r="FS40" s="6" t="str">
        <f t="shared" si="1189"/>
        <v>M0</v>
      </c>
      <c r="FT40" s="6" t="str">
        <f t="shared" si="1189"/>
        <v>M0</v>
      </c>
      <c r="FU40" s="6" t="str">
        <f t="shared" si="1189"/>
        <v>M0</v>
      </c>
      <c r="FV40" s="6" t="str">
        <f t="shared" si="1189"/>
        <v>M0</v>
      </c>
      <c r="FW40" s="6" t="str">
        <f t="shared" si="1189"/>
        <v>M0</v>
      </c>
      <c r="FX40" s="6" t="str">
        <f t="shared" si="1189"/>
        <v>M0</v>
      </c>
      <c r="FY40" s="6" t="str">
        <f t="shared" si="1189"/>
        <v>M0</v>
      </c>
      <c r="FZ40" s="6" t="str">
        <f t="shared" si="1189"/>
        <v>M0</v>
      </c>
      <c r="GA40" s="6" t="str">
        <f t="shared" si="1189"/>
        <v>M0</v>
      </c>
      <c r="GB40" s="6" t="str">
        <f t="shared" si="1189"/>
        <v>M0</v>
      </c>
      <c r="GC40" s="6" t="str">
        <f t="shared" si="1189"/>
        <v>M0</v>
      </c>
      <c r="GD40" s="6" t="str">
        <f t="shared" si="1189"/>
        <v>M0</v>
      </c>
      <c r="GE40" s="6" t="str">
        <f t="shared" si="1189"/>
        <v>M0</v>
      </c>
      <c r="GF40" s="6" t="str">
        <f t="shared" si="1189"/>
        <v>M0</v>
      </c>
      <c r="GG40" s="6" t="str">
        <f t="shared" si="1189"/>
        <v>M0</v>
      </c>
      <c r="GH40" s="6" t="str">
        <f t="shared" si="1189"/>
        <v>M0</v>
      </c>
      <c r="GI40" s="6" t="str">
        <f t="shared" si="1189"/>
        <v>M0</v>
      </c>
      <c r="GJ40" s="6" t="str">
        <f t="shared" si="1189"/>
        <v>M0</v>
      </c>
      <c r="GK40" s="6" t="str">
        <f t="shared" si="1189"/>
        <v>M0</v>
      </c>
      <c r="GL40" s="6" t="str">
        <f t="shared" si="1189"/>
        <v>M0</v>
      </c>
      <c r="GM40" s="6" t="str">
        <f t="shared" si="1189"/>
        <v>M0</v>
      </c>
      <c r="GN40" s="6" t="str">
        <f t="shared" si="1189"/>
        <v>M0</v>
      </c>
      <c r="GO40" s="6" t="str">
        <f t="shared" ref="GO40:IZ40" si="1190">IF(OR(GO$41="M1", GO42="M2"),"", "M0")</f>
        <v>M0</v>
      </c>
      <c r="GP40" s="6" t="str">
        <f t="shared" si="1190"/>
        <v>M0</v>
      </c>
      <c r="GQ40" s="6" t="str">
        <f t="shared" si="1190"/>
        <v>M0</v>
      </c>
      <c r="GR40" s="6" t="str">
        <f t="shared" si="1190"/>
        <v>M0</v>
      </c>
      <c r="GS40" s="6" t="str">
        <f t="shared" si="1190"/>
        <v>M0</v>
      </c>
      <c r="GT40" s="6" t="str">
        <f t="shared" si="1190"/>
        <v>M0</v>
      </c>
      <c r="GU40" s="6" t="str">
        <f t="shared" si="1190"/>
        <v>M0</v>
      </c>
      <c r="GV40" s="6" t="str">
        <f t="shared" si="1190"/>
        <v>M0</v>
      </c>
      <c r="GW40" s="6" t="str">
        <f t="shared" si="1190"/>
        <v>M0</v>
      </c>
      <c r="GX40" s="6" t="str">
        <f t="shared" si="1190"/>
        <v>M0</v>
      </c>
      <c r="GY40" s="6" t="str">
        <f t="shared" si="1190"/>
        <v>M0</v>
      </c>
      <c r="GZ40" s="6" t="str">
        <f t="shared" si="1190"/>
        <v>M0</v>
      </c>
      <c r="HA40" s="6" t="str">
        <f t="shared" si="1190"/>
        <v>M0</v>
      </c>
      <c r="HB40" s="6" t="str">
        <f t="shared" si="1190"/>
        <v>M0</v>
      </c>
      <c r="HC40" s="6" t="str">
        <f t="shared" si="1190"/>
        <v>M0</v>
      </c>
      <c r="HD40" s="6" t="str">
        <f t="shared" si="1190"/>
        <v>M0</v>
      </c>
      <c r="HE40" s="6" t="str">
        <f t="shared" si="1190"/>
        <v>M0</v>
      </c>
      <c r="HF40" s="6" t="str">
        <f t="shared" si="1190"/>
        <v>M0</v>
      </c>
      <c r="HG40" s="6" t="str">
        <f t="shared" si="1190"/>
        <v>M0</v>
      </c>
      <c r="HH40" s="6" t="str">
        <f t="shared" si="1190"/>
        <v>M0</v>
      </c>
      <c r="HI40" s="6" t="str">
        <f t="shared" si="1190"/>
        <v>M0</v>
      </c>
      <c r="HJ40" s="6" t="str">
        <f t="shared" si="1190"/>
        <v>M0</v>
      </c>
      <c r="HK40" s="6" t="str">
        <f t="shared" si="1190"/>
        <v>M0</v>
      </c>
      <c r="HL40" s="6" t="str">
        <f t="shared" si="1190"/>
        <v>M0</v>
      </c>
      <c r="HM40" s="6" t="str">
        <f t="shared" si="1190"/>
        <v>M0</v>
      </c>
      <c r="HN40" s="6" t="str">
        <f t="shared" si="1190"/>
        <v>M0</v>
      </c>
      <c r="HO40" s="6" t="str">
        <f t="shared" si="1190"/>
        <v>M0</v>
      </c>
      <c r="HP40" s="6" t="str">
        <f t="shared" si="1190"/>
        <v>M0</v>
      </c>
      <c r="HQ40" s="6" t="str">
        <f t="shared" si="1190"/>
        <v>M0</v>
      </c>
      <c r="HR40" s="6" t="str">
        <f t="shared" si="1190"/>
        <v>M0</v>
      </c>
      <c r="HS40" s="6" t="str">
        <f t="shared" si="1190"/>
        <v>M0</v>
      </c>
      <c r="HT40" s="6" t="str">
        <f t="shared" si="1190"/>
        <v>M0</v>
      </c>
      <c r="HU40" s="6" t="str">
        <f t="shared" si="1190"/>
        <v>M0</v>
      </c>
      <c r="HV40" s="6" t="str">
        <f t="shared" si="1190"/>
        <v>M0</v>
      </c>
      <c r="HW40" s="6" t="str">
        <f t="shared" si="1190"/>
        <v>M0</v>
      </c>
      <c r="HX40" s="6" t="str">
        <f t="shared" si="1190"/>
        <v>M0</v>
      </c>
      <c r="HY40" s="6" t="str">
        <f t="shared" si="1190"/>
        <v>M0</v>
      </c>
      <c r="HZ40" s="6" t="str">
        <f t="shared" si="1190"/>
        <v>M0</v>
      </c>
      <c r="IA40" s="6" t="str">
        <f t="shared" si="1190"/>
        <v>M0</v>
      </c>
      <c r="IB40" s="6" t="str">
        <f t="shared" si="1190"/>
        <v>M0</v>
      </c>
      <c r="IC40" s="6" t="str">
        <f t="shared" si="1190"/>
        <v>M0</v>
      </c>
      <c r="ID40" s="6" t="str">
        <f t="shared" si="1190"/>
        <v>M0</v>
      </c>
      <c r="IE40" s="6" t="str">
        <f t="shared" si="1190"/>
        <v>M0</v>
      </c>
      <c r="IF40" s="6" t="str">
        <f t="shared" si="1190"/>
        <v>M0</v>
      </c>
      <c r="IG40" s="6" t="str">
        <f t="shared" si="1190"/>
        <v>M0</v>
      </c>
      <c r="IH40" s="6" t="str">
        <f t="shared" si="1190"/>
        <v>M0</v>
      </c>
      <c r="II40" s="6" t="str">
        <f t="shared" si="1190"/>
        <v>M0</v>
      </c>
      <c r="IJ40" s="6" t="str">
        <f t="shared" si="1190"/>
        <v>M0</v>
      </c>
      <c r="IK40" s="6" t="str">
        <f t="shared" si="1190"/>
        <v>M0</v>
      </c>
      <c r="IL40" s="6" t="str">
        <f t="shared" si="1190"/>
        <v>M0</v>
      </c>
      <c r="IM40" s="6" t="str">
        <f t="shared" si="1190"/>
        <v>M0</v>
      </c>
      <c r="IN40" s="6" t="str">
        <f t="shared" si="1190"/>
        <v>M0</v>
      </c>
      <c r="IO40" s="6" t="str">
        <f t="shared" si="1190"/>
        <v>M0</v>
      </c>
      <c r="IP40" s="6" t="str">
        <f t="shared" si="1190"/>
        <v>M0</v>
      </c>
      <c r="IQ40" s="6" t="str">
        <f t="shared" si="1190"/>
        <v>M0</v>
      </c>
      <c r="IR40" s="6" t="str">
        <f t="shared" si="1190"/>
        <v>M0</v>
      </c>
      <c r="IS40" s="6" t="str">
        <f t="shared" si="1190"/>
        <v>M0</v>
      </c>
      <c r="IT40" s="6" t="str">
        <f t="shared" si="1190"/>
        <v>M0</v>
      </c>
      <c r="IU40" s="6" t="str">
        <f t="shared" si="1190"/>
        <v>M0</v>
      </c>
      <c r="IV40" s="6" t="str">
        <f t="shared" si="1190"/>
        <v>M0</v>
      </c>
      <c r="IW40" s="6" t="str">
        <f t="shared" si="1190"/>
        <v>M0</v>
      </c>
      <c r="IX40" s="6" t="str">
        <f t="shared" si="1190"/>
        <v>M0</v>
      </c>
      <c r="IY40" s="6" t="str">
        <f t="shared" si="1190"/>
        <v>M0</v>
      </c>
      <c r="IZ40" s="6" t="str">
        <f t="shared" si="1190"/>
        <v>M0</v>
      </c>
      <c r="JA40" s="6" t="str">
        <f t="shared" ref="JA40:KE40" si="1191">IF(OR(JA$41="M1", JA42="M2"),"", "M0")</f>
        <v>M0</v>
      </c>
      <c r="JB40" s="6" t="str">
        <f t="shared" si="1191"/>
        <v>M0</v>
      </c>
      <c r="JC40" s="6" t="str">
        <f t="shared" si="1191"/>
        <v>M0</v>
      </c>
      <c r="JD40" s="6" t="str">
        <f t="shared" si="1191"/>
        <v>M0</v>
      </c>
      <c r="JE40" s="6" t="str">
        <f t="shared" si="1191"/>
        <v>M0</v>
      </c>
      <c r="JF40" s="6" t="str">
        <f t="shared" si="1191"/>
        <v>M0</v>
      </c>
      <c r="JG40" s="6" t="str">
        <f t="shared" si="1191"/>
        <v>M0</v>
      </c>
      <c r="JH40" s="6" t="str">
        <f t="shared" si="1191"/>
        <v>M0</v>
      </c>
      <c r="JI40" s="6" t="str">
        <f t="shared" si="1191"/>
        <v>M0</v>
      </c>
      <c r="JJ40" s="6" t="str">
        <f t="shared" si="1191"/>
        <v>M0</v>
      </c>
      <c r="JK40" s="6" t="str">
        <f t="shared" si="1191"/>
        <v>M0</v>
      </c>
      <c r="JL40" s="6" t="str">
        <f t="shared" si="1191"/>
        <v>M0</v>
      </c>
      <c r="JM40" s="6" t="str">
        <f t="shared" si="1191"/>
        <v>M0</v>
      </c>
      <c r="JN40" s="6" t="str">
        <f t="shared" si="1191"/>
        <v>M0</v>
      </c>
      <c r="JO40" s="6" t="str">
        <f t="shared" si="1191"/>
        <v>M0</v>
      </c>
      <c r="JP40" s="6" t="str">
        <f t="shared" si="1191"/>
        <v>M0</v>
      </c>
      <c r="JQ40" s="6" t="str">
        <f t="shared" si="1191"/>
        <v>M0</v>
      </c>
      <c r="JR40" s="6" t="str">
        <f t="shared" si="1191"/>
        <v>M0</v>
      </c>
      <c r="JS40" s="6" t="str">
        <f t="shared" si="1191"/>
        <v>M0</v>
      </c>
      <c r="JT40" s="6" t="str">
        <f t="shared" si="1191"/>
        <v>M0</v>
      </c>
      <c r="JU40" s="6" t="str">
        <f t="shared" si="1191"/>
        <v>M0</v>
      </c>
      <c r="JV40" s="6" t="str">
        <f t="shared" si="1191"/>
        <v>M0</v>
      </c>
      <c r="JW40" s="6" t="str">
        <f t="shared" si="1191"/>
        <v>M0</v>
      </c>
      <c r="JX40" s="6" t="str">
        <f t="shared" si="1191"/>
        <v>M0</v>
      </c>
      <c r="JY40" s="6" t="str">
        <f t="shared" si="1191"/>
        <v>M0</v>
      </c>
      <c r="JZ40" s="6" t="str">
        <f t="shared" si="1191"/>
        <v>M0</v>
      </c>
      <c r="KA40" s="6" t="str">
        <f t="shared" si="1191"/>
        <v>M0</v>
      </c>
      <c r="KB40" s="6" t="str">
        <f t="shared" si="1191"/>
        <v>M0</v>
      </c>
      <c r="KC40" s="6" t="str">
        <f t="shared" si="1191"/>
        <v>M0</v>
      </c>
      <c r="KD40" s="6" t="str">
        <f t="shared" si="1191"/>
        <v>M0</v>
      </c>
      <c r="KE40" s="6" t="str">
        <f t="shared" si="1191"/>
        <v>M0</v>
      </c>
      <c r="KF40" s="6" t="str">
        <f t="shared" ref="KF40:LK40" si="1192">IF(OR(KF$41="M1", KF42="M2"),"", "M0")</f>
        <v/>
      </c>
      <c r="KG40" s="6" t="str">
        <f t="shared" si="1192"/>
        <v/>
      </c>
      <c r="KH40" s="6" t="str">
        <f t="shared" si="1192"/>
        <v/>
      </c>
      <c r="KI40" s="6" t="str">
        <f t="shared" si="1192"/>
        <v/>
      </c>
      <c r="KJ40" s="6" t="str">
        <f t="shared" si="1192"/>
        <v/>
      </c>
      <c r="KK40" s="6" t="str">
        <f t="shared" si="1192"/>
        <v/>
      </c>
      <c r="KL40" s="6" t="str">
        <f t="shared" si="1192"/>
        <v/>
      </c>
      <c r="KM40" s="6" t="str">
        <f t="shared" si="1192"/>
        <v/>
      </c>
      <c r="KN40" s="6" t="str">
        <f t="shared" si="1192"/>
        <v/>
      </c>
      <c r="KO40" s="6" t="str">
        <f t="shared" si="1192"/>
        <v/>
      </c>
      <c r="KP40" s="6" t="str">
        <f t="shared" si="1192"/>
        <v/>
      </c>
      <c r="KQ40" s="6" t="str">
        <f t="shared" si="1192"/>
        <v/>
      </c>
      <c r="KR40" s="6" t="str">
        <f t="shared" si="1192"/>
        <v/>
      </c>
      <c r="KS40" s="6" t="str">
        <f t="shared" si="1192"/>
        <v/>
      </c>
      <c r="KT40" s="6" t="str">
        <f t="shared" si="1192"/>
        <v>M0</v>
      </c>
      <c r="KU40" s="6" t="str">
        <f t="shared" si="1192"/>
        <v>M0</v>
      </c>
      <c r="KV40" s="6" t="str">
        <f t="shared" si="1192"/>
        <v>M0</v>
      </c>
      <c r="KW40" s="6" t="str">
        <f t="shared" si="1192"/>
        <v>M0</v>
      </c>
      <c r="KX40" s="6" t="str">
        <f t="shared" si="1192"/>
        <v>M0</v>
      </c>
      <c r="KY40" s="6" t="str">
        <f t="shared" si="1192"/>
        <v>M0</v>
      </c>
      <c r="KZ40" s="6" t="str">
        <f t="shared" si="1192"/>
        <v>M0</v>
      </c>
      <c r="LA40" s="6" t="str">
        <f t="shared" si="1192"/>
        <v>M0</v>
      </c>
      <c r="LB40" s="6" t="str">
        <f t="shared" si="1192"/>
        <v>M0</v>
      </c>
      <c r="LC40" s="6" t="str">
        <f t="shared" si="1192"/>
        <v>M0</v>
      </c>
      <c r="LD40" s="6" t="str">
        <f t="shared" si="1192"/>
        <v>M0</v>
      </c>
      <c r="LE40" s="6" t="str">
        <f t="shared" si="1192"/>
        <v>M0</v>
      </c>
      <c r="LF40" s="6" t="str">
        <f t="shared" si="1192"/>
        <v>M0</v>
      </c>
      <c r="LG40" s="6" t="str">
        <f t="shared" si="1192"/>
        <v>M0</v>
      </c>
      <c r="LH40" s="6" t="str">
        <f t="shared" si="1192"/>
        <v>M0</v>
      </c>
      <c r="LI40" s="6" t="str">
        <f t="shared" si="1192"/>
        <v>M0</v>
      </c>
      <c r="LJ40" s="6" t="str">
        <f t="shared" si="1192"/>
        <v>M0</v>
      </c>
      <c r="LK40" s="6" t="str">
        <f t="shared" si="1192"/>
        <v>M0</v>
      </c>
      <c r="LL40" s="6" t="str">
        <f t="shared" ref="LL40:MQ40" si="1193">IF(OR(LL$41="M1", LL42="M2"),"", "M0")</f>
        <v>M0</v>
      </c>
      <c r="LM40" s="6" t="str">
        <f t="shared" si="1193"/>
        <v>M0</v>
      </c>
      <c r="LN40" s="6" t="str">
        <f t="shared" si="1193"/>
        <v>M0</v>
      </c>
      <c r="LO40" s="6" t="str">
        <f t="shared" si="1193"/>
        <v>M0</v>
      </c>
      <c r="LP40" s="6" t="str">
        <f t="shared" si="1193"/>
        <v>M0</v>
      </c>
      <c r="LQ40" s="6" t="str">
        <f t="shared" si="1193"/>
        <v>M0</v>
      </c>
      <c r="LR40" s="6" t="str">
        <f t="shared" si="1193"/>
        <v>M0</v>
      </c>
      <c r="LS40" s="6" t="str">
        <f t="shared" si="1193"/>
        <v>M0</v>
      </c>
      <c r="LT40" s="6" t="str">
        <f t="shared" si="1193"/>
        <v>M0</v>
      </c>
      <c r="LU40" s="6" t="str">
        <f t="shared" si="1193"/>
        <v>M0</v>
      </c>
      <c r="LV40" s="6" t="str">
        <f t="shared" si="1193"/>
        <v>M0</v>
      </c>
      <c r="LW40" s="6" t="str">
        <f t="shared" si="1193"/>
        <v>M0</v>
      </c>
      <c r="LX40" s="6" t="str">
        <f t="shared" si="1193"/>
        <v>M0</v>
      </c>
      <c r="LY40" s="6" t="str">
        <f t="shared" si="1193"/>
        <v>M0</v>
      </c>
      <c r="LZ40" s="6" t="str">
        <f t="shared" si="1193"/>
        <v>M0</v>
      </c>
      <c r="MA40" s="6" t="str">
        <f t="shared" si="1193"/>
        <v>M0</v>
      </c>
      <c r="MB40" s="6" t="str">
        <f t="shared" si="1193"/>
        <v>M0</v>
      </c>
      <c r="MC40" s="6" t="str">
        <f t="shared" si="1193"/>
        <v>M0</v>
      </c>
      <c r="MD40" s="6" t="str">
        <f t="shared" si="1193"/>
        <v>M0</v>
      </c>
      <c r="ME40" s="6" t="str">
        <f t="shared" si="1193"/>
        <v>M0</v>
      </c>
      <c r="MF40" s="6" t="str">
        <f t="shared" si="1193"/>
        <v>M0</v>
      </c>
      <c r="MG40" s="6" t="str">
        <f t="shared" si="1193"/>
        <v>M0</v>
      </c>
      <c r="MH40" s="6" t="str">
        <f t="shared" si="1193"/>
        <v>M0</v>
      </c>
      <c r="MI40" s="6" t="str">
        <f t="shared" si="1193"/>
        <v>M0</v>
      </c>
      <c r="MJ40" s="6" t="str">
        <f t="shared" si="1193"/>
        <v>M0</v>
      </c>
      <c r="MK40" s="6" t="str">
        <f t="shared" si="1193"/>
        <v>M0</v>
      </c>
      <c r="ML40" s="6" t="str">
        <f t="shared" si="1193"/>
        <v>M0</v>
      </c>
      <c r="MM40" s="6" t="str">
        <f t="shared" si="1193"/>
        <v>M0</v>
      </c>
      <c r="MN40" s="6" t="str">
        <f t="shared" si="1193"/>
        <v>M0</v>
      </c>
      <c r="MO40" s="6" t="str">
        <f t="shared" si="1193"/>
        <v>M0</v>
      </c>
      <c r="MP40" s="6" t="str">
        <f t="shared" si="1193"/>
        <v>M0</v>
      </c>
      <c r="MQ40" s="6" t="str">
        <f t="shared" si="1193"/>
        <v>M0</v>
      </c>
      <c r="MR40" s="6" t="str">
        <f t="shared" ref="MR40:NW40" si="1194">IF(OR(MR$41="M1", MR42="M2"),"", "M0")</f>
        <v>M0</v>
      </c>
      <c r="MS40" s="6" t="str">
        <f t="shared" si="1194"/>
        <v>M0</v>
      </c>
      <c r="MT40" s="6" t="str">
        <f t="shared" si="1194"/>
        <v>M0</v>
      </c>
      <c r="MU40" s="6" t="str">
        <f t="shared" si="1194"/>
        <v>M0</v>
      </c>
      <c r="MV40" s="6" t="str">
        <f t="shared" si="1194"/>
        <v>M0</v>
      </c>
      <c r="MW40" s="6" t="str">
        <f t="shared" si="1194"/>
        <v>M0</v>
      </c>
      <c r="MX40" s="6" t="str">
        <f t="shared" si="1194"/>
        <v>M0</v>
      </c>
      <c r="MY40" s="6" t="str">
        <f t="shared" si="1194"/>
        <v>M0</v>
      </c>
      <c r="MZ40" s="6" t="str">
        <f t="shared" si="1194"/>
        <v>M0</v>
      </c>
      <c r="NA40" s="6" t="str">
        <f t="shared" si="1194"/>
        <v>M0</v>
      </c>
      <c r="NB40" s="6" t="str">
        <f t="shared" si="1194"/>
        <v>M0</v>
      </c>
      <c r="NC40" s="6" t="str">
        <f t="shared" si="1194"/>
        <v>M0</v>
      </c>
      <c r="ND40" s="6" t="str">
        <f t="shared" si="1194"/>
        <v>M0</v>
      </c>
      <c r="NE40" s="6" t="str">
        <f t="shared" si="1194"/>
        <v/>
      </c>
      <c r="NF40" s="6" t="str">
        <f t="shared" si="1194"/>
        <v/>
      </c>
      <c r="NG40" s="6" t="str">
        <f t="shared" si="1194"/>
        <v/>
      </c>
      <c r="NH40" s="6" t="str">
        <f t="shared" si="1194"/>
        <v/>
      </c>
      <c r="NI40" s="6" t="str">
        <f t="shared" si="1194"/>
        <v/>
      </c>
      <c r="NJ40" s="6" t="str">
        <f t="shared" si="1194"/>
        <v/>
      </c>
      <c r="NK40" s="6" t="str">
        <f t="shared" si="1194"/>
        <v/>
      </c>
      <c r="NL40" s="6" t="str">
        <f t="shared" si="1194"/>
        <v/>
      </c>
      <c r="NM40" s="6" t="str">
        <f t="shared" si="1194"/>
        <v/>
      </c>
      <c r="NN40" s="6" t="str">
        <f t="shared" si="1194"/>
        <v/>
      </c>
      <c r="NO40" s="6" t="str">
        <f t="shared" si="1194"/>
        <v/>
      </c>
      <c r="NP40" s="6" t="str">
        <f t="shared" si="1194"/>
        <v/>
      </c>
      <c r="NQ40" s="6" t="str">
        <f t="shared" si="1194"/>
        <v/>
      </c>
      <c r="NR40" s="6" t="str">
        <f t="shared" si="1194"/>
        <v/>
      </c>
      <c r="NS40" s="6" t="str">
        <f t="shared" si="1194"/>
        <v>M0</v>
      </c>
      <c r="NT40" s="6" t="str">
        <f t="shared" si="1194"/>
        <v>M0</v>
      </c>
      <c r="NU40" s="6" t="str">
        <f t="shared" si="1194"/>
        <v>M0</v>
      </c>
      <c r="NV40" s="6" t="str">
        <f t="shared" si="1194"/>
        <v>M0</v>
      </c>
      <c r="NW40" s="6" t="str">
        <f t="shared" si="1194"/>
        <v>M0</v>
      </c>
      <c r="NX40" s="6" t="str">
        <f t="shared" ref="NX40:PC40" si="1195">IF(OR(NX$41="M1", NX42="M2"),"", "M0")</f>
        <v>M0</v>
      </c>
      <c r="NY40" s="6" t="str">
        <f t="shared" si="1195"/>
        <v>M0</v>
      </c>
      <c r="NZ40" s="6" t="str">
        <f t="shared" si="1195"/>
        <v>M0</v>
      </c>
      <c r="OA40" s="6" t="str">
        <f t="shared" si="1195"/>
        <v>M0</v>
      </c>
      <c r="OB40" s="6" t="str">
        <f t="shared" si="1195"/>
        <v>M0</v>
      </c>
      <c r="OC40" s="6" t="str">
        <f t="shared" si="1195"/>
        <v>M0</v>
      </c>
      <c r="OD40" s="6" t="str">
        <f t="shared" si="1195"/>
        <v>M0</v>
      </c>
      <c r="OE40" s="6" t="str">
        <f t="shared" si="1195"/>
        <v>M0</v>
      </c>
      <c r="OF40" s="6" t="str">
        <f t="shared" si="1195"/>
        <v>M0</v>
      </c>
      <c r="OG40" s="6" t="str">
        <f t="shared" si="1195"/>
        <v>M0</v>
      </c>
      <c r="OH40" s="6" t="str">
        <f t="shared" si="1195"/>
        <v>M0</v>
      </c>
      <c r="OI40" s="6" t="str">
        <f t="shared" si="1195"/>
        <v>M0</v>
      </c>
      <c r="OJ40" s="6" t="str">
        <f t="shared" si="1195"/>
        <v>M0</v>
      </c>
      <c r="OK40" s="6" t="str">
        <f t="shared" si="1195"/>
        <v>M0</v>
      </c>
      <c r="OL40" s="6" t="str">
        <f t="shared" si="1195"/>
        <v>M0</v>
      </c>
      <c r="OM40" s="6" t="str">
        <f t="shared" si="1195"/>
        <v>M0</v>
      </c>
      <c r="ON40" s="6" t="str">
        <f t="shared" si="1195"/>
        <v>M0</v>
      </c>
      <c r="OO40" s="6" t="str">
        <f t="shared" si="1195"/>
        <v>M0</v>
      </c>
      <c r="OP40" s="6" t="str">
        <f t="shared" si="1195"/>
        <v>M0</v>
      </c>
      <c r="OQ40" s="6" t="str">
        <f t="shared" si="1195"/>
        <v>M0</v>
      </c>
      <c r="OR40" s="6" t="str">
        <f t="shared" si="1195"/>
        <v>M0</v>
      </c>
      <c r="OS40" s="6" t="str">
        <f t="shared" si="1195"/>
        <v>M0</v>
      </c>
      <c r="OT40" s="6" t="str">
        <f t="shared" si="1195"/>
        <v>M0</v>
      </c>
      <c r="OU40" s="6" t="str">
        <f t="shared" si="1195"/>
        <v>M0</v>
      </c>
      <c r="OV40" s="6" t="str">
        <f t="shared" si="1195"/>
        <v>M0</v>
      </c>
      <c r="OW40" s="6" t="str">
        <f t="shared" si="1195"/>
        <v>M0</v>
      </c>
      <c r="OX40" s="6" t="str">
        <f t="shared" si="1195"/>
        <v>M0</v>
      </c>
      <c r="OY40" s="6" t="str">
        <f t="shared" si="1195"/>
        <v>M0</v>
      </c>
      <c r="OZ40" s="6" t="str">
        <f t="shared" si="1195"/>
        <v>M0</v>
      </c>
      <c r="PA40" s="6" t="str">
        <f t="shared" si="1195"/>
        <v>M0</v>
      </c>
      <c r="PB40" s="6" t="str">
        <f t="shared" si="1195"/>
        <v>M0</v>
      </c>
      <c r="PC40" s="6" t="str">
        <f t="shared" si="1195"/>
        <v>M0</v>
      </c>
      <c r="PD40" s="6" t="str">
        <f t="shared" ref="PD40:PS40" si="1196">IF(OR(PD$41="M1", PD42="M2"),"", "M0")</f>
        <v>M0</v>
      </c>
      <c r="PE40" s="6" t="str">
        <f t="shared" si="1196"/>
        <v>M0</v>
      </c>
      <c r="PF40" s="6" t="str">
        <f t="shared" si="1196"/>
        <v>M0</v>
      </c>
      <c r="PG40" s="6" t="str">
        <f t="shared" si="1196"/>
        <v>M0</v>
      </c>
      <c r="PH40" s="6" t="str">
        <f t="shared" si="1196"/>
        <v>M0</v>
      </c>
      <c r="PI40" s="6" t="str">
        <f t="shared" si="1196"/>
        <v>M0</v>
      </c>
      <c r="PJ40" s="6" t="str">
        <f t="shared" si="1196"/>
        <v>M0</v>
      </c>
      <c r="PK40" s="6" t="str">
        <f t="shared" si="1196"/>
        <v>M0</v>
      </c>
      <c r="PL40" s="6" t="str">
        <f t="shared" si="1196"/>
        <v>M0</v>
      </c>
      <c r="PM40" s="6" t="str">
        <f t="shared" si="1196"/>
        <v>M0</v>
      </c>
      <c r="PN40" s="6" t="str">
        <f t="shared" si="1196"/>
        <v>M0</v>
      </c>
      <c r="PO40" s="6" t="str">
        <f t="shared" si="1196"/>
        <v>M0</v>
      </c>
      <c r="PP40" s="6" t="str">
        <f t="shared" si="1196"/>
        <v>M0</v>
      </c>
      <c r="PQ40" s="6" t="str">
        <f t="shared" si="1196"/>
        <v>M0</v>
      </c>
      <c r="PR40" s="6" t="str">
        <f t="shared" si="1196"/>
        <v>M0</v>
      </c>
      <c r="PS40" s="6" t="str">
        <f t="shared" si="1196"/>
        <v>M0</v>
      </c>
      <c r="PT40" s="6" t="str">
        <f t="shared" ref="PT40:QJ40" si="1197">IF(OR(PT$41="M1", PT42="M2"),"", "M0")</f>
        <v/>
      </c>
      <c r="PU40" s="6" t="str">
        <f t="shared" si="1197"/>
        <v/>
      </c>
      <c r="PV40" s="6" t="str">
        <f t="shared" si="1197"/>
        <v/>
      </c>
      <c r="PW40" s="6" t="str">
        <f t="shared" si="1197"/>
        <v/>
      </c>
      <c r="PX40" s="6" t="str">
        <f t="shared" si="1197"/>
        <v/>
      </c>
      <c r="PY40" s="6" t="str">
        <f t="shared" si="1197"/>
        <v/>
      </c>
      <c r="PZ40" s="6" t="str">
        <f t="shared" si="1197"/>
        <v/>
      </c>
      <c r="QA40" s="6" t="str">
        <f t="shared" si="1197"/>
        <v/>
      </c>
      <c r="QB40" s="6" t="str">
        <f t="shared" si="1197"/>
        <v/>
      </c>
      <c r="QC40" s="6" t="str">
        <f t="shared" si="1197"/>
        <v/>
      </c>
      <c r="QD40" s="6" t="str">
        <f t="shared" si="1197"/>
        <v/>
      </c>
      <c r="QE40" s="6" t="str">
        <f t="shared" si="1197"/>
        <v/>
      </c>
      <c r="QF40" s="6" t="str">
        <f t="shared" si="1197"/>
        <v/>
      </c>
      <c r="QG40" s="6" t="str">
        <f t="shared" si="1197"/>
        <v/>
      </c>
      <c r="QH40" s="6" t="str">
        <f t="shared" si="1197"/>
        <v>M0</v>
      </c>
      <c r="QI40" s="6" t="str">
        <f t="shared" si="1197"/>
        <v>M0</v>
      </c>
      <c r="QJ40" s="6" t="str">
        <f t="shared" si="1197"/>
        <v>M0</v>
      </c>
      <c r="QK40" s="6" t="str">
        <f t="shared" ref="QK40:SV40" si="1198">IF(OR(QK$41="M1", QK42="M2"),"", "M0")</f>
        <v>M0</v>
      </c>
      <c r="QL40" s="6" t="str">
        <f t="shared" si="1198"/>
        <v>M0</v>
      </c>
      <c r="QM40" s="6" t="str">
        <f t="shared" si="1198"/>
        <v>M0</v>
      </c>
      <c r="QN40" s="6" t="str">
        <f t="shared" si="1198"/>
        <v>M0</v>
      </c>
      <c r="QO40" s="6" t="str">
        <f t="shared" si="1198"/>
        <v>M0</v>
      </c>
      <c r="QP40" s="6" t="str">
        <f t="shared" si="1198"/>
        <v>M0</v>
      </c>
      <c r="QQ40" s="6" t="str">
        <f t="shared" si="1198"/>
        <v>M0</v>
      </c>
      <c r="QR40" s="6" t="str">
        <f t="shared" si="1198"/>
        <v>M0</v>
      </c>
      <c r="QS40" s="6" t="str">
        <f t="shared" si="1198"/>
        <v>M0</v>
      </c>
      <c r="QT40" s="6" t="str">
        <f t="shared" si="1198"/>
        <v>M0</v>
      </c>
      <c r="QU40" s="6" t="str">
        <f t="shared" si="1198"/>
        <v>M0</v>
      </c>
      <c r="QV40" s="6" t="str">
        <f t="shared" si="1198"/>
        <v>M0</v>
      </c>
      <c r="QW40" s="6" t="str">
        <f t="shared" si="1198"/>
        <v>M0</v>
      </c>
      <c r="QX40" s="6" t="str">
        <f t="shared" si="1198"/>
        <v>M0</v>
      </c>
      <c r="QY40" s="6" t="str">
        <f t="shared" si="1198"/>
        <v>M0</v>
      </c>
      <c r="QZ40" s="6" t="str">
        <f t="shared" si="1198"/>
        <v>M0</v>
      </c>
      <c r="RA40" s="6" t="str">
        <f t="shared" si="1198"/>
        <v>M0</v>
      </c>
      <c r="RB40" s="6" t="str">
        <f t="shared" si="1198"/>
        <v>M0</v>
      </c>
      <c r="RC40" s="6" t="str">
        <f t="shared" si="1198"/>
        <v>M0</v>
      </c>
      <c r="RD40" s="6" t="str">
        <f t="shared" si="1198"/>
        <v>M0</v>
      </c>
      <c r="RE40" s="6" t="str">
        <f t="shared" si="1198"/>
        <v>M0</v>
      </c>
      <c r="RF40" s="6" t="str">
        <f t="shared" si="1198"/>
        <v>M0</v>
      </c>
      <c r="RG40" s="6" t="str">
        <f t="shared" si="1198"/>
        <v>M0</v>
      </c>
      <c r="RH40" s="6" t="str">
        <f t="shared" si="1198"/>
        <v>M0</v>
      </c>
      <c r="RI40" s="6" t="str">
        <f t="shared" si="1198"/>
        <v>M0</v>
      </c>
      <c r="RJ40" s="6" t="str">
        <f t="shared" si="1198"/>
        <v>M0</v>
      </c>
      <c r="RK40" s="6" t="str">
        <f t="shared" si="1198"/>
        <v>M0</v>
      </c>
      <c r="RL40" s="6" t="str">
        <f t="shared" si="1198"/>
        <v>M0</v>
      </c>
      <c r="RM40" s="6" t="str">
        <f t="shared" si="1198"/>
        <v>M0</v>
      </c>
      <c r="RN40" s="6" t="str">
        <f t="shared" si="1198"/>
        <v>M0</v>
      </c>
      <c r="RO40" s="6" t="str">
        <f t="shared" si="1198"/>
        <v>M0</v>
      </c>
      <c r="RP40" s="6" t="str">
        <f t="shared" si="1198"/>
        <v>M0</v>
      </c>
      <c r="RQ40" s="6" t="str">
        <f t="shared" si="1198"/>
        <v>M0</v>
      </c>
      <c r="RR40" s="6" t="str">
        <f t="shared" si="1198"/>
        <v>M0</v>
      </c>
      <c r="RS40" s="6" t="str">
        <f t="shared" si="1198"/>
        <v>M0</v>
      </c>
      <c r="RT40" s="6" t="str">
        <f t="shared" si="1198"/>
        <v>M0</v>
      </c>
      <c r="RU40" s="6" t="str">
        <f t="shared" si="1198"/>
        <v>M0</v>
      </c>
      <c r="RV40" s="6" t="str">
        <f t="shared" si="1198"/>
        <v>M0</v>
      </c>
      <c r="RW40" s="6" t="str">
        <f t="shared" si="1198"/>
        <v>M0</v>
      </c>
      <c r="RX40" s="6" t="str">
        <f t="shared" si="1198"/>
        <v>M0</v>
      </c>
      <c r="RY40" s="6" t="str">
        <f t="shared" si="1198"/>
        <v>M0</v>
      </c>
      <c r="RZ40" s="6" t="str">
        <f t="shared" si="1198"/>
        <v>M0</v>
      </c>
      <c r="SA40" s="6" t="str">
        <f t="shared" si="1198"/>
        <v>M0</v>
      </c>
      <c r="SB40" s="6" t="str">
        <f t="shared" si="1198"/>
        <v>M0</v>
      </c>
      <c r="SC40" s="6" t="str">
        <f t="shared" si="1198"/>
        <v>M0</v>
      </c>
      <c r="SD40" s="6" t="str">
        <f t="shared" si="1198"/>
        <v>M0</v>
      </c>
      <c r="SE40" s="6" t="str">
        <f t="shared" si="1198"/>
        <v>M0</v>
      </c>
      <c r="SF40" s="6" t="str">
        <f t="shared" si="1198"/>
        <v>M0</v>
      </c>
      <c r="SG40" s="6" t="str">
        <f t="shared" si="1198"/>
        <v>M0</v>
      </c>
      <c r="SH40" s="6" t="str">
        <f t="shared" si="1198"/>
        <v>M0</v>
      </c>
      <c r="SI40" s="6" t="str">
        <f t="shared" si="1198"/>
        <v>M0</v>
      </c>
      <c r="SJ40" s="6" t="str">
        <f t="shared" si="1198"/>
        <v>M0</v>
      </c>
      <c r="SK40" s="6" t="str">
        <f t="shared" si="1198"/>
        <v>M0</v>
      </c>
      <c r="SL40" s="6" t="str">
        <f t="shared" si="1198"/>
        <v>M0</v>
      </c>
      <c r="SM40" s="6" t="str">
        <f t="shared" si="1198"/>
        <v>M0</v>
      </c>
      <c r="SN40" s="6" t="str">
        <f t="shared" si="1198"/>
        <v>M0</v>
      </c>
      <c r="SO40" s="6" t="str">
        <f t="shared" si="1198"/>
        <v>M0</v>
      </c>
      <c r="SP40" s="6" t="str">
        <f t="shared" si="1198"/>
        <v>M0</v>
      </c>
      <c r="SQ40" s="6" t="str">
        <f t="shared" si="1198"/>
        <v>M0</v>
      </c>
      <c r="SR40" s="6" t="str">
        <f t="shared" si="1198"/>
        <v>M0</v>
      </c>
      <c r="SS40" s="6" t="str">
        <f t="shared" si="1198"/>
        <v/>
      </c>
      <c r="ST40" s="6" t="str">
        <f t="shared" si="1198"/>
        <v/>
      </c>
      <c r="SU40" s="6" t="str">
        <f t="shared" si="1198"/>
        <v/>
      </c>
      <c r="SV40" s="6" t="str">
        <f t="shared" si="1198"/>
        <v/>
      </c>
      <c r="SW40" s="6" t="str">
        <f t="shared" ref="SW40:VH40" si="1199">IF(OR(SW$41="M1", SW42="M2"),"", "M0")</f>
        <v/>
      </c>
      <c r="SX40" s="6" t="str">
        <f t="shared" si="1199"/>
        <v/>
      </c>
      <c r="SY40" s="6" t="str">
        <f t="shared" si="1199"/>
        <v/>
      </c>
      <c r="SZ40" s="6" t="str">
        <f t="shared" si="1199"/>
        <v/>
      </c>
      <c r="TA40" s="6" t="str">
        <f t="shared" si="1199"/>
        <v/>
      </c>
      <c r="TB40" s="6" t="str">
        <f t="shared" si="1199"/>
        <v/>
      </c>
      <c r="TC40" s="6" t="str">
        <f t="shared" si="1199"/>
        <v/>
      </c>
      <c r="TD40" s="6" t="str">
        <f t="shared" si="1199"/>
        <v/>
      </c>
      <c r="TE40" s="6" t="str">
        <f t="shared" si="1199"/>
        <v/>
      </c>
      <c r="TF40" s="6" t="str">
        <f t="shared" si="1199"/>
        <v/>
      </c>
      <c r="TG40" s="6" t="str">
        <f t="shared" si="1199"/>
        <v>M0</v>
      </c>
      <c r="TH40" s="6" t="str">
        <f t="shared" si="1199"/>
        <v>M0</v>
      </c>
      <c r="TI40" s="6" t="str">
        <f t="shared" si="1199"/>
        <v>M0</v>
      </c>
      <c r="TJ40" s="6" t="str">
        <f t="shared" si="1199"/>
        <v>M0</v>
      </c>
      <c r="TK40" s="6" t="str">
        <f t="shared" si="1199"/>
        <v>M0</v>
      </c>
      <c r="TL40" s="6" t="str">
        <f t="shared" si="1199"/>
        <v>M0</v>
      </c>
      <c r="TM40" s="6" t="str">
        <f t="shared" si="1199"/>
        <v>M0</v>
      </c>
      <c r="TN40" s="6" t="str">
        <f t="shared" si="1199"/>
        <v>M0</v>
      </c>
      <c r="TO40" s="6" t="str">
        <f t="shared" si="1199"/>
        <v>M0</v>
      </c>
      <c r="TP40" s="6" t="str">
        <f t="shared" si="1199"/>
        <v>M0</v>
      </c>
      <c r="TQ40" s="6" t="str">
        <f t="shared" si="1199"/>
        <v>M0</v>
      </c>
      <c r="TR40" s="6" t="str">
        <f t="shared" si="1199"/>
        <v>M0</v>
      </c>
      <c r="TS40" s="6" t="str">
        <f t="shared" si="1199"/>
        <v>M0</v>
      </c>
      <c r="TT40" s="6" t="str">
        <f t="shared" si="1199"/>
        <v>M0</v>
      </c>
      <c r="TU40" s="6" t="str">
        <f t="shared" si="1199"/>
        <v>M0</v>
      </c>
      <c r="TV40" s="6" t="str">
        <f t="shared" si="1199"/>
        <v>M0</v>
      </c>
      <c r="TW40" s="6" t="str">
        <f t="shared" si="1199"/>
        <v>M0</v>
      </c>
      <c r="TX40" s="6" t="str">
        <f t="shared" si="1199"/>
        <v>M0</v>
      </c>
      <c r="TY40" s="6" t="str">
        <f t="shared" si="1199"/>
        <v>M0</v>
      </c>
      <c r="TZ40" s="6" t="str">
        <f t="shared" si="1199"/>
        <v>M0</v>
      </c>
      <c r="UA40" s="6" t="str">
        <f t="shared" si="1199"/>
        <v>M0</v>
      </c>
      <c r="UB40" s="6" t="str">
        <f t="shared" si="1199"/>
        <v>M0</v>
      </c>
      <c r="UC40" s="6" t="str">
        <f t="shared" si="1199"/>
        <v>M0</v>
      </c>
      <c r="UD40" s="6" t="str">
        <f t="shared" si="1199"/>
        <v>M0</v>
      </c>
      <c r="UE40" s="6" t="str">
        <f t="shared" si="1199"/>
        <v>M0</v>
      </c>
      <c r="UF40" s="6" t="str">
        <f t="shared" si="1199"/>
        <v>M0</v>
      </c>
      <c r="UG40" s="6" t="str">
        <f t="shared" si="1199"/>
        <v>M0</v>
      </c>
      <c r="UH40" s="6" t="str">
        <f t="shared" si="1199"/>
        <v>M0</v>
      </c>
      <c r="UI40" s="6" t="str">
        <f t="shared" si="1199"/>
        <v>M0</v>
      </c>
      <c r="UJ40" s="6" t="str">
        <f t="shared" si="1199"/>
        <v>M0</v>
      </c>
      <c r="UK40" s="6" t="str">
        <f t="shared" si="1199"/>
        <v>M0</v>
      </c>
      <c r="UL40" s="6" t="str">
        <f t="shared" si="1199"/>
        <v>M0</v>
      </c>
      <c r="UM40" s="6" t="str">
        <f t="shared" si="1199"/>
        <v>M0</v>
      </c>
      <c r="UN40" s="6" t="str">
        <f t="shared" si="1199"/>
        <v>M0</v>
      </c>
      <c r="UO40" s="6" t="str">
        <f t="shared" si="1199"/>
        <v>M0</v>
      </c>
      <c r="UP40" s="6" t="str">
        <f t="shared" si="1199"/>
        <v>M0</v>
      </c>
      <c r="UQ40" s="6" t="str">
        <f t="shared" si="1199"/>
        <v>M0</v>
      </c>
      <c r="UR40" s="6" t="str">
        <f t="shared" si="1199"/>
        <v>M0</v>
      </c>
      <c r="US40" s="6" t="str">
        <f t="shared" si="1199"/>
        <v>M0</v>
      </c>
      <c r="UT40" s="6" t="str">
        <f t="shared" si="1199"/>
        <v>M0</v>
      </c>
      <c r="UU40" s="6" t="str">
        <f t="shared" si="1199"/>
        <v>M0</v>
      </c>
      <c r="UV40" s="6" t="str">
        <f t="shared" si="1199"/>
        <v>M0</v>
      </c>
      <c r="UW40" s="6" t="str">
        <f t="shared" si="1199"/>
        <v>M0</v>
      </c>
      <c r="UX40" s="6" t="str">
        <f t="shared" si="1199"/>
        <v>M0</v>
      </c>
      <c r="UY40" s="6" t="str">
        <f t="shared" si="1199"/>
        <v>M0</v>
      </c>
      <c r="UZ40" s="6" t="str">
        <f t="shared" si="1199"/>
        <v>M0</v>
      </c>
      <c r="VA40" s="6" t="str">
        <f t="shared" si="1199"/>
        <v>M0</v>
      </c>
      <c r="VB40" s="6" t="str">
        <f t="shared" si="1199"/>
        <v>M0</v>
      </c>
      <c r="VC40" s="6" t="str">
        <f t="shared" si="1199"/>
        <v>M0</v>
      </c>
      <c r="VD40" s="6" t="str">
        <f t="shared" si="1199"/>
        <v>M0</v>
      </c>
      <c r="VE40" s="6" t="str">
        <f t="shared" si="1199"/>
        <v>M0</v>
      </c>
      <c r="VF40" s="6" t="str">
        <f t="shared" si="1199"/>
        <v>M0</v>
      </c>
      <c r="VG40" s="6" t="str">
        <f t="shared" si="1199"/>
        <v>M0</v>
      </c>
      <c r="VH40" s="6" t="str">
        <f t="shared" si="1199"/>
        <v/>
      </c>
      <c r="VI40" s="6" t="str">
        <f t="shared" ref="VI40:XT40" si="1200">IF(OR(VI$41="M1", VI42="M2"),"", "M0")</f>
        <v/>
      </c>
      <c r="VJ40" s="6" t="str">
        <f t="shared" si="1200"/>
        <v/>
      </c>
      <c r="VK40" s="6" t="str">
        <f t="shared" si="1200"/>
        <v/>
      </c>
      <c r="VL40" s="6" t="str">
        <f t="shared" si="1200"/>
        <v/>
      </c>
      <c r="VM40" s="6" t="str">
        <f t="shared" si="1200"/>
        <v/>
      </c>
      <c r="VN40" s="6" t="str">
        <f t="shared" si="1200"/>
        <v/>
      </c>
      <c r="VO40" s="6" t="str">
        <f t="shared" si="1200"/>
        <v/>
      </c>
      <c r="VP40" s="6" t="str">
        <f t="shared" si="1200"/>
        <v/>
      </c>
      <c r="VQ40" s="6" t="str">
        <f t="shared" si="1200"/>
        <v/>
      </c>
      <c r="VR40" s="6" t="str">
        <f t="shared" si="1200"/>
        <v/>
      </c>
      <c r="VS40" s="6" t="str">
        <f t="shared" si="1200"/>
        <v/>
      </c>
      <c r="VT40" s="6" t="str">
        <f t="shared" si="1200"/>
        <v/>
      </c>
      <c r="VU40" s="6" t="str">
        <f t="shared" si="1200"/>
        <v/>
      </c>
      <c r="VV40" s="6" t="str">
        <f t="shared" si="1200"/>
        <v>M0</v>
      </c>
      <c r="VW40" s="6" t="str">
        <f t="shared" si="1200"/>
        <v>M0</v>
      </c>
      <c r="VX40" s="6" t="str">
        <f t="shared" si="1200"/>
        <v>M0</v>
      </c>
      <c r="VY40" s="6" t="str">
        <f t="shared" si="1200"/>
        <v>M0</v>
      </c>
      <c r="VZ40" s="6" t="str">
        <f t="shared" si="1200"/>
        <v>M0</v>
      </c>
      <c r="WA40" s="6" t="str">
        <f t="shared" si="1200"/>
        <v>M0</v>
      </c>
      <c r="WB40" s="6" t="str">
        <f t="shared" si="1200"/>
        <v>M0</v>
      </c>
      <c r="WC40" s="6" t="str">
        <f t="shared" si="1200"/>
        <v>M0</v>
      </c>
      <c r="WD40" s="6" t="str">
        <f t="shared" si="1200"/>
        <v>M0</v>
      </c>
      <c r="WE40" s="6" t="str">
        <f t="shared" si="1200"/>
        <v>M0</v>
      </c>
      <c r="WF40" s="6" t="str">
        <f t="shared" si="1200"/>
        <v>M0</v>
      </c>
      <c r="WG40" s="6" t="str">
        <f t="shared" si="1200"/>
        <v>M0</v>
      </c>
      <c r="WH40" s="6" t="str">
        <f t="shared" si="1200"/>
        <v>M0</v>
      </c>
      <c r="WI40" s="6" t="str">
        <f t="shared" si="1200"/>
        <v>M0</v>
      </c>
      <c r="WJ40" s="6" t="str">
        <f t="shared" si="1200"/>
        <v>M0</v>
      </c>
      <c r="WK40" s="6" t="str">
        <f t="shared" si="1200"/>
        <v>M0</v>
      </c>
      <c r="WL40" s="6" t="str">
        <f t="shared" si="1200"/>
        <v>M0</v>
      </c>
      <c r="WM40" s="6" t="str">
        <f t="shared" si="1200"/>
        <v>M0</v>
      </c>
      <c r="WN40" s="6" t="str">
        <f t="shared" si="1200"/>
        <v>M0</v>
      </c>
      <c r="WO40" s="6" t="str">
        <f t="shared" si="1200"/>
        <v>M0</v>
      </c>
      <c r="WP40" s="6" t="str">
        <f t="shared" si="1200"/>
        <v>M0</v>
      </c>
      <c r="WQ40" s="6" t="str">
        <f t="shared" si="1200"/>
        <v>M0</v>
      </c>
      <c r="WR40" s="6" t="str">
        <f t="shared" si="1200"/>
        <v>M0</v>
      </c>
      <c r="WS40" s="6" t="str">
        <f t="shared" si="1200"/>
        <v>M0</v>
      </c>
      <c r="WT40" s="6" t="str">
        <f t="shared" si="1200"/>
        <v>M0</v>
      </c>
      <c r="WU40" s="6" t="str">
        <f t="shared" si="1200"/>
        <v>M0</v>
      </c>
      <c r="WV40" s="6" t="str">
        <f t="shared" si="1200"/>
        <v>M0</v>
      </c>
      <c r="WW40" s="6" t="str">
        <f t="shared" si="1200"/>
        <v>M0</v>
      </c>
      <c r="WX40" s="6" t="str">
        <f t="shared" si="1200"/>
        <v>M0</v>
      </c>
      <c r="WY40" s="6" t="str">
        <f t="shared" si="1200"/>
        <v>M0</v>
      </c>
      <c r="WZ40" s="6" t="str">
        <f t="shared" si="1200"/>
        <v>M0</v>
      </c>
      <c r="XA40" s="6" t="str">
        <f t="shared" si="1200"/>
        <v>M0</v>
      </c>
      <c r="XB40" s="6" t="str">
        <f t="shared" si="1200"/>
        <v>M0</v>
      </c>
      <c r="XC40" s="6" t="str">
        <f t="shared" si="1200"/>
        <v>M0</v>
      </c>
      <c r="XD40" s="6" t="str">
        <f t="shared" si="1200"/>
        <v>M0</v>
      </c>
      <c r="XE40" s="6" t="str">
        <f t="shared" si="1200"/>
        <v>M0</v>
      </c>
      <c r="XF40" s="6" t="str">
        <f t="shared" si="1200"/>
        <v>M0</v>
      </c>
      <c r="XG40" s="6" t="str">
        <f t="shared" si="1200"/>
        <v>M0</v>
      </c>
      <c r="XH40" s="6" t="str">
        <f t="shared" si="1200"/>
        <v>M0</v>
      </c>
      <c r="XI40" s="6" t="str">
        <f t="shared" si="1200"/>
        <v>M0</v>
      </c>
      <c r="XJ40" s="6" t="str">
        <f t="shared" si="1200"/>
        <v>M0</v>
      </c>
      <c r="XK40" s="6" t="str">
        <f t="shared" si="1200"/>
        <v>M0</v>
      </c>
      <c r="XL40" s="6" t="str">
        <f t="shared" si="1200"/>
        <v>M0</v>
      </c>
      <c r="XM40" s="6" t="str">
        <f t="shared" si="1200"/>
        <v>M0</v>
      </c>
      <c r="XN40" s="6" t="str">
        <f t="shared" si="1200"/>
        <v>M0</v>
      </c>
      <c r="XO40" s="6" t="str">
        <f t="shared" si="1200"/>
        <v>M0</v>
      </c>
      <c r="XP40" s="6" t="str">
        <f t="shared" si="1200"/>
        <v>M0</v>
      </c>
      <c r="XQ40" s="6" t="str">
        <f t="shared" si="1200"/>
        <v>M0</v>
      </c>
      <c r="XR40" s="6" t="str">
        <f t="shared" si="1200"/>
        <v>M0</v>
      </c>
      <c r="XS40" s="6" t="str">
        <f t="shared" si="1200"/>
        <v>M0</v>
      </c>
      <c r="XT40" s="6" t="str">
        <f t="shared" si="1200"/>
        <v>M0</v>
      </c>
      <c r="XU40" s="6" t="str">
        <f t="shared" ref="XU40:AAF40" si="1201">IF(OR(XU$41="M1", XU42="M2"),"", "M0")</f>
        <v>M0</v>
      </c>
      <c r="XV40" s="6" t="str">
        <f t="shared" si="1201"/>
        <v>M0</v>
      </c>
      <c r="XW40" s="6" t="str">
        <f t="shared" si="1201"/>
        <v>M0</v>
      </c>
      <c r="XX40" s="6" t="str">
        <f t="shared" si="1201"/>
        <v>M0</v>
      </c>
      <c r="XY40" s="6" t="str">
        <f t="shared" si="1201"/>
        <v>M0</v>
      </c>
      <c r="XZ40" s="6" t="str">
        <f t="shared" si="1201"/>
        <v>M0</v>
      </c>
      <c r="YA40" s="6" t="str">
        <f t="shared" si="1201"/>
        <v>M0</v>
      </c>
      <c r="YB40" s="6" t="str">
        <f t="shared" si="1201"/>
        <v>M0</v>
      </c>
      <c r="YC40" s="6" t="str">
        <f t="shared" si="1201"/>
        <v>M0</v>
      </c>
      <c r="YD40" s="6" t="str">
        <f t="shared" si="1201"/>
        <v>M0</v>
      </c>
      <c r="YE40" s="6" t="str">
        <f t="shared" si="1201"/>
        <v>M0</v>
      </c>
      <c r="YF40" s="6" t="str">
        <f t="shared" si="1201"/>
        <v>M0</v>
      </c>
      <c r="YG40" s="6" t="str">
        <f t="shared" si="1201"/>
        <v/>
      </c>
      <c r="YH40" s="6" t="str">
        <f t="shared" si="1201"/>
        <v/>
      </c>
      <c r="YI40" s="6" t="str">
        <f t="shared" si="1201"/>
        <v/>
      </c>
      <c r="YJ40" s="6" t="str">
        <f t="shared" si="1201"/>
        <v/>
      </c>
      <c r="YK40" s="6" t="str">
        <f t="shared" si="1201"/>
        <v/>
      </c>
      <c r="YL40" s="6" t="str">
        <f t="shared" si="1201"/>
        <v/>
      </c>
      <c r="YM40" s="6" t="str">
        <f t="shared" si="1201"/>
        <v/>
      </c>
      <c r="YN40" s="6" t="str">
        <f t="shared" si="1201"/>
        <v/>
      </c>
      <c r="YO40" s="6" t="str">
        <f t="shared" si="1201"/>
        <v/>
      </c>
      <c r="YP40" s="6" t="str">
        <f t="shared" si="1201"/>
        <v/>
      </c>
      <c r="YQ40" s="6" t="str">
        <f t="shared" si="1201"/>
        <v/>
      </c>
      <c r="YR40" s="6" t="str">
        <f t="shared" si="1201"/>
        <v/>
      </c>
      <c r="YS40" s="6" t="str">
        <f t="shared" si="1201"/>
        <v/>
      </c>
      <c r="YT40" s="6" t="str">
        <f t="shared" si="1201"/>
        <v/>
      </c>
      <c r="YU40" s="6" t="str">
        <f t="shared" si="1201"/>
        <v>M0</v>
      </c>
      <c r="YV40" s="6" t="str">
        <f t="shared" si="1201"/>
        <v>M0</v>
      </c>
      <c r="YW40" s="6" t="str">
        <f t="shared" si="1201"/>
        <v>M0</v>
      </c>
      <c r="YX40" s="6" t="str">
        <f t="shared" si="1201"/>
        <v>M0</v>
      </c>
      <c r="YY40" s="6" t="str">
        <f t="shared" si="1201"/>
        <v>M0</v>
      </c>
      <c r="YZ40" s="6" t="str">
        <f t="shared" si="1201"/>
        <v>M0</v>
      </c>
      <c r="ZA40" s="6" t="str">
        <f t="shared" si="1201"/>
        <v>M0</v>
      </c>
      <c r="ZB40" s="6" t="str">
        <f t="shared" si="1201"/>
        <v>M0</v>
      </c>
      <c r="ZC40" s="6" t="str">
        <f t="shared" si="1201"/>
        <v>M0</v>
      </c>
      <c r="ZD40" s="6" t="str">
        <f t="shared" si="1201"/>
        <v>M0</v>
      </c>
      <c r="ZE40" s="6" t="str">
        <f t="shared" si="1201"/>
        <v>M0</v>
      </c>
      <c r="ZF40" s="6" t="str">
        <f t="shared" si="1201"/>
        <v>M0</v>
      </c>
      <c r="ZG40" s="6" t="str">
        <f t="shared" si="1201"/>
        <v>M0</v>
      </c>
      <c r="ZH40" s="6" t="str">
        <f t="shared" si="1201"/>
        <v>M0</v>
      </c>
      <c r="ZI40" s="6" t="str">
        <f t="shared" si="1201"/>
        <v>M0</v>
      </c>
      <c r="ZJ40" s="6" t="str">
        <f t="shared" si="1201"/>
        <v>M0</v>
      </c>
      <c r="ZK40" s="6" t="str">
        <f t="shared" si="1201"/>
        <v>M0</v>
      </c>
      <c r="ZL40" s="6" t="str">
        <f t="shared" si="1201"/>
        <v>M0</v>
      </c>
      <c r="ZM40" s="6" t="str">
        <f t="shared" si="1201"/>
        <v>M0</v>
      </c>
      <c r="ZN40" s="6" t="str">
        <f t="shared" si="1201"/>
        <v>M0</v>
      </c>
      <c r="ZO40" s="6" t="str">
        <f t="shared" si="1201"/>
        <v>M0</v>
      </c>
      <c r="ZP40" s="6" t="str">
        <f t="shared" si="1201"/>
        <v>M0</v>
      </c>
      <c r="ZQ40" s="6" t="str">
        <f t="shared" si="1201"/>
        <v>M0</v>
      </c>
      <c r="ZR40" s="6" t="str">
        <f t="shared" si="1201"/>
        <v>M0</v>
      </c>
      <c r="ZS40" s="6" t="str">
        <f t="shared" si="1201"/>
        <v>M0</v>
      </c>
      <c r="ZT40" s="6" t="str">
        <f t="shared" si="1201"/>
        <v>M0</v>
      </c>
      <c r="ZU40" s="6" t="str">
        <f t="shared" si="1201"/>
        <v>M0</v>
      </c>
      <c r="ZV40" s="6" t="str">
        <f t="shared" si="1201"/>
        <v>M0</v>
      </c>
      <c r="ZW40" s="6" t="str">
        <f t="shared" si="1201"/>
        <v>M0</v>
      </c>
      <c r="ZX40" s="6" t="str">
        <f t="shared" si="1201"/>
        <v>M0</v>
      </c>
      <c r="ZY40" s="6" t="str">
        <f t="shared" si="1201"/>
        <v>M0</v>
      </c>
      <c r="ZZ40" s="6" t="str">
        <f t="shared" si="1201"/>
        <v>M0</v>
      </c>
      <c r="AAA40" s="6" t="str">
        <f t="shared" si="1201"/>
        <v>M0</v>
      </c>
      <c r="AAB40" s="6" t="str">
        <f t="shared" si="1201"/>
        <v>M0</v>
      </c>
      <c r="AAC40" s="6" t="str">
        <f t="shared" si="1201"/>
        <v>M0</v>
      </c>
      <c r="AAD40" s="6" t="str">
        <f t="shared" si="1201"/>
        <v>M0</v>
      </c>
      <c r="AAE40" s="6" t="str">
        <f t="shared" si="1201"/>
        <v>M0</v>
      </c>
      <c r="AAF40" s="6" t="str">
        <f t="shared" si="1201"/>
        <v>M0</v>
      </c>
      <c r="AAG40" s="6" t="str">
        <f t="shared" ref="AAG40:ACR40" si="1202">IF(OR(AAG$41="M1", AAG42="M2"),"", "M0")</f>
        <v>M0</v>
      </c>
      <c r="AAH40" s="6" t="str">
        <f t="shared" si="1202"/>
        <v>M0</v>
      </c>
      <c r="AAI40" s="6" t="str">
        <f t="shared" si="1202"/>
        <v>M0</v>
      </c>
      <c r="AAJ40" s="6" t="str">
        <f t="shared" si="1202"/>
        <v>M0</v>
      </c>
      <c r="AAK40" s="6" t="str">
        <f t="shared" si="1202"/>
        <v>M0</v>
      </c>
      <c r="AAL40" s="6" t="str">
        <f t="shared" si="1202"/>
        <v>M0</v>
      </c>
      <c r="AAM40" s="6" t="str">
        <f t="shared" si="1202"/>
        <v>M0</v>
      </c>
      <c r="AAN40" s="6" t="str">
        <f t="shared" si="1202"/>
        <v>M0</v>
      </c>
      <c r="AAO40" s="6" t="str">
        <f t="shared" si="1202"/>
        <v>M0</v>
      </c>
      <c r="AAP40" s="6" t="str">
        <f t="shared" si="1202"/>
        <v>M0</v>
      </c>
      <c r="AAQ40" s="6" t="str">
        <f t="shared" si="1202"/>
        <v>M0</v>
      </c>
      <c r="AAR40" s="6" t="str">
        <f t="shared" si="1202"/>
        <v>M0</v>
      </c>
      <c r="AAS40" s="6" t="str">
        <f t="shared" si="1202"/>
        <v>M0</v>
      </c>
      <c r="AAT40" s="6" t="str">
        <f t="shared" si="1202"/>
        <v>M0</v>
      </c>
      <c r="AAU40" s="6" t="str">
        <f t="shared" si="1202"/>
        <v>M0</v>
      </c>
      <c r="AAV40" s="6" t="str">
        <f t="shared" si="1202"/>
        <v/>
      </c>
      <c r="AAW40" s="6" t="str">
        <f t="shared" si="1202"/>
        <v/>
      </c>
      <c r="AAX40" s="6" t="str">
        <f t="shared" si="1202"/>
        <v/>
      </c>
      <c r="AAY40" s="6" t="str">
        <f t="shared" si="1202"/>
        <v/>
      </c>
      <c r="AAZ40" s="6" t="str">
        <f t="shared" si="1202"/>
        <v/>
      </c>
      <c r="ABA40" s="6" t="str">
        <f t="shared" si="1202"/>
        <v/>
      </c>
      <c r="ABB40" s="6" t="str">
        <f t="shared" si="1202"/>
        <v/>
      </c>
      <c r="ABC40" s="6" t="str">
        <f t="shared" si="1202"/>
        <v/>
      </c>
      <c r="ABD40" s="6" t="str">
        <f t="shared" si="1202"/>
        <v/>
      </c>
      <c r="ABE40" s="6" t="str">
        <f t="shared" si="1202"/>
        <v/>
      </c>
      <c r="ABF40" s="6" t="str">
        <f t="shared" si="1202"/>
        <v/>
      </c>
      <c r="ABG40" s="6" t="str">
        <f t="shared" si="1202"/>
        <v/>
      </c>
      <c r="ABH40" s="6" t="str">
        <f t="shared" si="1202"/>
        <v/>
      </c>
      <c r="ABI40" s="6" t="str">
        <f t="shared" si="1202"/>
        <v/>
      </c>
      <c r="ABJ40" s="6" t="str">
        <f t="shared" si="1202"/>
        <v>M0</v>
      </c>
      <c r="ABK40" s="6" t="str">
        <f t="shared" si="1202"/>
        <v>M0</v>
      </c>
      <c r="ABL40" s="6" t="str">
        <f t="shared" si="1202"/>
        <v>M0</v>
      </c>
      <c r="ABM40" s="6" t="str">
        <f t="shared" si="1202"/>
        <v>M0</v>
      </c>
      <c r="ABN40" s="6" t="str">
        <f t="shared" si="1202"/>
        <v>M0</v>
      </c>
      <c r="ABO40" s="6" t="str">
        <f t="shared" si="1202"/>
        <v>M0</v>
      </c>
      <c r="ABP40" s="6" t="str">
        <f t="shared" si="1202"/>
        <v>M0</v>
      </c>
      <c r="ABQ40" s="6" t="str">
        <f t="shared" si="1202"/>
        <v>M0</v>
      </c>
      <c r="ABR40" s="6" t="str">
        <f t="shared" si="1202"/>
        <v>M0</v>
      </c>
      <c r="ABS40" s="6" t="str">
        <f t="shared" si="1202"/>
        <v>M0</v>
      </c>
      <c r="ABT40" s="6" t="str">
        <f t="shared" si="1202"/>
        <v>M0</v>
      </c>
      <c r="ABU40" s="6" t="str">
        <f t="shared" si="1202"/>
        <v>M0</v>
      </c>
      <c r="ABV40" s="6" t="str">
        <f t="shared" si="1202"/>
        <v>M0</v>
      </c>
      <c r="ABW40" s="6" t="str">
        <f t="shared" si="1202"/>
        <v>M0</v>
      </c>
      <c r="ABX40" s="6" t="str">
        <f t="shared" si="1202"/>
        <v>M0</v>
      </c>
      <c r="ABY40" s="6" t="str">
        <f t="shared" si="1202"/>
        <v>M0</v>
      </c>
      <c r="ABZ40" s="6" t="str">
        <f t="shared" si="1202"/>
        <v>M0</v>
      </c>
      <c r="ACA40" s="6" t="str">
        <f t="shared" si="1202"/>
        <v>M0</v>
      </c>
      <c r="ACB40" s="6" t="str">
        <f t="shared" si="1202"/>
        <v>M0</v>
      </c>
      <c r="ACC40" s="6" t="str">
        <f t="shared" si="1202"/>
        <v>M0</v>
      </c>
      <c r="ACD40" s="6" t="str">
        <f t="shared" si="1202"/>
        <v>M0</v>
      </c>
      <c r="ACE40" s="6" t="str">
        <f t="shared" si="1202"/>
        <v>M0</v>
      </c>
      <c r="ACF40" s="6" t="str">
        <f t="shared" si="1202"/>
        <v>M0</v>
      </c>
      <c r="ACG40" s="6" t="str">
        <f t="shared" si="1202"/>
        <v>M0</v>
      </c>
      <c r="ACH40" s="6" t="str">
        <f t="shared" si="1202"/>
        <v>M0</v>
      </c>
      <c r="ACI40" s="6" t="str">
        <f t="shared" si="1202"/>
        <v>M0</v>
      </c>
      <c r="ACJ40" s="6" t="str">
        <f t="shared" si="1202"/>
        <v>M0</v>
      </c>
      <c r="ACK40" s="6" t="str">
        <f t="shared" si="1202"/>
        <v>M0</v>
      </c>
      <c r="ACL40" s="6" t="str">
        <f t="shared" si="1202"/>
        <v>M0</v>
      </c>
      <c r="ACM40" s="6" t="str">
        <f t="shared" si="1202"/>
        <v>M0</v>
      </c>
      <c r="ACN40" s="6" t="str">
        <f t="shared" si="1202"/>
        <v>M0</v>
      </c>
      <c r="ACO40" s="6" t="str">
        <f t="shared" si="1202"/>
        <v>M0</v>
      </c>
      <c r="ACP40" s="6" t="str">
        <f t="shared" si="1202"/>
        <v>M0</v>
      </c>
      <c r="ACQ40" s="6" t="str">
        <f t="shared" si="1202"/>
        <v>M0</v>
      </c>
      <c r="ACR40" s="6" t="str">
        <f t="shared" si="1202"/>
        <v>M0</v>
      </c>
      <c r="ACS40" s="6" t="str">
        <f t="shared" ref="ACS40:AFD40" si="1203">IF(OR(ACS$41="M1", ACS42="M2"),"", "M0")</f>
        <v>M0</v>
      </c>
      <c r="ACT40" s="6" t="str">
        <f t="shared" si="1203"/>
        <v>M0</v>
      </c>
      <c r="ACU40" s="6" t="str">
        <f t="shared" si="1203"/>
        <v>M0</v>
      </c>
      <c r="ACV40" s="6" t="str">
        <f t="shared" si="1203"/>
        <v>M0</v>
      </c>
      <c r="ACW40" s="6" t="str">
        <f t="shared" si="1203"/>
        <v>M0</v>
      </c>
      <c r="ACX40" s="6" t="str">
        <f t="shared" si="1203"/>
        <v>M0</v>
      </c>
      <c r="ACY40" s="6" t="str">
        <f t="shared" si="1203"/>
        <v>M0</v>
      </c>
      <c r="ACZ40" s="6" t="str">
        <f t="shared" si="1203"/>
        <v>M0</v>
      </c>
      <c r="ADA40" s="6" t="str">
        <f t="shared" si="1203"/>
        <v>M0</v>
      </c>
      <c r="ADB40" s="6" t="str">
        <f t="shared" si="1203"/>
        <v>M0</v>
      </c>
      <c r="ADC40" s="6" t="str">
        <f t="shared" si="1203"/>
        <v>M0</v>
      </c>
      <c r="ADD40" s="6" t="str">
        <f t="shared" si="1203"/>
        <v>M0</v>
      </c>
      <c r="ADE40" s="6" t="str">
        <f t="shared" si="1203"/>
        <v>M0</v>
      </c>
      <c r="ADF40" s="6" t="str">
        <f t="shared" si="1203"/>
        <v>M0</v>
      </c>
      <c r="ADG40" s="6" t="str">
        <f t="shared" si="1203"/>
        <v>M0</v>
      </c>
      <c r="ADH40" s="6" t="str">
        <f t="shared" si="1203"/>
        <v>M0</v>
      </c>
      <c r="ADI40" s="6" t="str">
        <f t="shared" si="1203"/>
        <v>M0</v>
      </c>
      <c r="ADJ40" s="6" t="str">
        <f t="shared" si="1203"/>
        <v>M0</v>
      </c>
      <c r="ADK40" s="6" t="str">
        <f t="shared" si="1203"/>
        <v>M0</v>
      </c>
      <c r="ADL40" s="6" t="str">
        <f t="shared" si="1203"/>
        <v>M0</v>
      </c>
      <c r="ADM40" s="6" t="str">
        <f t="shared" si="1203"/>
        <v>M0</v>
      </c>
      <c r="ADN40" s="6" t="str">
        <f t="shared" si="1203"/>
        <v>M0</v>
      </c>
      <c r="ADO40" s="6" t="str">
        <f t="shared" si="1203"/>
        <v>M0</v>
      </c>
      <c r="ADP40" s="6" t="str">
        <f t="shared" si="1203"/>
        <v>M0</v>
      </c>
      <c r="ADQ40" s="6" t="str">
        <f t="shared" si="1203"/>
        <v>M0</v>
      </c>
      <c r="ADR40" s="6" t="str">
        <f t="shared" si="1203"/>
        <v>M0</v>
      </c>
      <c r="ADS40" s="6" t="str">
        <f t="shared" si="1203"/>
        <v>M0</v>
      </c>
      <c r="ADT40" s="6" t="str">
        <f t="shared" si="1203"/>
        <v>M0</v>
      </c>
      <c r="ADU40" s="6" t="str">
        <f t="shared" si="1203"/>
        <v/>
      </c>
      <c r="ADV40" s="6" t="str">
        <f t="shared" si="1203"/>
        <v/>
      </c>
      <c r="ADW40" s="6" t="str">
        <f t="shared" si="1203"/>
        <v/>
      </c>
      <c r="ADX40" s="6" t="str">
        <f t="shared" si="1203"/>
        <v/>
      </c>
      <c r="ADY40" s="6" t="str">
        <f t="shared" si="1203"/>
        <v/>
      </c>
      <c r="ADZ40" s="6" t="str">
        <f t="shared" si="1203"/>
        <v/>
      </c>
      <c r="AEA40" s="6" t="str">
        <f t="shared" si="1203"/>
        <v/>
      </c>
      <c r="AEB40" s="6" t="str">
        <f t="shared" si="1203"/>
        <v/>
      </c>
      <c r="AEC40" s="6" t="str">
        <f t="shared" si="1203"/>
        <v/>
      </c>
      <c r="AED40" s="6" t="str">
        <f t="shared" si="1203"/>
        <v/>
      </c>
      <c r="AEE40" s="6" t="str">
        <f t="shared" si="1203"/>
        <v/>
      </c>
      <c r="AEF40" s="6" t="str">
        <f t="shared" si="1203"/>
        <v/>
      </c>
      <c r="AEG40" s="6" t="str">
        <f t="shared" si="1203"/>
        <v/>
      </c>
      <c r="AEH40" s="6" t="str">
        <f t="shared" si="1203"/>
        <v/>
      </c>
      <c r="AEI40" s="6" t="str">
        <f t="shared" si="1203"/>
        <v>M0</v>
      </c>
      <c r="AEJ40" s="6" t="str">
        <f t="shared" si="1203"/>
        <v>M0</v>
      </c>
      <c r="AEK40" s="6" t="str">
        <f t="shared" si="1203"/>
        <v>M0</v>
      </c>
      <c r="AEL40" s="6" t="str">
        <f t="shared" si="1203"/>
        <v>M0</v>
      </c>
      <c r="AEM40" s="6" t="str">
        <f t="shared" si="1203"/>
        <v>M0</v>
      </c>
      <c r="AEN40" s="6" t="str">
        <f t="shared" si="1203"/>
        <v>M0</v>
      </c>
      <c r="AEO40" s="6" t="str">
        <f t="shared" si="1203"/>
        <v>M0</v>
      </c>
      <c r="AEP40" s="6" t="str">
        <f t="shared" si="1203"/>
        <v>M0</v>
      </c>
      <c r="AEQ40" s="6" t="str">
        <f t="shared" si="1203"/>
        <v>M0</v>
      </c>
      <c r="AER40" s="6" t="str">
        <f t="shared" si="1203"/>
        <v>M0</v>
      </c>
      <c r="AES40" s="6" t="str">
        <f t="shared" si="1203"/>
        <v>M0</v>
      </c>
      <c r="AET40" s="6" t="str">
        <f t="shared" si="1203"/>
        <v>M0</v>
      </c>
      <c r="AEU40" s="6" t="str">
        <f t="shared" si="1203"/>
        <v>M0</v>
      </c>
      <c r="AEV40" s="6" t="str">
        <f t="shared" si="1203"/>
        <v>M0</v>
      </c>
      <c r="AEW40" s="6" t="str">
        <f t="shared" si="1203"/>
        <v>M0</v>
      </c>
      <c r="AEX40" s="6" t="str">
        <f t="shared" si="1203"/>
        <v>M0</v>
      </c>
      <c r="AEY40" s="6" t="str">
        <f t="shared" si="1203"/>
        <v>M0</v>
      </c>
      <c r="AEZ40" s="6" t="str">
        <f t="shared" si="1203"/>
        <v>M0</v>
      </c>
      <c r="AFA40" s="6" t="str">
        <f t="shared" si="1203"/>
        <v>M0</v>
      </c>
      <c r="AFB40" s="6" t="str">
        <f t="shared" si="1203"/>
        <v>M0</v>
      </c>
      <c r="AFC40" s="6" t="str">
        <f t="shared" si="1203"/>
        <v>M0</v>
      </c>
      <c r="AFD40" s="6" t="str">
        <f t="shared" si="1203"/>
        <v>M0</v>
      </c>
      <c r="AFE40" s="6" t="str">
        <f t="shared" ref="AFE40:AHP40" si="1204">IF(OR(AFE$41="M1", AFE42="M2"),"", "M0")</f>
        <v>M0</v>
      </c>
      <c r="AFF40" s="6" t="str">
        <f t="shared" si="1204"/>
        <v>M0</v>
      </c>
      <c r="AFG40" s="6" t="str">
        <f t="shared" si="1204"/>
        <v>M0</v>
      </c>
      <c r="AFH40" s="6" t="str">
        <f t="shared" si="1204"/>
        <v>M0</v>
      </c>
      <c r="AFI40" s="6" t="str">
        <f t="shared" si="1204"/>
        <v>M0</v>
      </c>
      <c r="AFJ40" s="6" t="str">
        <f t="shared" si="1204"/>
        <v>M0</v>
      </c>
      <c r="AFK40" s="6" t="str">
        <f t="shared" si="1204"/>
        <v>M0</v>
      </c>
      <c r="AFL40" s="6" t="str">
        <f t="shared" si="1204"/>
        <v>M0</v>
      </c>
      <c r="AFM40" s="6" t="str">
        <f t="shared" si="1204"/>
        <v>M0</v>
      </c>
      <c r="AFN40" s="6" t="str">
        <f t="shared" si="1204"/>
        <v>M0</v>
      </c>
      <c r="AFO40" s="6" t="str">
        <f t="shared" si="1204"/>
        <v>M0</v>
      </c>
      <c r="AFP40" s="6" t="str">
        <f t="shared" si="1204"/>
        <v>M0</v>
      </c>
      <c r="AFQ40" s="6" t="str">
        <f t="shared" si="1204"/>
        <v>M0</v>
      </c>
      <c r="AFR40" s="6" t="str">
        <f t="shared" si="1204"/>
        <v>M0</v>
      </c>
      <c r="AFS40" s="6" t="str">
        <f t="shared" si="1204"/>
        <v>M0</v>
      </c>
      <c r="AFT40" s="6" t="str">
        <f t="shared" si="1204"/>
        <v>M0</v>
      </c>
      <c r="AFU40" s="6" t="str">
        <f t="shared" si="1204"/>
        <v>M0</v>
      </c>
      <c r="AFV40" s="6" t="str">
        <f t="shared" si="1204"/>
        <v>M0</v>
      </c>
      <c r="AFW40" s="6" t="str">
        <f t="shared" si="1204"/>
        <v>M0</v>
      </c>
      <c r="AFX40" s="6" t="str">
        <f t="shared" si="1204"/>
        <v>M0</v>
      </c>
      <c r="AFY40" s="6" t="str">
        <f t="shared" si="1204"/>
        <v>M0</v>
      </c>
      <c r="AFZ40" s="6" t="str">
        <f t="shared" si="1204"/>
        <v>M0</v>
      </c>
      <c r="AGA40" s="6" t="str">
        <f t="shared" si="1204"/>
        <v>M0</v>
      </c>
      <c r="AGB40" s="6" t="str">
        <f t="shared" si="1204"/>
        <v>M0</v>
      </c>
      <c r="AGC40" s="6" t="str">
        <f t="shared" si="1204"/>
        <v>M0</v>
      </c>
      <c r="AGD40" s="6" t="str">
        <f t="shared" si="1204"/>
        <v>M0</v>
      </c>
      <c r="AGE40" s="6" t="str">
        <f t="shared" si="1204"/>
        <v>M0</v>
      </c>
      <c r="AGF40" s="6" t="str">
        <f t="shared" si="1204"/>
        <v>M0</v>
      </c>
      <c r="AGG40" s="6" t="str">
        <f t="shared" si="1204"/>
        <v>M0</v>
      </c>
      <c r="AGH40" s="6" t="str">
        <f t="shared" si="1204"/>
        <v>M0</v>
      </c>
      <c r="AGI40" s="6" t="str">
        <f t="shared" si="1204"/>
        <v>M0</v>
      </c>
      <c r="AGJ40" s="6" t="str">
        <f t="shared" si="1204"/>
        <v/>
      </c>
      <c r="AGK40" s="6" t="str">
        <f t="shared" si="1204"/>
        <v/>
      </c>
      <c r="AGL40" s="6" t="str">
        <f t="shared" si="1204"/>
        <v/>
      </c>
      <c r="AGM40" s="6" t="str">
        <f t="shared" si="1204"/>
        <v/>
      </c>
      <c r="AGN40" s="6" t="str">
        <f t="shared" si="1204"/>
        <v/>
      </c>
      <c r="AGO40" s="6" t="str">
        <f t="shared" si="1204"/>
        <v/>
      </c>
      <c r="AGP40" s="6" t="str">
        <f t="shared" si="1204"/>
        <v/>
      </c>
      <c r="AGQ40" s="6" t="str">
        <f t="shared" si="1204"/>
        <v/>
      </c>
      <c r="AGR40" s="6" t="str">
        <f t="shared" si="1204"/>
        <v/>
      </c>
      <c r="AGS40" s="6" t="str">
        <f t="shared" si="1204"/>
        <v/>
      </c>
      <c r="AGT40" s="6" t="str">
        <f t="shared" si="1204"/>
        <v/>
      </c>
      <c r="AGU40" s="6" t="str">
        <f t="shared" si="1204"/>
        <v/>
      </c>
      <c r="AGV40" s="6" t="str">
        <f t="shared" si="1204"/>
        <v/>
      </c>
      <c r="AGW40" s="6" t="str">
        <f t="shared" si="1204"/>
        <v/>
      </c>
      <c r="AGX40" s="6" t="str">
        <f t="shared" si="1204"/>
        <v>M0</v>
      </c>
      <c r="AGY40" s="6" t="str">
        <f t="shared" si="1204"/>
        <v>M0</v>
      </c>
      <c r="AGZ40" s="6" t="str">
        <f t="shared" si="1204"/>
        <v>M0</v>
      </c>
      <c r="AHA40" s="6" t="str">
        <f t="shared" si="1204"/>
        <v>M0</v>
      </c>
      <c r="AHB40" s="6" t="str">
        <f t="shared" si="1204"/>
        <v>M0</v>
      </c>
      <c r="AHC40" s="6" t="str">
        <f t="shared" si="1204"/>
        <v>M0</v>
      </c>
      <c r="AHD40" s="6" t="str">
        <f t="shared" si="1204"/>
        <v>M0</v>
      </c>
      <c r="AHE40" s="6" t="str">
        <f t="shared" si="1204"/>
        <v>M0</v>
      </c>
      <c r="AHF40" s="6" t="str">
        <f t="shared" si="1204"/>
        <v>M0</v>
      </c>
      <c r="AHG40" s="6" t="str">
        <f t="shared" si="1204"/>
        <v>M0</v>
      </c>
      <c r="AHH40" s="6" t="str">
        <f t="shared" si="1204"/>
        <v>M0</v>
      </c>
      <c r="AHI40" s="6" t="str">
        <f t="shared" si="1204"/>
        <v>M0</v>
      </c>
      <c r="AHJ40" s="6" t="str">
        <f t="shared" si="1204"/>
        <v>M0</v>
      </c>
      <c r="AHK40" s="6" t="str">
        <f t="shared" si="1204"/>
        <v>M0</v>
      </c>
      <c r="AHL40" s="6" t="str">
        <f t="shared" si="1204"/>
        <v>M0</v>
      </c>
      <c r="AHM40" s="6" t="str">
        <f t="shared" si="1204"/>
        <v>M0</v>
      </c>
      <c r="AHN40" s="6" t="str">
        <f t="shared" si="1204"/>
        <v>M0</v>
      </c>
      <c r="AHO40" s="6" t="str">
        <f t="shared" si="1204"/>
        <v>M0</v>
      </c>
      <c r="AHP40" s="6" t="str">
        <f t="shared" si="1204"/>
        <v>M0</v>
      </c>
      <c r="AHQ40" s="6" t="str">
        <f t="shared" ref="AHQ40:AKB40" si="1205">IF(OR(AHQ$41="M1", AHQ42="M2"),"", "M0")</f>
        <v>M0</v>
      </c>
      <c r="AHR40" s="6" t="str">
        <f t="shared" si="1205"/>
        <v>M0</v>
      </c>
      <c r="AHS40" s="6" t="str">
        <f t="shared" si="1205"/>
        <v>M0</v>
      </c>
      <c r="AHT40" s="6" t="str">
        <f t="shared" si="1205"/>
        <v>M0</v>
      </c>
      <c r="AHU40" s="6" t="str">
        <f t="shared" si="1205"/>
        <v>M0</v>
      </c>
      <c r="AHV40" s="6" t="str">
        <f t="shared" si="1205"/>
        <v>M0</v>
      </c>
      <c r="AHW40" s="6" t="str">
        <f t="shared" si="1205"/>
        <v>M0</v>
      </c>
      <c r="AHX40" s="6" t="str">
        <f t="shared" si="1205"/>
        <v>M0</v>
      </c>
      <c r="AHY40" s="6" t="str">
        <f t="shared" si="1205"/>
        <v>M0</v>
      </c>
      <c r="AHZ40" s="6" t="str">
        <f t="shared" si="1205"/>
        <v>M0</v>
      </c>
      <c r="AIA40" s="6" t="str">
        <f t="shared" si="1205"/>
        <v>M0</v>
      </c>
      <c r="AIB40" s="6" t="str">
        <f t="shared" si="1205"/>
        <v>M0</v>
      </c>
      <c r="AIC40" s="6" t="str">
        <f t="shared" si="1205"/>
        <v>M0</v>
      </c>
      <c r="AID40" s="6" t="str">
        <f t="shared" si="1205"/>
        <v>M0</v>
      </c>
      <c r="AIE40" s="6" t="str">
        <f t="shared" si="1205"/>
        <v>M0</v>
      </c>
      <c r="AIF40" s="6" t="str">
        <f t="shared" si="1205"/>
        <v>M0</v>
      </c>
      <c r="AIG40" s="6" t="str">
        <f t="shared" si="1205"/>
        <v>M0</v>
      </c>
      <c r="AIH40" s="6" t="str">
        <f t="shared" si="1205"/>
        <v>M0</v>
      </c>
      <c r="AII40" s="6" t="str">
        <f t="shared" si="1205"/>
        <v>M0</v>
      </c>
      <c r="AIJ40" s="6" t="str">
        <f t="shared" si="1205"/>
        <v>M0</v>
      </c>
      <c r="AIK40" s="6" t="str">
        <f t="shared" si="1205"/>
        <v>M0</v>
      </c>
      <c r="AIL40" s="6" t="str">
        <f t="shared" si="1205"/>
        <v>M0</v>
      </c>
      <c r="AIM40" s="6" t="str">
        <f t="shared" si="1205"/>
        <v>M0</v>
      </c>
      <c r="AIN40" s="6" t="str">
        <f t="shared" si="1205"/>
        <v>M0</v>
      </c>
      <c r="AIO40" s="6" t="str">
        <f t="shared" si="1205"/>
        <v>M0</v>
      </c>
      <c r="AIP40" s="6" t="str">
        <f t="shared" si="1205"/>
        <v>M0</v>
      </c>
      <c r="AIQ40" s="6" t="str">
        <f t="shared" si="1205"/>
        <v>M0</v>
      </c>
      <c r="AIR40" s="6" t="str">
        <f t="shared" si="1205"/>
        <v>M0</v>
      </c>
      <c r="AIS40" s="6" t="str">
        <f t="shared" si="1205"/>
        <v>M0</v>
      </c>
      <c r="AIT40" s="6" t="str">
        <f t="shared" si="1205"/>
        <v>M0</v>
      </c>
      <c r="AIU40" s="6" t="str">
        <f t="shared" si="1205"/>
        <v>M0</v>
      </c>
      <c r="AIV40" s="6" t="str">
        <f t="shared" si="1205"/>
        <v>M0</v>
      </c>
      <c r="AIW40" s="6" t="str">
        <f t="shared" si="1205"/>
        <v>M0</v>
      </c>
      <c r="AIX40" s="6" t="str">
        <f t="shared" si="1205"/>
        <v>M0</v>
      </c>
      <c r="AIY40" s="6" t="str">
        <f t="shared" si="1205"/>
        <v>M0</v>
      </c>
      <c r="AIZ40" s="6" t="str">
        <f t="shared" si="1205"/>
        <v>M0</v>
      </c>
      <c r="AJA40" s="6" t="str">
        <f t="shared" si="1205"/>
        <v>M0</v>
      </c>
      <c r="AJB40" s="6" t="str">
        <f t="shared" si="1205"/>
        <v>M0</v>
      </c>
      <c r="AJC40" s="6" t="str">
        <f t="shared" si="1205"/>
        <v>M0</v>
      </c>
      <c r="AJD40" s="6" t="str">
        <f t="shared" si="1205"/>
        <v>M0</v>
      </c>
      <c r="AJE40" s="6" t="str">
        <f t="shared" si="1205"/>
        <v>M0</v>
      </c>
      <c r="AJF40" s="6" t="str">
        <f t="shared" si="1205"/>
        <v>M0</v>
      </c>
      <c r="AJG40" s="6" t="str">
        <f t="shared" si="1205"/>
        <v>M0</v>
      </c>
      <c r="AJH40" s="6" t="str">
        <f t="shared" si="1205"/>
        <v>M0</v>
      </c>
      <c r="AJI40" s="6" t="str">
        <f t="shared" si="1205"/>
        <v/>
      </c>
      <c r="AJJ40" s="6" t="str">
        <f t="shared" si="1205"/>
        <v/>
      </c>
      <c r="AJK40" s="6" t="str">
        <f t="shared" si="1205"/>
        <v/>
      </c>
      <c r="AJL40" s="6" t="str">
        <f t="shared" si="1205"/>
        <v/>
      </c>
      <c r="AJM40" s="6" t="str">
        <f t="shared" si="1205"/>
        <v/>
      </c>
      <c r="AJN40" s="6" t="str">
        <f t="shared" si="1205"/>
        <v/>
      </c>
      <c r="AJO40" s="6" t="str">
        <f t="shared" si="1205"/>
        <v/>
      </c>
      <c r="AJP40" s="6" t="str">
        <f t="shared" si="1205"/>
        <v/>
      </c>
      <c r="AJQ40" s="6" t="str">
        <f t="shared" si="1205"/>
        <v/>
      </c>
      <c r="AJR40" s="6" t="str">
        <f t="shared" si="1205"/>
        <v/>
      </c>
      <c r="AJS40" s="6" t="str">
        <f t="shared" si="1205"/>
        <v/>
      </c>
      <c r="AJT40" s="6" t="str">
        <f t="shared" si="1205"/>
        <v/>
      </c>
      <c r="AJU40" s="6" t="str">
        <f t="shared" si="1205"/>
        <v/>
      </c>
      <c r="AJV40" s="6" t="str">
        <f t="shared" si="1205"/>
        <v/>
      </c>
      <c r="AJW40" s="6" t="str">
        <f t="shared" si="1205"/>
        <v>M0</v>
      </c>
      <c r="AJX40" s="6" t="str">
        <f t="shared" si="1205"/>
        <v>M0</v>
      </c>
      <c r="AJY40" s="6" t="str">
        <f t="shared" si="1205"/>
        <v>M0</v>
      </c>
      <c r="AJZ40" s="6" t="str">
        <f t="shared" si="1205"/>
        <v>M0</v>
      </c>
      <c r="AKA40" s="6" t="str">
        <f t="shared" si="1205"/>
        <v>M0</v>
      </c>
      <c r="AKB40" s="6" t="str">
        <f t="shared" si="1205"/>
        <v>M0</v>
      </c>
      <c r="AKC40" s="6" t="str">
        <f t="shared" ref="AKC40:ALW40" si="1206">IF(OR(AKC$41="M1", AKC42="M2"),"", "M0")</f>
        <v>M0</v>
      </c>
      <c r="AKD40" s="6" t="str">
        <f t="shared" si="1206"/>
        <v>M0</v>
      </c>
      <c r="AKE40" s="6" t="str">
        <f t="shared" si="1206"/>
        <v>M0</v>
      </c>
      <c r="AKF40" s="6" t="str">
        <f t="shared" si="1206"/>
        <v>M0</v>
      </c>
      <c r="AKG40" s="6" t="str">
        <f t="shared" si="1206"/>
        <v>M0</v>
      </c>
      <c r="AKH40" s="6" t="str">
        <f t="shared" si="1206"/>
        <v>M0</v>
      </c>
      <c r="AKI40" s="6" t="str">
        <f t="shared" si="1206"/>
        <v>M0</v>
      </c>
      <c r="AKJ40" s="6" t="str">
        <f t="shared" si="1206"/>
        <v>M0</v>
      </c>
      <c r="AKK40" s="6" t="str">
        <f t="shared" si="1206"/>
        <v>M0</v>
      </c>
      <c r="AKL40" s="6" t="str">
        <f t="shared" si="1206"/>
        <v>M0</v>
      </c>
      <c r="AKM40" s="6" t="str">
        <f t="shared" si="1206"/>
        <v>M0</v>
      </c>
      <c r="AKN40" s="6" t="str">
        <f t="shared" si="1206"/>
        <v>M0</v>
      </c>
      <c r="AKO40" s="6" t="str">
        <f t="shared" si="1206"/>
        <v>M0</v>
      </c>
      <c r="AKP40" s="6" t="str">
        <f t="shared" si="1206"/>
        <v>M0</v>
      </c>
      <c r="AKQ40" s="6" t="str">
        <f t="shared" si="1206"/>
        <v>M0</v>
      </c>
      <c r="AKR40" s="6" t="str">
        <f t="shared" si="1206"/>
        <v>M0</v>
      </c>
      <c r="AKS40" s="6" t="str">
        <f t="shared" si="1206"/>
        <v>M0</v>
      </c>
      <c r="AKT40" s="6" t="str">
        <f t="shared" si="1206"/>
        <v>M0</v>
      </c>
      <c r="AKU40" s="6" t="str">
        <f t="shared" si="1206"/>
        <v>M0</v>
      </c>
      <c r="AKV40" s="6" t="str">
        <f t="shared" si="1206"/>
        <v>M0</v>
      </c>
      <c r="AKW40" s="6" t="str">
        <f t="shared" si="1206"/>
        <v>M0</v>
      </c>
      <c r="AKX40" s="6" t="str">
        <f t="shared" si="1206"/>
        <v>M0</v>
      </c>
      <c r="AKY40" s="6" t="str">
        <f t="shared" si="1206"/>
        <v>M0</v>
      </c>
      <c r="AKZ40" s="6" t="str">
        <f t="shared" si="1206"/>
        <v>M0</v>
      </c>
      <c r="ALA40" s="6" t="str">
        <f t="shared" si="1206"/>
        <v>M0</v>
      </c>
      <c r="ALB40" s="6" t="str">
        <f t="shared" si="1206"/>
        <v>M0</v>
      </c>
      <c r="ALC40" s="6" t="str">
        <f t="shared" si="1206"/>
        <v>M0</v>
      </c>
      <c r="ALD40" s="6" t="str">
        <f t="shared" si="1206"/>
        <v>M0</v>
      </c>
      <c r="ALE40" s="6" t="str">
        <f t="shared" si="1206"/>
        <v>M0</v>
      </c>
      <c r="ALF40" s="6" t="str">
        <f t="shared" si="1206"/>
        <v>M0</v>
      </c>
      <c r="ALG40" s="6" t="str">
        <f t="shared" si="1206"/>
        <v>M0</v>
      </c>
      <c r="ALH40" s="6" t="str">
        <f t="shared" si="1206"/>
        <v>M0</v>
      </c>
      <c r="ALI40" s="6" t="str">
        <f t="shared" si="1206"/>
        <v>M0</v>
      </c>
      <c r="ALJ40" s="6" t="str">
        <f t="shared" si="1206"/>
        <v>M0</v>
      </c>
      <c r="ALK40" s="6" t="str">
        <f t="shared" si="1206"/>
        <v>M0</v>
      </c>
      <c r="ALL40" s="6" t="str">
        <f t="shared" si="1206"/>
        <v>M0</v>
      </c>
      <c r="ALM40" s="6" t="str">
        <f t="shared" si="1206"/>
        <v>M0</v>
      </c>
      <c r="ALN40" s="6" t="str">
        <f t="shared" si="1206"/>
        <v>M0</v>
      </c>
      <c r="ALO40" s="6" t="str">
        <f t="shared" si="1206"/>
        <v>M0</v>
      </c>
      <c r="ALP40" s="6" t="str">
        <f t="shared" si="1206"/>
        <v>M0</v>
      </c>
      <c r="ALQ40" s="6" t="str">
        <f t="shared" si="1206"/>
        <v>M0</v>
      </c>
      <c r="ALR40" s="6" t="str">
        <f t="shared" si="1206"/>
        <v>M0</v>
      </c>
      <c r="ALS40" s="6" t="str">
        <f t="shared" si="1206"/>
        <v>M0</v>
      </c>
      <c r="ALT40" s="6" t="str">
        <f t="shared" si="1206"/>
        <v>M0</v>
      </c>
      <c r="ALU40" s="6" t="str">
        <f t="shared" si="1206"/>
        <v>M0</v>
      </c>
      <c r="ALV40" s="6" t="str">
        <f t="shared" si="1206"/>
        <v>M0</v>
      </c>
      <c r="ALW40" s="6" t="str">
        <f t="shared" si="1206"/>
        <v>M0</v>
      </c>
    </row>
    <row r="41" spans="2:1011" outlineLevel="1" x14ac:dyDescent="0.25">
      <c r="C41" s="5" t="s">
        <v>4</v>
      </c>
      <c r="D41" s="6" t="str">
        <f t="shared" ref="D41:BP43" si="1207">IF(D$44="M0","M0", IF(D$45="M1","M1", IF(D$46="M2","M2", "!")))</f>
        <v>M1</v>
      </c>
      <c r="E41" s="6" t="str">
        <f t="shared" si="1207"/>
        <v>M1</v>
      </c>
      <c r="F41" s="6" t="str">
        <f t="shared" si="1207"/>
        <v>M1</v>
      </c>
      <c r="G41" s="6" t="str">
        <f t="shared" si="1207"/>
        <v>M1</v>
      </c>
      <c r="H41" s="6"/>
      <c r="I41" s="6"/>
      <c r="J41" s="6"/>
      <c r="K41" s="6" t="str">
        <f t="shared" si="1207"/>
        <v>M1</v>
      </c>
      <c r="L41" s="6" t="str">
        <f t="shared" si="1207"/>
        <v>M1</v>
      </c>
      <c r="M41" s="6" t="str">
        <f t="shared" si="1207"/>
        <v>M1</v>
      </c>
      <c r="N41" s="6" t="str">
        <f t="shared" si="1207"/>
        <v>M1</v>
      </c>
      <c r="O41" s="6" t="str">
        <f t="shared" si="1207"/>
        <v>M1</v>
      </c>
      <c r="P41" s="6" t="str">
        <f t="shared" si="1207"/>
        <v>M1</v>
      </c>
      <c r="Q41" s="6" t="str">
        <f t="shared" si="1207"/>
        <v>M1</v>
      </c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 t="s">
        <v>4</v>
      </c>
      <c r="CD41" s="6" t="s">
        <v>4</v>
      </c>
      <c r="CE41" s="6" t="s">
        <v>4</v>
      </c>
      <c r="CF41" s="6" t="s">
        <v>4</v>
      </c>
      <c r="CG41" s="6" t="s">
        <v>4</v>
      </c>
      <c r="CH41" s="6"/>
      <c r="CI41" s="6"/>
      <c r="CJ41" s="6"/>
      <c r="CK41" s="6" t="s">
        <v>4</v>
      </c>
      <c r="CL41" s="6" t="s">
        <v>4</v>
      </c>
      <c r="CM41" s="6" t="s">
        <v>4</v>
      </c>
      <c r="CN41" s="6" t="s">
        <v>4</v>
      </c>
      <c r="CO41" s="6" t="s">
        <v>4</v>
      </c>
      <c r="CP41" s="6" t="s">
        <v>4</v>
      </c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IB41" s="6"/>
      <c r="IC41" s="6"/>
      <c r="ID41" s="6"/>
      <c r="IE41" s="6"/>
      <c r="IF41" s="6"/>
      <c r="IG41" s="6"/>
      <c r="IH41" s="6"/>
      <c r="II41" s="6"/>
      <c r="IJ41" s="6"/>
      <c r="IK41" s="6"/>
      <c r="IL41" s="6"/>
      <c r="IM41" s="6"/>
      <c r="IN41" s="6"/>
      <c r="IO41" s="6"/>
      <c r="IP41" s="6"/>
      <c r="IQ41" s="6"/>
      <c r="IR41" s="6"/>
      <c r="IS41" s="6"/>
      <c r="IT41" s="6"/>
      <c r="IU41" s="6"/>
      <c r="IV41" s="6"/>
      <c r="IW41" s="6"/>
      <c r="IX41" s="6"/>
      <c r="IY41" s="6"/>
      <c r="IZ41" s="6"/>
      <c r="JA41" s="6"/>
      <c r="JB41" s="6"/>
      <c r="JC41" s="6"/>
      <c r="JD41" s="6"/>
      <c r="JE41" s="6"/>
      <c r="JF41" s="6"/>
      <c r="JG41" s="6"/>
      <c r="JH41" s="6"/>
      <c r="JI41" s="6"/>
      <c r="JJ41" s="6"/>
      <c r="JK41" s="6"/>
      <c r="JL41" s="6"/>
      <c r="JM41" s="6"/>
      <c r="JN41" s="6"/>
      <c r="JO41" s="6"/>
      <c r="JP41" s="6"/>
      <c r="JQ41" s="6"/>
      <c r="JR41" s="6"/>
      <c r="JS41" s="6"/>
      <c r="JT41" s="6"/>
      <c r="JU41" s="6"/>
      <c r="JV41" s="6"/>
      <c r="JW41" s="6"/>
      <c r="JX41" s="6"/>
      <c r="JY41" s="6"/>
      <c r="JZ41" s="6"/>
      <c r="KA41" s="6"/>
      <c r="KB41" s="6"/>
      <c r="KC41" s="6"/>
      <c r="KD41" s="6"/>
      <c r="KE41" s="6"/>
      <c r="KF41" s="6" t="str">
        <f t="shared" ref="KF41:MR42" si="1208">IF(KF$44="M0","M0", IF(KF$45="M1","M1", IF(KF$46="M2","M2", "!")))</f>
        <v>M1</v>
      </c>
      <c r="KG41" s="6" t="str">
        <f t="shared" si="1208"/>
        <v>M1</v>
      </c>
      <c r="KH41" s="6" t="str">
        <f t="shared" si="1208"/>
        <v>M1</v>
      </c>
      <c r="KI41" s="6" t="str">
        <f t="shared" si="1208"/>
        <v>M1</v>
      </c>
      <c r="KJ41" s="6"/>
      <c r="KK41" s="6"/>
      <c r="KL41" s="6"/>
      <c r="KM41" s="6" t="str">
        <f t="shared" si="1208"/>
        <v>M1</v>
      </c>
      <c r="KN41" s="6" t="str">
        <f t="shared" si="1208"/>
        <v>M1</v>
      </c>
      <c r="KO41" s="6" t="str">
        <f t="shared" si="1208"/>
        <v>M1</v>
      </c>
      <c r="KP41" s="6" t="str">
        <f t="shared" si="1208"/>
        <v>M1</v>
      </c>
      <c r="KQ41" s="6" t="str">
        <f t="shared" si="1208"/>
        <v>M1</v>
      </c>
      <c r="KR41" s="6" t="str">
        <f t="shared" si="1208"/>
        <v>M1</v>
      </c>
      <c r="KS41" s="6" t="str">
        <f t="shared" si="1208"/>
        <v>M1</v>
      </c>
      <c r="KT41" s="6"/>
      <c r="KU41" s="6"/>
      <c r="KV41" s="6"/>
      <c r="KW41" s="6"/>
      <c r="KX41" s="6"/>
      <c r="KY41" s="6"/>
      <c r="KZ41" s="6"/>
      <c r="LA41" s="6"/>
      <c r="LB41" s="6"/>
      <c r="LC41" s="6"/>
      <c r="LD41" s="6"/>
      <c r="LE41" s="6"/>
      <c r="LF41" s="6"/>
      <c r="LG41" s="6"/>
      <c r="LH41" s="6"/>
      <c r="LI41" s="6"/>
      <c r="LJ41" s="6"/>
      <c r="LK41" s="6"/>
      <c r="LL41" s="6"/>
      <c r="LM41" s="6"/>
      <c r="LN41" s="6"/>
      <c r="LO41" s="6"/>
      <c r="LP41" s="6"/>
      <c r="LQ41" s="6"/>
      <c r="LR41" s="6"/>
      <c r="LS41" s="6"/>
      <c r="LT41" s="6"/>
      <c r="LU41" s="6"/>
      <c r="LV41" s="6"/>
      <c r="LW41" s="6"/>
      <c r="LX41" s="6"/>
      <c r="LY41" s="6"/>
      <c r="LZ41" s="6"/>
      <c r="MA41" s="6"/>
      <c r="MB41" s="6"/>
      <c r="MC41" s="6"/>
      <c r="MD41" s="6"/>
      <c r="ME41" s="6"/>
      <c r="MF41" s="6"/>
      <c r="MG41" s="6"/>
      <c r="MH41" s="6"/>
      <c r="MI41" s="6"/>
      <c r="MJ41" s="6"/>
      <c r="MK41" s="6"/>
      <c r="ML41" s="6"/>
      <c r="MM41" s="6"/>
      <c r="MN41" s="6"/>
      <c r="MO41" s="6"/>
      <c r="MP41" s="6"/>
      <c r="MQ41" s="6"/>
      <c r="MR41" s="6"/>
      <c r="MS41" s="6"/>
      <c r="MT41" s="6"/>
      <c r="MU41" s="6"/>
      <c r="MV41" s="6"/>
      <c r="MW41" s="6"/>
      <c r="MX41" s="6"/>
      <c r="MY41" s="6"/>
      <c r="MZ41" s="6"/>
      <c r="NA41" s="6"/>
      <c r="NB41" s="6"/>
      <c r="NC41" s="6"/>
      <c r="ND41" s="6"/>
      <c r="NE41" s="6" t="s">
        <v>4</v>
      </c>
      <c r="NF41" s="6" t="s">
        <v>4</v>
      </c>
      <c r="NG41" s="6" t="s">
        <v>4</v>
      </c>
      <c r="NH41" s="6" t="s">
        <v>4</v>
      </c>
      <c r="NI41" s="6" t="s">
        <v>4</v>
      </c>
      <c r="NJ41" s="6"/>
      <c r="NK41" s="6"/>
      <c r="NL41" s="6"/>
      <c r="NM41" s="6" t="s">
        <v>4</v>
      </c>
      <c r="NN41" s="6" t="s">
        <v>4</v>
      </c>
      <c r="NO41" s="6" t="s">
        <v>4</v>
      </c>
      <c r="NP41" s="6" t="s">
        <v>4</v>
      </c>
      <c r="NQ41" s="6" t="s">
        <v>4</v>
      </c>
      <c r="NR41" s="6" t="s">
        <v>4</v>
      </c>
      <c r="NS41" s="6"/>
      <c r="NT41" s="6"/>
      <c r="NU41" s="6"/>
      <c r="NV41" s="6"/>
      <c r="NW41" s="6"/>
      <c r="NX41" s="6"/>
      <c r="NY41" s="6"/>
      <c r="NZ41" s="6"/>
      <c r="OA41" s="6"/>
      <c r="OB41" s="6"/>
      <c r="OC41" s="6"/>
      <c r="OD41" s="6"/>
      <c r="OE41" s="6"/>
      <c r="OF41" s="6"/>
      <c r="OG41" s="6"/>
      <c r="OH41" s="6"/>
      <c r="OI41" s="6"/>
      <c r="OJ41" s="6"/>
      <c r="OK41" s="6"/>
      <c r="OL41" s="6"/>
      <c r="OM41" s="6"/>
      <c r="ON41" s="6"/>
      <c r="OO41" s="6"/>
      <c r="OP41" s="6"/>
      <c r="OQ41" s="6"/>
      <c r="OR41" s="6"/>
      <c r="OS41" s="6"/>
      <c r="OT41" s="6"/>
      <c r="OU41" s="6"/>
      <c r="OV41" s="6"/>
      <c r="OW41" s="6"/>
      <c r="OX41" s="6"/>
      <c r="OY41" s="6"/>
      <c r="OZ41" s="6"/>
      <c r="PA41" s="6"/>
      <c r="PB41" s="6"/>
      <c r="PC41" s="6"/>
      <c r="PD41" s="6"/>
      <c r="PE41" s="6"/>
      <c r="PF41" s="6"/>
      <c r="PG41" s="6"/>
      <c r="PH41" s="6"/>
      <c r="PI41" s="6"/>
      <c r="PJ41" s="6"/>
      <c r="PK41" s="6"/>
      <c r="PL41" s="6"/>
      <c r="PM41" s="6"/>
      <c r="PN41" s="6"/>
      <c r="PO41" s="6"/>
      <c r="PP41" s="6"/>
      <c r="PQ41" s="6"/>
      <c r="PR41" s="6"/>
      <c r="PS41" s="6"/>
      <c r="PT41" s="6" t="str">
        <f t="shared" ref="PT41:SF42" si="1209">IF(PT$44="M0","M0", IF(PT$45="M1","M1", IF(PT$46="M2","M2", "!")))</f>
        <v>M1</v>
      </c>
      <c r="PU41" s="6" t="str">
        <f t="shared" si="1209"/>
        <v>M1</v>
      </c>
      <c r="PV41" s="6" t="str">
        <f t="shared" si="1209"/>
        <v>M1</v>
      </c>
      <c r="PW41" s="6" t="str">
        <f t="shared" si="1209"/>
        <v>M1</v>
      </c>
      <c r="PX41" s="6"/>
      <c r="PY41" s="6"/>
      <c r="PZ41" s="6"/>
      <c r="QA41" s="6" t="str">
        <f t="shared" si="1209"/>
        <v>M1</v>
      </c>
      <c r="QB41" s="6" t="str">
        <f t="shared" si="1209"/>
        <v>M1</v>
      </c>
      <c r="QC41" s="6" t="str">
        <f t="shared" si="1209"/>
        <v>M1</v>
      </c>
      <c r="QD41" s="6" t="str">
        <f t="shared" si="1209"/>
        <v>M1</v>
      </c>
      <c r="QE41" s="6" t="str">
        <f t="shared" si="1209"/>
        <v>M1</v>
      </c>
      <c r="QF41" s="6" t="str">
        <f t="shared" si="1209"/>
        <v>M1</v>
      </c>
      <c r="QG41" s="6" t="str">
        <f t="shared" si="1209"/>
        <v>M1</v>
      </c>
      <c r="QH41" s="6"/>
      <c r="QI41" s="6"/>
      <c r="QJ41" s="6"/>
      <c r="QK41" s="6"/>
      <c r="QL41" s="6"/>
      <c r="QM41" s="6"/>
      <c r="QN41" s="6"/>
      <c r="QO41" s="6"/>
      <c r="QP41" s="6"/>
      <c r="QQ41" s="6"/>
      <c r="QR41" s="6"/>
      <c r="QS41" s="6"/>
      <c r="QT41" s="6"/>
      <c r="QU41" s="6"/>
      <c r="QV41" s="6"/>
      <c r="QW41" s="6"/>
      <c r="QX41" s="6"/>
      <c r="QY41" s="6"/>
      <c r="QZ41" s="6"/>
      <c r="RA41" s="6"/>
      <c r="RB41" s="6"/>
      <c r="RC41" s="6"/>
      <c r="RD41" s="6"/>
      <c r="RE41" s="6"/>
      <c r="RF41" s="6"/>
      <c r="RG41" s="6"/>
      <c r="RH41" s="6"/>
      <c r="RI41" s="6"/>
      <c r="RJ41" s="6"/>
      <c r="RK41" s="6"/>
      <c r="RL41" s="6"/>
      <c r="RM41" s="6"/>
      <c r="RN41" s="6"/>
      <c r="RO41" s="6"/>
      <c r="RP41" s="6"/>
      <c r="RQ41" s="6"/>
      <c r="RR41" s="6"/>
      <c r="RS41" s="6"/>
      <c r="RT41" s="6"/>
      <c r="RU41" s="6"/>
      <c r="RV41" s="6"/>
      <c r="RW41" s="6"/>
      <c r="RX41" s="6"/>
      <c r="RY41" s="6"/>
      <c r="RZ41" s="6"/>
      <c r="SA41" s="6"/>
      <c r="SB41" s="6"/>
      <c r="SC41" s="6"/>
      <c r="SD41" s="6"/>
      <c r="SE41" s="6"/>
      <c r="SF41" s="6"/>
      <c r="SG41" s="6"/>
      <c r="SH41" s="6"/>
      <c r="SI41" s="6"/>
      <c r="SJ41" s="6"/>
      <c r="SK41" s="6"/>
      <c r="SL41" s="6"/>
      <c r="SM41" s="6"/>
      <c r="SN41" s="6"/>
      <c r="SO41" s="6"/>
      <c r="SP41" s="6"/>
      <c r="SQ41" s="6"/>
      <c r="SR41" s="6"/>
      <c r="SS41" s="6" t="s">
        <v>4</v>
      </c>
      <c r="ST41" s="6" t="s">
        <v>4</v>
      </c>
      <c r="SU41" s="6" t="s">
        <v>4</v>
      </c>
      <c r="SV41" s="6" t="s">
        <v>4</v>
      </c>
      <c r="SW41" s="6" t="s">
        <v>4</v>
      </c>
      <c r="SX41" s="6"/>
      <c r="SY41" s="6"/>
      <c r="SZ41" s="6"/>
      <c r="TA41" s="6" t="s">
        <v>4</v>
      </c>
      <c r="TB41" s="6" t="s">
        <v>4</v>
      </c>
      <c r="TC41" s="6" t="s">
        <v>4</v>
      </c>
      <c r="TD41" s="6" t="s">
        <v>4</v>
      </c>
      <c r="TE41" s="6" t="s">
        <v>4</v>
      </c>
      <c r="TF41" s="6" t="s">
        <v>4</v>
      </c>
      <c r="TG41" s="6"/>
      <c r="TH41" s="6"/>
      <c r="TI41" s="6"/>
      <c r="TJ41" s="6"/>
      <c r="TK41" s="6"/>
      <c r="TL41" s="6"/>
      <c r="TM41" s="6"/>
      <c r="TN41" s="6"/>
      <c r="TO41" s="6"/>
      <c r="TP41" s="6"/>
      <c r="TQ41" s="6"/>
      <c r="TR41" s="6"/>
      <c r="TS41" s="6"/>
      <c r="TT41" s="6"/>
      <c r="TU41" s="6"/>
      <c r="TV41" s="6"/>
      <c r="TW41" s="6"/>
      <c r="TX41" s="6"/>
      <c r="TY41" s="6"/>
      <c r="TZ41" s="6"/>
      <c r="UA41" s="6"/>
      <c r="UB41" s="6"/>
      <c r="UC41" s="6"/>
      <c r="UD41" s="6"/>
      <c r="UE41" s="6"/>
      <c r="UF41" s="6"/>
      <c r="UG41" s="6"/>
      <c r="UH41" s="6"/>
      <c r="UI41" s="6"/>
      <c r="UJ41" s="6"/>
      <c r="UK41" s="6"/>
      <c r="UL41" s="6"/>
      <c r="UM41" s="6"/>
      <c r="UN41" s="6"/>
      <c r="UO41" s="6"/>
      <c r="UP41" s="6"/>
      <c r="UQ41" s="6"/>
      <c r="UR41" s="6"/>
      <c r="US41" s="6"/>
      <c r="UT41" s="6"/>
      <c r="UU41" s="6"/>
      <c r="UV41" s="6"/>
      <c r="UW41" s="6"/>
      <c r="UX41" s="6"/>
      <c r="UY41" s="6"/>
      <c r="UZ41" s="6"/>
      <c r="VA41" s="6"/>
      <c r="VB41" s="6"/>
      <c r="VC41" s="6"/>
      <c r="VD41" s="6"/>
      <c r="VE41" s="6"/>
      <c r="VF41" s="6"/>
      <c r="VG41" s="6"/>
      <c r="VH41" s="6" t="str">
        <f t="shared" ref="VH41:XT42" si="1210">IF(VH$44="M0","M0", IF(VH$45="M1","M1", IF(VH$46="M2","M2", "!")))</f>
        <v>M1</v>
      </c>
      <c r="VI41" s="6" t="str">
        <f t="shared" si="1210"/>
        <v>M1</v>
      </c>
      <c r="VJ41" s="6" t="str">
        <f t="shared" si="1210"/>
        <v>M1</v>
      </c>
      <c r="VK41" s="6" t="str">
        <f t="shared" si="1210"/>
        <v>M1</v>
      </c>
      <c r="VL41" s="6"/>
      <c r="VM41" s="6"/>
      <c r="VN41" s="6"/>
      <c r="VO41" s="6" t="str">
        <f t="shared" si="1210"/>
        <v>M1</v>
      </c>
      <c r="VP41" s="6" t="str">
        <f t="shared" si="1210"/>
        <v>M1</v>
      </c>
      <c r="VQ41" s="6" t="str">
        <f t="shared" si="1210"/>
        <v>M1</v>
      </c>
      <c r="VR41" s="6" t="str">
        <f t="shared" si="1210"/>
        <v>M1</v>
      </c>
      <c r="VS41" s="6" t="str">
        <f t="shared" si="1210"/>
        <v>M1</v>
      </c>
      <c r="VT41" s="6" t="str">
        <f t="shared" si="1210"/>
        <v>M1</v>
      </c>
      <c r="VU41" s="6" t="str">
        <f t="shared" si="1210"/>
        <v>M1</v>
      </c>
      <c r="VV41" s="6"/>
      <c r="VW41" s="6"/>
      <c r="VX41" s="6"/>
      <c r="VY41" s="6"/>
      <c r="VZ41" s="6"/>
      <c r="WA41" s="6"/>
      <c r="WB41" s="6"/>
      <c r="WC41" s="6"/>
      <c r="WD41" s="6"/>
      <c r="WE41" s="6"/>
      <c r="WF41" s="6"/>
      <c r="WG41" s="6"/>
      <c r="WH41" s="6"/>
      <c r="WI41" s="6"/>
      <c r="WJ41" s="6"/>
      <c r="WK41" s="6"/>
      <c r="WL41" s="6"/>
      <c r="WM41" s="6"/>
      <c r="WN41" s="6"/>
      <c r="WO41" s="6"/>
      <c r="WP41" s="6"/>
      <c r="WQ41" s="6"/>
      <c r="WR41" s="6"/>
      <c r="WS41" s="6"/>
      <c r="WT41" s="6"/>
      <c r="WU41" s="6"/>
      <c r="WV41" s="6"/>
      <c r="WW41" s="6"/>
      <c r="WX41" s="6"/>
      <c r="WY41" s="6"/>
      <c r="WZ41" s="6"/>
      <c r="XA41" s="6"/>
      <c r="XB41" s="6"/>
      <c r="XC41" s="6"/>
      <c r="XD41" s="6"/>
      <c r="XE41" s="6"/>
      <c r="XF41" s="6"/>
      <c r="XG41" s="6"/>
      <c r="XH41" s="6"/>
      <c r="XI41" s="6"/>
      <c r="XJ41" s="6"/>
      <c r="XK41" s="6"/>
      <c r="XL41" s="6"/>
      <c r="XM41" s="6"/>
      <c r="XN41" s="6"/>
      <c r="XO41" s="6"/>
      <c r="XP41" s="6"/>
      <c r="XQ41" s="6"/>
      <c r="XR41" s="6"/>
      <c r="XS41" s="6"/>
      <c r="XT41" s="6"/>
      <c r="XU41" s="6"/>
      <c r="XV41" s="6"/>
      <c r="XW41" s="6"/>
      <c r="XX41" s="6"/>
      <c r="XY41" s="6"/>
      <c r="XZ41" s="6"/>
      <c r="YA41" s="6"/>
      <c r="YB41" s="6"/>
      <c r="YC41" s="6"/>
      <c r="YD41" s="6"/>
      <c r="YE41" s="6"/>
      <c r="YF41" s="6"/>
      <c r="YG41" s="6" t="s">
        <v>4</v>
      </c>
      <c r="YH41" s="6" t="s">
        <v>4</v>
      </c>
      <c r="YI41" s="6" t="s">
        <v>4</v>
      </c>
      <c r="YJ41" s="6" t="s">
        <v>4</v>
      </c>
      <c r="YK41" s="6" t="s">
        <v>4</v>
      </c>
      <c r="YL41" s="6"/>
      <c r="YM41" s="6"/>
      <c r="YN41" s="6"/>
      <c r="YO41" s="6" t="s">
        <v>4</v>
      </c>
      <c r="YP41" s="6" t="s">
        <v>4</v>
      </c>
      <c r="YQ41" s="6" t="s">
        <v>4</v>
      </c>
      <c r="YR41" s="6" t="s">
        <v>4</v>
      </c>
      <c r="YS41" s="6" t="s">
        <v>4</v>
      </c>
      <c r="YT41" s="6" t="s">
        <v>4</v>
      </c>
      <c r="YU41" s="6"/>
      <c r="YV41" s="6"/>
      <c r="YW41" s="6"/>
      <c r="YX41" s="6"/>
      <c r="YY41" s="6"/>
      <c r="YZ41" s="6"/>
      <c r="ZA41" s="6"/>
      <c r="ZB41" s="6"/>
      <c r="ZC41" s="6"/>
      <c r="ZD41" s="6"/>
      <c r="ZE41" s="6"/>
      <c r="ZF41" s="6"/>
      <c r="ZG41" s="6"/>
      <c r="ZH41" s="6"/>
      <c r="ZI41" s="6"/>
      <c r="ZJ41" s="6"/>
      <c r="ZK41" s="6"/>
      <c r="ZL41" s="6"/>
      <c r="ZM41" s="6"/>
      <c r="ZN41" s="6"/>
      <c r="ZO41" s="6"/>
      <c r="ZP41" s="6"/>
      <c r="ZQ41" s="6"/>
      <c r="ZR41" s="6"/>
      <c r="ZS41" s="6"/>
      <c r="ZT41" s="6"/>
      <c r="ZU41" s="6"/>
      <c r="ZV41" s="6"/>
      <c r="ZW41" s="6"/>
      <c r="ZX41" s="6"/>
      <c r="ZY41" s="6"/>
      <c r="ZZ41" s="6"/>
      <c r="AAA41" s="6"/>
      <c r="AAB41" s="6"/>
      <c r="AAC41" s="6"/>
      <c r="AAD41" s="6"/>
      <c r="AAE41" s="6"/>
      <c r="AAF41" s="6"/>
      <c r="AAG41" s="6"/>
      <c r="AAH41" s="6"/>
      <c r="AAI41" s="6"/>
      <c r="AAJ41" s="6"/>
      <c r="AAK41" s="6"/>
      <c r="AAL41" s="6"/>
      <c r="AAM41" s="6"/>
      <c r="AAN41" s="6"/>
      <c r="AAO41" s="6"/>
      <c r="AAP41" s="6"/>
      <c r="AAQ41" s="6"/>
      <c r="AAR41" s="6"/>
      <c r="AAS41" s="6"/>
      <c r="AAT41" s="6"/>
      <c r="AAU41" s="6"/>
      <c r="AAV41" s="6" t="str">
        <f t="shared" ref="AAV41:ADH42" si="1211">IF(AAV$44="M0","M0", IF(AAV$45="M1","M1", IF(AAV$46="M2","M2", "!")))</f>
        <v>M1</v>
      </c>
      <c r="AAW41" s="6" t="str">
        <f t="shared" si="1211"/>
        <v>M1</v>
      </c>
      <c r="AAX41" s="6" t="str">
        <f t="shared" si="1211"/>
        <v>M1</v>
      </c>
      <c r="AAY41" s="6" t="str">
        <f t="shared" si="1211"/>
        <v>M1</v>
      </c>
      <c r="AAZ41" s="6"/>
      <c r="ABA41" s="6"/>
      <c r="ABB41" s="6"/>
      <c r="ABC41" s="6" t="str">
        <f t="shared" si="1211"/>
        <v>M1</v>
      </c>
      <c r="ABD41" s="6" t="str">
        <f t="shared" si="1211"/>
        <v>M1</v>
      </c>
      <c r="ABE41" s="6" t="str">
        <f t="shared" si="1211"/>
        <v>M1</v>
      </c>
      <c r="ABF41" s="6" t="str">
        <f t="shared" si="1211"/>
        <v>M1</v>
      </c>
      <c r="ABG41" s="6" t="str">
        <f t="shared" si="1211"/>
        <v>M1</v>
      </c>
      <c r="ABH41" s="6" t="str">
        <f t="shared" si="1211"/>
        <v>M1</v>
      </c>
      <c r="ABI41" s="6" t="str">
        <f t="shared" si="1211"/>
        <v>M1</v>
      </c>
      <c r="ABJ41" s="6"/>
      <c r="ABK41" s="6"/>
      <c r="ABL41" s="6"/>
      <c r="ABM41" s="6"/>
      <c r="ABN41" s="6"/>
      <c r="ABO41" s="6"/>
      <c r="ABP41" s="6"/>
      <c r="ABQ41" s="6"/>
      <c r="ABR41" s="6"/>
      <c r="ABS41" s="6"/>
      <c r="ABT41" s="6"/>
      <c r="ABU41" s="6"/>
      <c r="ABV41" s="6"/>
      <c r="ABW41" s="6"/>
      <c r="ABX41" s="6"/>
      <c r="ABY41" s="6"/>
      <c r="ABZ41" s="6"/>
      <c r="ACA41" s="6"/>
      <c r="ACB41" s="6"/>
      <c r="ACC41" s="6"/>
      <c r="ACD41" s="6"/>
      <c r="ACE41" s="6"/>
      <c r="ACF41" s="6"/>
      <c r="ACG41" s="6"/>
      <c r="ACH41" s="6"/>
      <c r="ACI41" s="6"/>
      <c r="ACJ41" s="6"/>
      <c r="ACK41" s="6"/>
      <c r="ACL41" s="6"/>
      <c r="ACM41" s="6"/>
      <c r="ACN41" s="6"/>
      <c r="ACO41" s="6"/>
      <c r="ACP41" s="6"/>
      <c r="ACQ41" s="6"/>
      <c r="ACR41" s="6"/>
      <c r="ACS41" s="6"/>
      <c r="ACT41" s="6"/>
      <c r="ACU41" s="6"/>
      <c r="ACV41" s="6"/>
      <c r="ACW41" s="6"/>
      <c r="ACX41" s="6"/>
      <c r="ACY41" s="6"/>
      <c r="ACZ41" s="6"/>
      <c r="ADA41" s="6"/>
      <c r="ADB41" s="6"/>
      <c r="ADC41" s="6"/>
      <c r="ADD41" s="6"/>
      <c r="ADE41" s="6"/>
      <c r="ADF41" s="6"/>
      <c r="ADG41" s="6"/>
      <c r="ADH41" s="6"/>
      <c r="ADI41" s="6"/>
      <c r="ADJ41" s="6"/>
      <c r="ADK41" s="6"/>
      <c r="ADL41" s="6"/>
      <c r="ADM41" s="6"/>
      <c r="ADN41" s="6"/>
      <c r="ADO41" s="6"/>
      <c r="ADP41" s="6"/>
      <c r="ADQ41" s="6"/>
      <c r="ADR41" s="6"/>
      <c r="ADS41" s="6"/>
      <c r="ADT41" s="6"/>
      <c r="ADU41" s="6" t="s">
        <v>4</v>
      </c>
      <c r="ADV41" s="6" t="s">
        <v>4</v>
      </c>
      <c r="ADW41" s="6" t="s">
        <v>4</v>
      </c>
      <c r="ADX41" s="6" t="s">
        <v>4</v>
      </c>
      <c r="ADY41" s="6" t="s">
        <v>4</v>
      </c>
      <c r="ADZ41" s="6"/>
      <c r="AEA41" s="6"/>
      <c r="AEB41" s="6"/>
      <c r="AEC41" s="6" t="s">
        <v>4</v>
      </c>
      <c r="AED41" s="6" t="s">
        <v>4</v>
      </c>
      <c r="AEE41" s="6" t="s">
        <v>4</v>
      </c>
      <c r="AEF41" s="6" t="s">
        <v>4</v>
      </c>
      <c r="AEG41" s="6" t="s">
        <v>4</v>
      </c>
      <c r="AEH41" s="6" t="s">
        <v>4</v>
      </c>
      <c r="AEI41" s="6"/>
      <c r="AEJ41" s="6"/>
      <c r="AEK41" s="6"/>
      <c r="AEL41" s="6"/>
      <c r="AEM41" s="6"/>
      <c r="AEN41" s="6"/>
      <c r="AEO41" s="6"/>
      <c r="AEP41" s="6"/>
      <c r="AEQ41" s="6"/>
      <c r="AER41" s="6"/>
      <c r="AES41" s="6"/>
      <c r="AET41" s="6"/>
      <c r="AEU41" s="6"/>
      <c r="AEV41" s="6"/>
      <c r="AEW41" s="6"/>
      <c r="AEX41" s="6"/>
      <c r="AEY41" s="6"/>
      <c r="AEZ41" s="6"/>
      <c r="AFA41" s="6"/>
      <c r="AFB41" s="6"/>
      <c r="AFC41" s="6"/>
      <c r="AFD41" s="6"/>
      <c r="AFE41" s="6"/>
      <c r="AFF41" s="6"/>
      <c r="AFG41" s="6"/>
      <c r="AFH41" s="6"/>
      <c r="AFI41" s="6"/>
      <c r="AFJ41" s="6"/>
      <c r="AFK41" s="6"/>
      <c r="AFL41" s="6"/>
      <c r="AFM41" s="6"/>
      <c r="AFN41" s="6"/>
      <c r="AFO41" s="6"/>
      <c r="AFP41" s="6"/>
      <c r="AFQ41" s="6"/>
      <c r="AFR41" s="6"/>
      <c r="AFS41" s="6"/>
      <c r="AFT41" s="6"/>
      <c r="AFU41" s="6"/>
      <c r="AFV41" s="6"/>
      <c r="AFW41" s="6"/>
      <c r="AFX41" s="6"/>
      <c r="AFY41" s="6"/>
      <c r="AFZ41" s="6"/>
      <c r="AGA41" s="6"/>
      <c r="AGB41" s="6"/>
      <c r="AGC41" s="6"/>
      <c r="AGD41" s="6"/>
      <c r="AGE41" s="6"/>
      <c r="AGF41" s="6"/>
      <c r="AGG41" s="6"/>
      <c r="AGH41" s="6"/>
      <c r="AGI41" s="6"/>
      <c r="AGJ41" s="6" t="str">
        <f t="shared" ref="AGJ41:AIV42" si="1212">IF(AGJ$44="M0","M0", IF(AGJ$45="M1","M1", IF(AGJ$46="M2","M2", "!")))</f>
        <v>M1</v>
      </c>
      <c r="AGK41" s="6" t="str">
        <f t="shared" si="1212"/>
        <v>M1</v>
      </c>
      <c r="AGL41" s="6" t="str">
        <f t="shared" si="1212"/>
        <v>M1</v>
      </c>
      <c r="AGM41" s="6" t="str">
        <f t="shared" si="1212"/>
        <v>M1</v>
      </c>
      <c r="AGN41" s="6"/>
      <c r="AGO41" s="6"/>
      <c r="AGP41" s="6"/>
      <c r="AGQ41" s="6" t="str">
        <f t="shared" si="1212"/>
        <v>M1</v>
      </c>
      <c r="AGR41" s="6" t="str">
        <f t="shared" si="1212"/>
        <v>M1</v>
      </c>
      <c r="AGS41" s="6" t="str">
        <f t="shared" si="1212"/>
        <v>M1</v>
      </c>
      <c r="AGT41" s="6" t="str">
        <f t="shared" si="1212"/>
        <v>M1</v>
      </c>
      <c r="AGU41" s="6" t="str">
        <f t="shared" si="1212"/>
        <v>M1</v>
      </c>
      <c r="AGV41" s="6" t="str">
        <f t="shared" si="1212"/>
        <v>M1</v>
      </c>
      <c r="AGW41" s="6" t="str">
        <f t="shared" si="1212"/>
        <v>M1</v>
      </c>
      <c r="AGX41" s="6"/>
      <c r="AGY41" s="6"/>
      <c r="AGZ41" s="6"/>
      <c r="AHA41" s="6"/>
      <c r="AHB41" s="6"/>
      <c r="AHC41" s="6"/>
      <c r="AHD41" s="6"/>
      <c r="AHE41" s="6"/>
      <c r="AHF41" s="6"/>
      <c r="AHG41" s="6"/>
      <c r="AHH41" s="6"/>
      <c r="AHI41" s="6"/>
      <c r="AHJ41" s="6"/>
      <c r="AHK41" s="6"/>
      <c r="AHL41" s="6"/>
      <c r="AHM41" s="6"/>
      <c r="AHN41" s="6"/>
      <c r="AHO41" s="6"/>
      <c r="AHP41" s="6"/>
      <c r="AHQ41" s="6"/>
      <c r="AHR41" s="6"/>
      <c r="AHS41" s="6"/>
      <c r="AHT41" s="6"/>
      <c r="AHU41" s="6"/>
      <c r="AHV41" s="6"/>
      <c r="AHW41" s="6"/>
      <c r="AHX41" s="6"/>
      <c r="AHY41" s="6"/>
      <c r="AHZ41" s="6"/>
      <c r="AIA41" s="6"/>
      <c r="AIB41" s="6"/>
      <c r="AIC41" s="6"/>
      <c r="AID41" s="6"/>
      <c r="AIE41" s="6"/>
      <c r="AIF41" s="6"/>
      <c r="AIG41" s="6"/>
      <c r="AIH41" s="6"/>
      <c r="AII41" s="6"/>
      <c r="AIJ41" s="6"/>
      <c r="AIK41" s="6"/>
      <c r="AIL41" s="6"/>
      <c r="AIM41" s="6"/>
      <c r="AIN41" s="6"/>
      <c r="AIO41" s="6"/>
      <c r="AIP41" s="6"/>
      <c r="AIQ41" s="6"/>
      <c r="AIR41" s="6"/>
      <c r="AIS41" s="6"/>
      <c r="AIT41" s="6"/>
      <c r="AIU41" s="6"/>
      <c r="AIV41" s="6"/>
      <c r="AIW41" s="6"/>
      <c r="AIX41" s="6"/>
      <c r="AIY41" s="6"/>
      <c r="AIZ41" s="6"/>
      <c r="AJA41" s="6"/>
      <c r="AJB41" s="6"/>
      <c r="AJC41" s="6"/>
      <c r="AJD41" s="6"/>
      <c r="AJE41" s="6"/>
      <c r="AJF41" s="6"/>
      <c r="AJG41" s="6"/>
      <c r="AJH41" s="6"/>
      <c r="AJI41" s="6" t="s">
        <v>4</v>
      </c>
      <c r="AJJ41" s="6" t="s">
        <v>4</v>
      </c>
      <c r="AJK41" s="6" t="s">
        <v>4</v>
      </c>
      <c r="AJL41" s="6" t="s">
        <v>4</v>
      </c>
      <c r="AJM41" s="6" t="s">
        <v>4</v>
      </c>
      <c r="AJN41" s="6"/>
      <c r="AJO41" s="6"/>
      <c r="AJP41" s="6"/>
      <c r="AJQ41" s="6" t="s">
        <v>4</v>
      </c>
      <c r="AJR41" s="6" t="s">
        <v>4</v>
      </c>
      <c r="AJS41" s="6" t="s">
        <v>4</v>
      </c>
      <c r="AJT41" s="6" t="s">
        <v>4</v>
      </c>
      <c r="AJU41" s="6" t="s">
        <v>4</v>
      </c>
      <c r="AJV41" s="6" t="s">
        <v>4</v>
      </c>
      <c r="AJW41" s="6"/>
      <c r="AJX41" s="6"/>
      <c r="AJY41" s="6"/>
      <c r="AJZ41" s="6"/>
      <c r="AKA41" s="6"/>
      <c r="AKB41" s="6"/>
      <c r="AKC41" s="6"/>
      <c r="AKD41" s="6"/>
      <c r="AKE41" s="6"/>
      <c r="AKF41" s="6"/>
      <c r="AKG41" s="6"/>
      <c r="AKH41" s="6"/>
      <c r="AKI41" s="6"/>
      <c r="AKJ41" s="6"/>
      <c r="AKK41" s="6"/>
      <c r="AKL41" s="6"/>
      <c r="AKM41" s="6"/>
      <c r="AKN41" s="6"/>
      <c r="AKO41" s="6"/>
      <c r="AKP41" s="6"/>
      <c r="AKQ41" s="6"/>
      <c r="AKR41" s="6"/>
      <c r="AKS41" s="6"/>
      <c r="AKT41" s="6"/>
      <c r="AKU41" s="6"/>
      <c r="AKV41" s="6"/>
      <c r="AKW41" s="6"/>
      <c r="AKX41" s="6"/>
      <c r="AKY41" s="6"/>
      <c r="AKZ41" s="6"/>
      <c r="ALA41" s="6"/>
      <c r="ALB41" s="6"/>
      <c r="ALC41" s="6"/>
      <c r="ALD41" s="6"/>
      <c r="ALE41" s="6"/>
      <c r="ALF41" s="6"/>
      <c r="ALG41" s="6"/>
      <c r="ALH41" s="6"/>
      <c r="ALI41" s="6"/>
      <c r="ALJ41" s="6"/>
      <c r="ALK41" s="6"/>
      <c r="ALL41" s="6"/>
      <c r="ALM41" s="6"/>
      <c r="ALN41" s="6"/>
      <c r="ALO41" s="6"/>
      <c r="ALP41" s="6"/>
      <c r="ALQ41" s="6"/>
      <c r="ALR41" s="6"/>
      <c r="ALS41" s="6"/>
      <c r="ALT41" s="6"/>
      <c r="ALU41" s="6"/>
      <c r="ALV41" s="6"/>
      <c r="ALW41" s="6"/>
    </row>
    <row r="42" spans="2:1011" outlineLevel="1" x14ac:dyDescent="0.25">
      <c r="B42" s="8"/>
      <c r="C42" s="5" t="s">
        <v>12</v>
      </c>
      <c r="D42" s="6"/>
      <c r="E42" s="6"/>
      <c r="F42" s="6"/>
      <c r="G42" s="6"/>
      <c r="H42" s="6" t="s">
        <v>12</v>
      </c>
      <c r="I42" s="6" t="s">
        <v>12</v>
      </c>
      <c r="J42" s="6" t="s">
        <v>12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 t="s">
        <v>12</v>
      </c>
      <c r="CI42" s="6" t="s">
        <v>12</v>
      </c>
      <c r="CJ42" s="6" t="s">
        <v>12</v>
      </c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/>
      <c r="IR42" s="6"/>
      <c r="IS42" s="6"/>
      <c r="IT42" s="6"/>
      <c r="IU42" s="6"/>
      <c r="IV42" s="6"/>
      <c r="IW42" s="6"/>
      <c r="IX42" s="6"/>
      <c r="IY42" s="6"/>
      <c r="IZ42" s="6"/>
      <c r="JA42" s="6"/>
      <c r="JB42" s="6"/>
      <c r="JC42" s="6"/>
      <c r="JD42" s="6"/>
      <c r="JE42" s="6"/>
      <c r="JF42" s="6"/>
      <c r="JG42" s="6"/>
      <c r="JH42" s="6"/>
      <c r="JI42" s="6"/>
      <c r="JJ42" s="6"/>
      <c r="JK42" s="6"/>
      <c r="JL42" s="6"/>
      <c r="JM42" s="6"/>
      <c r="JN42" s="6"/>
      <c r="JO42" s="6"/>
      <c r="JP42" s="6"/>
      <c r="JQ42" s="6"/>
      <c r="JR42" s="6"/>
      <c r="JS42" s="6"/>
      <c r="JT42" s="6"/>
      <c r="JU42" s="6"/>
      <c r="JV42" s="6"/>
      <c r="JW42" s="6"/>
      <c r="JX42" s="6"/>
      <c r="JY42" s="6"/>
      <c r="JZ42" s="6"/>
      <c r="KA42" s="6"/>
      <c r="KB42" s="6"/>
      <c r="KC42" s="6"/>
      <c r="KD42" s="6"/>
      <c r="KE42" s="6"/>
      <c r="KF42" s="6"/>
      <c r="KG42" s="6"/>
      <c r="KH42" s="6"/>
      <c r="KI42" s="6"/>
      <c r="KJ42" s="6" t="s">
        <v>12</v>
      </c>
      <c r="KK42" s="6" t="s">
        <v>12</v>
      </c>
      <c r="KL42" s="6" t="s">
        <v>12</v>
      </c>
      <c r="KM42" s="6"/>
      <c r="KN42" s="6"/>
      <c r="KO42" s="6"/>
      <c r="KP42" s="6"/>
      <c r="KQ42" s="6"/>
      <c r="KR42" s="6"/>
      <c r="KS42" s="6"/>
      <c r="KT42" s="6"/>
      <c r="KU42" s="6"/>
      <c r="KV42" s="6"/>
      <c r="KW42" s="6"/>
      <c r="KX42" s="6"/>
      <c r="KY42" s="6"/>
      <c r="KZ42" s="6"/>
      <c r="LA42" s="6"/>
      <c r="LB42" s="6"/>
      <c r="LC42" s="6"/>
      <c r="LD42" s="6"/>
      <c r="LE42" s="6"/>
      <c r="LF42" s="6"/>
      <c r="LG42" s="6"/>
      <c r="LH42" s="6"/>
      <c r="LI42" s="6"/>
      <c r="LJ42" s="6"/>
      <c r="LK42" s="6"/>
      <c r="LL42" s="6"/>
      <c r="LM42" s="6"/>
      <c r="LN42" s="6"/>
      <c r="LO42" s="6"/>
      <c r="LP42" s="6"/>
      <c r="LQ42" s="6"/>
      <c r="LR42" s="6"/>
      <c r="LS42" s="6"/>
      <c r="LT42" s="6"/>
      <c r="LU42" s="6"/>
      <c r="LV42" s="6"/>
      <c r="LW42" s="6"/>
      <c r="LX42" s="6"/>
      <c r="LY42" s="6"/>
      <c r="LZ42" s="6"/>
      <c r="MA42" s="6"/>
      <c r="MB42" s="6"/>
      <c r="MC42" s="6"/>
      <c r="MD42" s="6"/>
      <c r="ME42" s="6"/>
      <c r="MF42" s="6"/>
      <c r="MG42" s="6"/>
      <c r="MH42" s="6"/>
      <c r="MI42" s="6"/>
      <c r="MJ42" s="6"/>
      <c r="MK42" s="6"/>
      <c r="ML42" s="6"/>
      <c r="MM42" s="6"/>
      <c r="MN42" s="6"/>
      <c r="MO42" s="6"/>
      <c r="MP42" s="6"/>
      <c r="MQ42" s="6"/>
      <c r="MR42" s="6"/>
      <c r="MS42" s="6"/>
      <c r="MT42" s="6"/>
      <c r="MU42" s="6"/>
      <c r="MV42" s="6"/>
      <c r="MW42" s="6"/>
      <c r="MX42" s="6"/>
      <c r="MY42" s="6"/>
      <c r="MZ42" s="6"/>
      <c r="NA42" s="6"/>
      <c r="NB42" s="6"/>
      <c r="NC42" s="6"/>
      <c r="ND42" s="6"/>
      <c r="NE42" s="6"/>
      <c r="NF42" s="6"/>
      <c r="NG42" s="6"/>
      <c r="NH42" s="6"/>
      <c r="NI42" s="6"/>
      <c r="NJ42" s="6" t="s">
        <v>12</v>
      </c>
      <c r="NK42" s="6" t="s">
        <v>12</v>
      </c>
      <c r="NL42" s="6" t="s">
        <v>12</v>
      </c>
      <c r="NN42" s="6"/>
      <c r="NO42" s="6"/>
      <c r="NP42" s="6"/>
      <c r="NQ42" s="6"/>
      <c r="NR42" s="6"/>
      <c r="NS42" s="6"/>
      <c r="NT42" s="6"/>
      <c r="NU42" s="6"/>
      <c r="NV42" s="6"/>
      <c r="NW42" s="6"/>
      <c r="NX42" s="6"/>
      <c r="NY42" s="6"/>
      <c r="NZ42" s="6"/>
      <c r="OA42" s="6"/>
      <c r="OB42" s="6"/>
      <c r="OC42" s="6"/>
      <c r="OD42" s="6"/>
      <c r="OE42" s="6"/>
      <c r="OF42" s="6"/>
      <c r="OG42" s="6"/>
      <c r="OH42" s="6"/>
      <c r="OI42" s="6"/>
      <c r="OJ42" s="6"/>
      <c r="OK42" s="6"/>
      <c r="OL42" s="6"/>
      <c r="OM42" s="6"/>
      <c r="ON42" s="6"/>
      <c r="OO42" s="6"/>
      <c r="OP42" s="6"/>
      <c r="OQ42" s="6"/>
      <c r="OR42" s="6"/>
      <c r="OS42" s="6"/>
      <c r="OT42" s="6"/>
      <c r="OU42" s="6"/>
      <c r="OV42" s="6"/>
      <c r="OW42" s="6"/>
      <c r="OX42" s="6"/>
      <c r="OY42" s="6"/>
      <c r="OZ42" s="6"/>
      <c r="PA42" s="6"/>
      <c r="PB42" s="6"/>
      <c r="PC42" s="6"/>
      <c r="PD42" s="6"/>
      <c r="PE42" s="6"/>
      <c r="PF42" s="6"/>
      <c r="PG42" s="6"/>
      <c r="PH42" s="6"/>
      <c r="PI42" s="6"/>
      <c r="PJ42" s="6"/>
      <c r="PK42" s="6"/>
      <c r="PL42" s="6"/>
      <c r="PM42" s="6"/>
      <c r="PN42" s="6"/>
      <c r="PO42" s="6"/>
      <c r="PP42" s="6"/>
      <c r="PQ42" s="6"/>
      <c r="PR42" s="6"/>
      <c r="PS42" s="6"/>
      <c r="PT42" s="6"/>
      <c r="PU42" s="6"/>
      <c r="PV42" s="6"/>
      <c r="PW42" s="6"/>
      <c r="PX42" s="6" t="s">
        <v>12</v>
      </c>
      <c r="PY42" s="6" t="s">
        <v>12</v>
      </c>
      <c r="PZ42" s="6" t="s">
        <v>12</v>
      </c>
      <c r="QA42" s="6"/>
      <c r="QB42" s="6"/>
      <c r="QC42" s="6"/>
      <c r="QD42" s="6"/>
      <c r="QE42" s="6"/>
      <c r="QF42" s="6"/>
      <c r="QG42" s="6"/>
      <c r="QH42" s="6"/>
      <c r="QI42" s="6"/>
      <c r="QJ42" s="6"/>
      <c r="QK42" s="6"/>
      <c r="QL42" s="6"/>
      <c r="QM42" s="6"/>
      <c r="QN42" s="6"/>
      <c r="QO42" s="6"/>
      <c r="QP42" s="6"/>
      <c r="QQ42" s="6"/>
      <c r="QR42" s="6"/>
      <c r="QS42" s="6"/>
      <c r="QT42" s="6"/>
      <c r="QU42" s="6"/>
      <c r="QV42" s="6"/>
      <c r="QW42" s="6"/>
      <c r="QX42" s="6"/>
      <c r="QY42" s="6"/>
      <c r="QZ42" s="6"/>
      <c r="RA42" s="6"/>
      <c r="RB42" s="6"/>
      <c r="RC42" s="6"/>
      <c r="RD42" s="6"/>
      <c r="RE42" s="6"/>
      <c r="RF42" s="6"/>
      <c r="RG42" s="6"/>
      <c r="RH42" s="6"/>
      <c r="RI42" s="6"/>
      <c r="RJ42" s="6"/>
      <c r="RK42" s="6"/>
      <c r="RL42" s="6"/>
      <c r="RM42" s="6"/>
      <c r="RN42" s="6"/>
      <c r="RO42" s="6"/>
      <c r="RP42" s="6"/>
      <c r="RQ42" s="6"/>
      <c r="RR42" s="6"/>
      <c r="RS42" s="6"/>
      <c r="RT42" s="6"/>
      <c r="RU42" s="6"/>
      <c r="RV42" s="6"/>
      <c r="RW42" s="6"/>
      <c r="RX42" s="6"/>
      <c r="RY42" s="6"/>
      <c r="RZ42" s="6"/>
      <c r="SA42" s="6"/>
      <c r="SB42" s="6"/>
      <c r="SC42" s="6"/>
      <c r="SD42" s="6"/>
      <c r="SE42" s="6"/>
      <c r="SF42" s="6"/>
      <c r="SG42" s="6"/>
      <c r="SH42" s="6"/>
      <c r="SI42" s="6"/>
      <c r="SJ42" s="6"/>
      <c r="SK42" s="6"/>
      <c r="SL42" s="6"/>
      <c r="SM42" s="6"/>
      <c r="SN42" s="6"/>
      <c r="SO42" s="6"/>
      <c r="SP42" s="6"/>
      <c r="SQ42" s="6"/>
      <c r="SR42" s="6"/>
      <c r="SS42" s="6"/>
      <c r="ST42" s="6"/>
      <c r="SU42" s="6"/>
      <c r="SV42" s="6"/>
      <c r="SW42" s="6"/>
      <c r="SX42" s="6" t="s">
        <v>12</v>
      </c>
      <c r="SY42" s="6" t="s">
        <v>12</v>
      </c>
      <c r="SZ42" s="6" t="s">
        <v>12</v>
      </c>
      <c r="TB42" s="6"/>
      <c r="TC42" s="6"/>
      <c r="TD42" s="6"/>
      <c r="TE42" s="6"/>
      <c r="TF42" s="6"/>
      <c r="TG42" s="6"/>
      <c r="TH42" s="6"/>
      <c r="TI42" s="6"/>
      <c r="TJ42" s="6"/>
      <c r="TK42" s="6"/>
      <c r="TL42" s="6"/>
      <c r="TM42" s="6"/>
      <c r="TN42" s="6"/>
      <c r="TO42" s="6"/>
      <c r="TP42" s="6"/>
      <c r="TQ42" s="6"/>
      <c r="TR42" s="6"/>
      <c r="TS42" s="6"/>
      <c r="TT42" s="6"/>
      <c r="TU42" s="6"/>
      <c r="TV42" s="6"/>
      <c r="TW42" s="6"/>
      <c r="TX42" s="6"/>
      <c r="TY42" s="6"/>
      <c r="TZ42" s="6"/>
      <c r="UA42" s="6"/>
      <c r="UB42" s="6"/>
      <c r="UC42" s="6"/>
      <c r="UD42" s="6"/>
      <c r="UE42" s="6"/>
      <c r="UF42" s="6"/>
      <c r="UG42" s="6"/>
      <c r="UH42" s="6"/>
      <c r="UI42" s="6"/>
      <c r="UJ42" s="6"/>
      <c r="UK42" s="6"/>
      <c r="UL42" s="6"/>
      <c r="UM42" s="6"/>
      <c r="UN42" s="6"/>
      <c r="UO42" s="6"/>
      <c r="UP42" s="6"/>
      <c r="UQ42" s="6"/>
      <c r="UR42" s="6"/>
      <c r="US42" s="6"/>
      <c r="UT42" s="6"/>
      <c r="UU42" s="6"/>
      <c r="UV42" s="6"/>
      <c r="UW42" s="6"/>
      <c r="UX42" s="6"/>
      <c r="UY42" s="6"/>
      <c r="UZ42" s="6"/>
      <c r="VA42" s="6"/>
      <c r="VB42" s="6"/>
      <c r="VC42" s="6"/>
      <c r="VD42" s="6"/>
      <c r="VE42" s="6"/>
      <c r="VF42" s="6"/>
      <c r="VG42" s="6"/>
      <c r="VH42" s="6"/>
      <c r="VI42" s="6"/>
      <c r="VJ42" s="6"/>
      <c r="VK42" s="6"/>
      <c r="VL42" s="6" t="s">
        <v>12</v>
      </c>
      <c r="VM42" s="6" t="s">
        <v>12</v>
      </c>
      <c r="VN42" s="6" t="s">
        <v>12</v>
      </c>
      <c r="VO42" s="6"/>
      <c r="VP42" s="6"/>
      <c r="VQ42" s="6"/>
      <c r="VR42" s="6"/>
      <c r="VS42" s="6"/>
      <c r="VT42" s="6"/>
      <c r="VU42" s="6"/>
      <c r="VV42" s="6"/>
      <c r="VW42" s="6"/>
      <c r="VX42" s="6"/>
      <c r="VY42" s="6"/>
      <c r="VZ42" s="6"/>
      <c r="WA42" s="6"/>
      <c r="WB42" s="6"/>
      <c r="WC42" s="6"/>
      <c r="WD42" s="6"/>
      <c r="WE42" s="6"/>
      <c r="WF42" s="6"/>
      <c r="WG42" s="6"/>
      <c r="WH42" s="6"/>
      <c r="WI42" s="6"/>
      <c r="WJ42" s="6"/>
      <c r="WK42" s="6"/>
      <c r="WL42" s="6"/>
      <c r="WM42" s="6"/>
      <c r="WN42" s="6"/>
      <c r="WO42" s="6"/>
      <c r="WP42" s="6"/>
      <c r="WQ42" s="6"/>
      <c r="WR42" s="6"/>
      <c r="WS42" s="6"/>
      <c r="WT42" s="6"/>
      <c r="WU42" s="6"/>
      <c r="WV42" s="6"/>
      <c r="WW42" s="6"/>
      <c r="WX42" s="6"/>
      <c r="WY42" s="6"/>
      <c r="WZ42" s="6"/>
      <c r="XA42" s="6"/>
      <c r="XB42" s="6"/>
      <c r="XC42" s="6"/>
      <c r="XD42" s="6"/>
      <c r="XE42" s="6"/>
      <c r="XF42" s="6"/>
      <c r="XG42" s="6"/>
      <c r="XH42" s="6"/>
      <c r="XI42" s="6"/>
      <c r="XJ42" s="6"/>
      <c r="XK42" s="6"/>
      <c r="XL42" s="6"/>
      <c r="XM42" s="6"/>
      <c r="XN42" s="6"/>
      <c r="XO42" s="6"/>
      <c r="XP42" s="6"/>
      <c r="XQ42" s="6"/>
      <c r="XR42" s="6"/>
      <c r="XS42" s="6"/>
      <c r="XT42" s="6"/>
      <c r="XU42" s="6"/>
      <c r="XV42" s="6"/>
      <c r="XW42" s="6"/>
      <c r="XX42" s="6"/>
      <c r="XY42" s="6"/>
      <c r="XZ42" s="6"/>
      <c r="YA42" s="6"/>
      <c r="YB42" s="6"/>
      <c r="YC42" s="6"/>
      <c r="YD42" s="6"/>
      <c r="YE42" s="6"/>
      <c r="YF42" s="6"/>
      <c r="YG42" s="6"/>
      <c r="YH42" s="6"/>
      <c r="YI42" s="6"/>
      <c r="YJ42" s="6"/>
      <c r="YK42" s="6"/>
      <c r="YL42" s="6" t="s">
        <v>12</v>
      </c>
      <c r="YM42" s="6" t="s">
        <v>12</v>
      </c>
      <c r="YN42" s="6" t="s">
        <v>12</v>
      </c>
      <c r="YP42" s="6"/>
      <c r="YQ42" s="6"/>
      <c r="YR42" s="6"/>
      <c r="YS42" s="6"/>
      <c r="YT42" s="6"/>
      <c r="YU42" s="6"/>
      <c r="YV42" s="6"/>
      <c r="YW42" s="6"/>
      <c r="YX42" s="6"/>
      <c r="YY42" s="6"/>
      <c r="YZ42" s="6"/>
      <c r="ZA42" s="6"/>
      <c r="ZB42" s="6"/>
      <c r="ZC42" s="6"/>
      <c r="ZD42" s="6"/>
      <c r="ZE42" s="6"/>
      <c r="ZF42" s="6"/>
      <c r="ZG42" s="6"/>
      <c r="ZH42" s="6"/>
      <c r="ZI42" s="6"/>
      <c r="ZJ42" s="6"/>
      <c r="ZK42" s="6"/>
      <c r="ZL42" s="6"/>
      <c r="ZM42" s="6"/>
      <c r="ZN42" s="6"/>
      <c r="ZO42" s="6"/>
      <c r="ZP42" s="6"/>
      <c r="ZQ42" s="6"/>
      <c r="ZR42" s="6"/>
      <c r="ZS42" s="6"/>
      <c r="ZT42" s="6"/>
      <c r="ZU42" s="6"/>
      <c r="ZV42" s="6"/>
      <c r="ZW42" s="6"/>
      <c r="ZX42" s="6"/>
      <c r="ZY42" s="6"/>
      <c r="ZZ42" s="6"/>
      <c r="AAA42" s="6"/>
      <c r="AAB42" s="6"/>
      <c r="AAC42" s="6"/>
      <c r="AAD42" s="6"/>
      <c r="AAE42" s="6"/>
      <c r="AAF42" s="6"/>
      <c r="AAG42" s="6"/>
      <c r="AAH42" s="6"/>
      <c r="AAI42" s="6"/>
      <c r="AAJ42" s="6"/>
      <c r="AAK42" s="6"/>
      <c r="AAL42" s="6"/>
      <c r="AAM42" s="6"/>
      <c r="AAN42" s="6"/>
      <c r="AAO42" s="6"/>
      <c r="AAP42" s="6"/>
      <c r="AAQ42" s="6"/>
      <c r="AAR42" s="6"/>
      <c r="AAS42" s="6"/>
      <c r="AAT42" s="6"/>
      <c r="AAU42" s="6"/>
      <c r="AAV42" s="6"/>
      <c r="AAW42" s="6"/>
      <c r="AAX42" s="6"/>
      <c r="AAY42" s="6"/>
      <c r="AAZ42" s="6" t="s">
        <v>12</v>
      </c>
      <c r="ABA42" s="6" t="s">
        <v>12</v>
      </c>
      <c r="ABB42" s="6" t="s">
        <v>12</v>
      </c>
      <c r="ABC42" s="6"/>
      <c r="ABD42" s="6"/>
      <c r="ABE42" s="6"/>
      <c r="ABF42" s="6"/>
      <c r="ABG42" s="6"/>
      <c r="ABH42" s="6"/>
      <c r="ABI42" s="6"/>
      <c r="ABJ42" s="6"/>
      <c r="ABK42" s="6"/>
      <c r="ABL42" s="6"/>
      <c r="ABM42" s="6"/>
      <c r="ABN42" s="6"/>
      <c r="ABO42" s="6"/>
      <c r="ABP42" s="6"/>
      <c r="ABQ42" s="6"/>
      <c r="ABR42" s="6"/>
      <c r="ABS42" s="6"/>
      <c r="ABT42" s="6"/>
      <c r="ABU42" s="6"/>
      <c r="ABV42" s="6"/>
      <c r="ABW42" s="6"/>
      <c r="ABX42" s="6"/>
      <c r="ABY42" s="6"/>
      <c r="ABZ42" s="6"/>
      <c r="ACA42" s="6"/>
      <c r="ACB42" s="6"/>
      <c r="ACC42" s="6"/>
      <c r="ACD42" s="6"/>
      <c r="ACE42" s="6"/>
      <c r="ACF42" s="6"/>
      <c r="ACG42" s="6"/>
      <c r="ACH42" s="6"/>
      <c r="ACI42" s="6"/>
      <c r="ACJ42" s="6"/>
      <c r="ACK42" s="6"/>
      <c r="ACL42" s="6"/>
      <c r="ACM42" s="6"/>
      <c r="ACN42" s="6"/>
      <c r="ACO42" s="6"/>
      <c r="ACP42" s="6"/>
      <c r="ACQ42" s="6"/>
      <c r="ACR42" s="6"/>
      <c r="ACS42" s="6"/>
      <c r="ACT42" s="6"/>
      <c r="ACU42" s="6"/>
      <c r="ACV42" s="6"/>
      <c r="ACW42" s="6"/>
      <c r="ACX42" s="6"/>
      <c r="ACY42" s="6"/>
      <c r="ACZ42" s="6"/>
      <c r="ADA42" s="6"/>
      <c r="ADB42" s="6"/>
      <c r="ADC42" s="6"/>
      <c r="ADD42" s="6"/>
      <c r="ADE42" s="6"/>
      <c r="ADF42" s="6"/>
      <c r="ADG42" s="6"/>
      <c r="ADH42" s="6"/>
      <c r="ADI42" s="6"/>
      <c r="ADJ42" s="6"/>
      <c r="ADK42" s="6"/>
      <c r="ADL42" s="6"/>
      <c r="ADM42" s="6"/>
      <c r="ADN42" s="6"/>
      <c r="ADO42" s="6"/>
      <c r="ADP42" s="6"/>
      <c r="ADQ42" s="6"/>
      <c r="ADR42" s="6"/>
      <c r="ADS42" s="6"/>
      <c r="ADT42" s="6"/>
      <c r="ADU42" s="6"/>
      <c r="ADV42" s="6"/>
      <c r="ADW42" s="6"/>
      <c r="ADX42" s="6"/>
      <c r="ADY42" s="6"/>
      <c r="ADZ42" s="6" t="s">
        <v>12</v>
      </c>
      <c r="AEA42" s="6" t="s">
        <v>12</v>
      </c>
      <c r="AEB42" s="6" t="s">
        <v>12</v>
      </c>
      <c r="AED42" s="6"/>
      <c r="AEE42" s="6"/>
      <c r="AEF42" s="6"/>
      <c r="AEG42" s="6"/>
      <c r="AEH42" s="6"/>
      <c r="AEI42" s="6"/>
      <c r="AEJ42" s="6"/>
      <c r="AEK42" s="6"/>
      <c r="AEL42" s="6"/>
      <c r="AEM42" s="6"/>
      <c r="AEN42" s="6"/>
      <c r="AEO42" s="6"/>
      <c r="AEP42" s="6"/>
      <c r="AEQ42" s="6"/>
      <c r="AER42" s="6"/>
      <c r="AES42" s="6"/>
      <c r="AET42" s="6"/>
      <c r="AEU42" s="6"/>
      <c r="AEV42" s="6"/>
      <c r="AEW42" s="6"/>
      <c r="AEX42" s="6"/>
      <c r="AEY42" s="6"/>
      <c r="AEZ42" s="6"/>
      <c r="AFA42" s="6"/>
      <c r="AFB42" s="6"/>
      <c r="AFC42" s="6"/>
      <c r="AFD42" s="6"/>
      <c r="AFE42" s="6"/>
      <c r="AFF42" s="6"/>
      <c r="AFG42" s="6"/>
      <c r="AFH42" s="6"/>
      <c r="AFI42" s="6"/>
      <c r="AFJ42" s="6"/>
      <c r="AFK42" s="6"/>
      <c r="AFL42" s="6"/>
      <c r="AFM42" s="6"/>
      <c r="AFN42" s="6"/>
      <c r="AFO42" s="6"/>
      <c r="AFP42" s="6"/>
      <c r="AFQ42" s="6"/>
      <c r="AFR42" s="6"/>
      <c r="AFS42" s="6"/>
      <c r="AFT42" s="6"/>
      <c r="AFU42" s="6"/>
      <c r="AFV42" s="6"/>
      <c r="AFW42" s="6"/>
      <c r="AFX42" s="6"/>
      <c r="AFY42" s="6"/>
      <c r="AFZ42" s="6"/>
      <c r="AGA42" s="6"/>
      <c r="AGB42" s="6"/>
      <c r="AGC42" s="6"/>
      <c r="AGD42" s="6"/>
      <c r="AGE42" s="6"/>
      <c r="AGF42" s="6"/>
      <c r="AGG42" s="6"/>
      <c r="AGH42" s="6"/>
      <c r="AGI42" s="6"/>
      <c r="AGJ42" s="6"/>
      <c r="AGK42" s="6"/>
      <c r="AGL42" s="6"/>
      <c r="AGM42" s="6"/>
      <c r="AGN42" s="6" t="s">
        <v>12</v>
      </c>
      <c r="AGO42" s="6" t="s">
        <v>12</v>
      </c>
      <c r="AGP42" s="6" t="s">
        <v>12</v>
      </c>
      <c r="AGQ42" s="6"/>
      <c r="AGR42" s="6"/>
      <c r="AGS42" s="6"/>
      <c r="AGT42" s="6"/>
      <c r="AGU42" s="6"/>
      <c r="AGV42" s="6"/>
      <c r="AGW42" s="6"/>
      <c r="AGX42" s="6"/>
      <c r="AGY42" s="6"/>
      <c r="AGZ42" s="6"/>
      <c r="AHA42" s="6"/>
      <c r="AHB42" s="6"/>
      <c r="AHC42" s="6"/>
      <c r="AHD42" s="6"/>
      <c r="AHE42" s="6"/>
      <c r="AHF42" s="6"/>
      <c r="AHG42" s="6"/>
      <c r="AHH42" s="6"/>
      <c r="AHI42" s="6"/>
      <c r="AHJ42" s="6"/>
      <c r="AHK42" s="6"/>
      <c r="AHL42" s="6"/>
      <c r="AHM42" s="6"/>
      <c r="AHN42" s="6"/>
      <c r="AHO42" s="6"/>
      <c r="AHP42" s="6"/>
      <c r="AHQ42" s="6"/>
      <c r="AHR42" s="6"/>
      <c r="AHS42" s="6"/>
      <c r="AHT42" s="6"/>
      <c r="AHU42" s="6"/>
      <c r="AHV42" s="6"/>
      <c r="AHW42" s="6"/>
      <c r="AHX42" s="6"/>
      <c r="AHY42" s="6"/>
      <c r="AHZ42" s="6"/>
      <c r="AIA42" s="6"/>
      <c r="AIB42" s="6"/>
      <c r="AIC42" s="6"/>
      <c r="AID42" s="6"/>
      <c r="AIE42" s="6"/>
      <c r="AIF42" s="6"/>
      <c r="AIG42" s="6"/>
      <c r="AIH42" s="6"/>
      <c r="AII42" s="6"/>
      <c r="AIJ42" s="6"/>
      <c r="AIK42" s="6"/>
      <c r="AIL42" s="6"/>
      <c r="AIM42" s="6"/>
      <c r="AIN42" s="6"/>
      <c r="AIO42" s="6"/>
      <c r="AIP42" s="6"/>
      <c r="AIQ42" s="6"/>
      <c r="AIR42" s="6"/>
      <c r="AIS42" s="6"/>
      <c r="AIT42" s="6"/>
      <c r="AIU42" s="6"/>
      <c r="AIV42" s="6"/>
      <c r="AIW42" s="6"/>
      <c r="AIX42" s="6"/>
      <c r="AIY42" s="6"/>
      <c r="AIZ42" s="6"/>
      <c r="AJA42" s="6"/>
      <c r="AJB42" s="6"/>
      <c r="AJC42" s="6"/>
      <c r="AJD42" s="6"/>
      <c r="AJE42" s="6"/>
      <c r="AJF42" s="6"/>
      <c r="AJG42" s="6"/>
      <c r="AJH42" s="6"/>
      <c r="AJI42" s="6"/>
      <c r="AJJ42" s="6"/>
      <c r="AJK42" s="6"/>
      <c r="AJL42" s="6"/>
      <c r="AJM42" s="6"/>
      <c r="AJN42" s="6" t="s">
        <v>12</v>
      </c>
      <c r="AJO42" s="6" t="s">
        <v>12</v>
      </c>
      <c r="AJP42" s="6" t="s">
        <v>12</v>
      </c>
      <c r="AJR42" s="6"/>
      <c r="AJS42" s="6"/>
      <c r="AJT42" s="6"/>
      <c r="AJU42" s="6"/>
      <c r="AJV42" s="6"/>
      <c r="AJW42" s="6"/>
      <c r="AJX42" s="6"/>
      <c r="AJY42" s="6"/>
      <c r="AJZ42" s="6"/>
      <c r="AKA42" s="6"/>
      <c r="AKB42" s="6"/>
      <c r="AKC42" s="6"/>
      <c r="AKD42" s="6"/>
      <c r="AKE42" s="6"/>
      <c r="AKF42" s="6"/>
      <c r="AKG42" s="6"/>
      <c r="AKH42" s="6"/>
      <c r="AKI42" s="6"/>
      <c r="AKJ42" s="6"/>
      <c r="AKK42" s="6"/>
      <c r="AKL42" s="6"/>
      <c r="AKM42" s="6"/>
      <c r="AKN42" s="6"/>
      <c r="AKO42" s="6"/>
      <c r="AKP42" s="6"/>
      <c r="AKQ42" s="6"/>
      <c r="AKR42" s="6"/>
      <c r="AKS42" s="6"/>
      <c r="AKT42" s="6"/>
      <c r="AKU42" s="6"/>
      <c r="AKV42" s="6"/>
      <c r="AKW42" s="6"/>
      <c r="AKX42" s="6"/>
      <c r="AKY42" s="6"/>
      <c r="AKZ42" s="6"/>
      <c r="ALA42" s="6"/>
      <c r="ALB42" s="6"/>
      <c r="ALC42" s="6"/>
      <c r="ALD42" s="6"/>
      <c r="ALE42" s="6"/>
      <c r="ALF42" s="6"/>
      <c r="ALG42" s="6"/>
      <c r="ALH42" s="6"/>
      <c r="ALI42" s="6"/>
      <c r="ALJ42" s="6"/>
      <c r="ALK42" s="6"/>
      <c r="ALL42" s="6"/>
      <c r="ALM42" s="6"/>
      <c r="ALN42" s="6"/>
      <c r="ALO42" s="6"/>
      <c r="ALP42" s="6"/>
      <c r="ALQ42" s="6"/>
      <c r="ALR42" s="6"/>
      <c r="ALS42" s="6"/>
      <c r="ALT42" s="6"/>
      <c r="ALU42" s="6"/>
      <c r="ALV42" s="6"/>
      <c r="ALW42" s="6"/>
    </row>
    <row r="43" spans="2:1011" x14ac:dyDescent="0.25">
      <c r="B43" s="9" t="s">
        <v>18</v>
      </c>
      <c r="C43" s="5"/>
      <c r="D43" s="6" t="str">
        <f>IF(D$44="M0","M0", IF(D$45="M1","M1", IF(D$46="M2","M2", "!")))</f>
        <v>M1</v>
      </c>
      <c r="E43" s="6" t="str">
        <f t="shared" si="1207"/>
        <v>M1</v>
      </c>
      <c r="F43" s="6" t="str">
        <f t="shared" si="1207"/>
        <v>M1</v>
      </c>
      <c r="G43" s="6" t="str">
        <f t="shared" si="1207"/>
        <v>M1</v>
      </c>
      <c r="H43" s="6" t="str">
        <f t="shared" si="1207"/>
        <v>M1</v>
      </c>
      <c r="I43" s="6" t="str">
        <f t="shared" si="1207"/>
        <v>M1</v>
      </c>
      <c r="J43" s="6" t="str">
        <f t="shared" si="1207"/>
        <v>M1</v>
      </c>
      <c r="K43" s="6" t="str">
        <f t="shared" si="1207"/>
        <v>M1</v>
      </c>
      <c r="L43" s="6" t="str">
        <f t="shared" si="1207"/>
        <v>M1</v>
      </c>
      <c r="M43" s="6" t="str">
        <f t="shared" si="1207"/>
        <v>M1</v>
      </c>
      <c r="N43" s="6" t="str">
        <f t="shared" si="1207"/>
        <v>M1</v>
      </c>
      <c r="O43" s="6" t="str">
        <f t="shared" si="1207"/>
        <v>M1</v>
      </c>
      <c r="P43" s="6" t="str">
        <f t="shared" si="1207"/>
        <v>M1</v>
      </c>
      <c r="Q43" s="6" t="str">
        <f t="shared" si="1207"/>
        <v>M1</v>
      </c>
      <c r="R43" s="6" t="str">
        <f t="shared" si="1207"/>
        <v>M1</v>
      </c>
      <c r="S43" s="6" t="str">
        <f t="shared" si="1207"/>
        <v>M1</v>
      </c>
      <c r="T43" s="6" t="str">
        <f t="shared" si="1207"/>
        <v>M1</v>
      </c>
      <c r="U43" s="6" t="str">
        <f t="shared" si="1207"/>
        <v>M1</v>
      </c>
      <c r="V43" s="6" t="str">
        <f t="shared" si="1207"/>
        <v>M1</v>
      </c>
      <c r="W43" s="6" t="str">
        <f t="shared" si="1207"/>
        <v>M1</v>
      </c>
      <c r="X43" s="6" t="str">
        <f t="shared" si="1207"/>
        <v>M1</v>
      </c>
      <c r="Y43" s="6" t="str">
        <f t="shared" si="1207"/>
        <v>M1</v>
      </c>
      <c r="Z43" s="6" t="str">
        <f t="shared" si="1207"/>
        <v>M1</v>
      </c>
      <c r="AA43" s="6" t="str">
        <f t="shared" si="1207"/>
        <v>M1</v>
      </c>
      <c r="AB43" s="6" t="str">
        <f t="shared" si="1207"/>
        <v>M1</v>
      </c>
      <c r="AC43" s="6" t="str">
        <f t="shared" si="1207"/>
        <v>M1</v>
      </c>
      <c r="AD43" s="6" t="str">
        <f t="shared" si="1207"/>
        <v>M1</v>
      </c>
      <c r="AE43" s="6" t="str">
        <f t="shared" si="1207"/>
        <v>M1</v>
      </c>
      <c r="AF43" s="6" t="str">
        <f t="shared" si="1207"/>
        <v>M1</v>
      </c>
      <c r="AG43" s="6" t="str">
        <f t="shared" si="1207"/>
        <v>M1</v>
      </c>
      <c r="AH43" s="6" t="str">
        <f t="shared" si="1207"/>
        <v>M1</v>
      </c>
      <c r="AI43" s="6" t="str">
        <f t="shared" si="1207"/>
        <v>M1</v>
      </c>
      <c r="AJ43" s="6" t="str">
        <f t="shared" si="1207"/>
        <v>M1</v>
      </c>
      <c r="AK43" s="6" t="str">
        <f t="shared" si="1207"/>
        <v>M1</v>
      </c>
      <c r="AL43" s="6" t="str">
        <f t="shared" si="1207"/>
        <v>M1</v>
      </c>
      <c r="AM43" s="6" t="str">
        <f t="shared" si="1207"/>
        <v>M1</v>
      </c>
      <c r="AN43" s="6" t="str">
        <f t="shared" si="1207"/>
        <v>M1</v>
      </c>
      <c r="AO43" s="6" t="str">
        <f t="shared" si="1207"/>
        <v>M1</v>
      </c>
      <c r="AP43" s="6" t="str">
        <f t="shared" si="1207"/>
        <v>M1</v>
      </c>
      <c r="AQ43" s="6" t="str">
        <f t="shared" si="1207"/>
        <v>M1</v>
      </c>
      <c r="AR43" s="6" t="str">
        <f t="shared" si="1207"/>
        <v>M1</v>
      </c>
      <c r="AS43" s="6" t="str">
        <f t="shared" si="1207"/>
        <v>M1</v>
      </c>
      <c r="AT43" s="6" t="str">
        <f t="shared" si="1207"/>
        <v>M1</v>
      </c>
      <c r="AU43" s="6" t="str">
        <f t="shared" si="1207"/>
        <v>M1</v>
      </c>
      <c r="AV43" s="6" t="str">
        <f t="shared" si="1207"/>
        <v>M1</v>
      </c>
      <c r="AW43" s="6" t="str">
        <f t="shared" si="1207"/>
        <v>M1</v>
      </c>
      <c r="AX43" s="6" t="str">
        <f t="shared" si="1207"/>
        <v>M1</v>
      </c>
      <c r="AY43" s="6" t="str">
        <f t="shared" si="1207"/>
        <v>M1</v>
      </c>
      <c r="AZ43" s="6" t="str">
        <f t="shared" si="1207"/>
        <v>M1</v>
      </c>
      <c r="BA43" s="6" t="str">
        <f t="shared" si="1207"/>
        <v>M1</v>
      </c>
      <c r="BB43" s="6" t="str">
        <f t="shared" si="1207"/>
        <v>M1</v>
      </c>
      <c r="BC43" s="6" t="str">
        <f t="shared" si="1207"/>
        <v>M1</v>
      </c>
      <c r="BD43" s="6" t="str">
        <f t="shared" si="1207"/>
        <v>M1</v>
      </c>
      <c r="BE43" s="6" t="str">
        <f t="shared" si="1207"/>
        <v>M1</v>
      </c>
      <c r="BF43" s="6" t="str">
        <f t="shared" si="1207"/>
        <v>M1</v>
      </c>
      <c r="BG43" s="6" t="str">
        <f t="shared" si="1207"/>
        <v>M1</v>
      </c>
      <c r="BH43" s="6" t="str">
        <f t="shared" si="1207"/>
        <v>M1</v>
      </c>
      <c r="BI43" s="6" t="str">
        <f t="shared" si="1207"/>
        <v>M1</v>
      </c>
      <c r="BJ43" s="6" t="str">
        <f t="shared" si="1207"/>
        <v>M1</v>
      </c>
      <c r="BK43" s="6" t="str">
        <f t="shared" si="1207"/>
        <v>M1</v>
      </c>
      <c r="BL43" s="6" t="str">
        <f t="shared" si="1207"/>
        <v>M1</v>
      </c>
      <c r="BM43" s="6" t="str">
        <f t="shared" si="1207"/>
        <v>M1</v>
      </c>
      <c r="BN43" s="6" t="str">
        <f t="shared" si="1207"/>
        <v>M1</v>
      </c>
      <c r="BO43" s="6" t="str">
        <f t="shared" si="1207"/>
        <v>M1</v>
      </c>
      <c r="BP43" s="6" t="str">
        <f t="shared" si="1207"/>
        <v>M1</v>
      </c>
      <c r="BQ43" s="6" t="str">
        <f t="shared" ref="BQ43:EB43" si="1213">IF(BQ$44="M0","M0", IF(BQ$45="M1","M1", IF(BQ$46="M2","M2", "!")))</f>
        <v>M1</v>
      </c>
      <c r="BR43" s="6" t="str">
        <f t="shared" si="1213"/>
        <v>M1</v>
      </c>
      <c r="BS43" s="6" t="str">
        <f t="shared" si="1213"/>
        <v>M1</v>
      </c>
      <c r="BT43" s="6" t="str">
        <f t="shared" si="1213"/>
        <v>M1</v>
      </c>
      <c r="BU43" s="6" t="str">
        <f t="shared" si="1213"/>
        <v>M1</v>
      </c>
      <c r="BV43" s="6" t="str">
        <f t="shared" si="1213"/>
        <v>M1</v>
      </c>
      <c r="BW43" s="6" t="str">
        <f t="shared" si="1213"/>
        <v>M1</v>
      </c>
      <c r="BX43" s="6" t="str">
        <f t="shared" si="1213"/>
        <v>M1</v>
      </c>
      <c r="BY43" s="6" t="str">
        <f t="shared" si="1213"/>
        <v>M1</v>
      </c>
      <c r="BZ43" s="6" t="str">
        <f t="shared" si="1213"/>
        <v>M1</v>
      </c>
      <c r="CA43" s="6" t="str">
        <f t="shared" si="1213"/>
        <v>M1</v>
      </c>
      <c r="CB43" s="6" t="str">
        <f t="shared" si="1213"/>
        <v>M1</v>
      </c>
      <c r="CC43" s="6" t="str">
        <f t="shared" si="1213"/>
        <v>M1</v>
      </c>
      <c r="CD43" s="6" t="str">
        <f t="shared" si="1213"/>
        <v>M1</v>
      </c>
      <c r="CE43" s="6" t="str">
        <f t="shared" si="1213"/>
        <v>M1</v>
      </c>
      <c r="CF43" s="6" t="str">
        <f t="shared" si="1213"/>
        <v>M1</v>
      </c>
      <c r="CG43" s="6" t="str">
        <f t="shared" si="1213"/>
        <v>M1</v>
      </c>
      <c r="CH43" s="6" t="str">
        <f t="shared" si="1213"/>
        <v>M1</v>
      </c>
      <c r="CI43" s="6" t="str">
        <f t="shared" si="1213"/>
        <v>M1</v>
      </c>
      <c r="CJ43" s="6" t="str">
        <f t="shared" si="1213"/>
        <v>M1</v>
      </c>
      <c r="CK43" s="6" t="str">
        <f t="shared" si="1213"/>
        <v>M1</v>
      </c>
      <c r="CL43" s="6" t="str">
        <f t="shared" si="1213"/>
        <v>M2</v>
      </c>
      <c r="CM43" s="6" t="str">
        <f t="shared" si="1213"/>
        <v>M2</v>
      </c>
      <c r="CN43" s="6" t="str">
        <f t="shared" si="1213"/>
        <v>M2</v>
      </c>
      <c r="CO43" s="6" t="str">
        <f t="shared" si="1213"/>
        <v>M1</v>
      </c>
      <c r="CP43" s="6" t="str">
        <f t="shared" si="1213"/>
        <v>M1</v>
      </c>
      <c r="CQ43" s="6" t="str">
        <f t="shared" si="1213"/>
        <v>M1</v>
      </c>
      <c r="CR43" s="6" t="str">
        <f t="shared" si="1213"/>
        <v>M1</v>
      </c>
      <c r="CS43" s="6" t="str">
        <f t="shared" si="1213"/>
        <v>M1</v>
      </c>
      <c r="CT43" s="6" t="str">
        <f t="shared" si="1213"/>
        <v>M1</v>
      </c>
      <c r="CU43" s="6" t="str">
        <f t="shared" si="1213"/>
        <v>M1</v>
      </c>
      <c r="CV43" s="6" t="str">
        <f t="shared" si="1213"/>
        <v>M1</v>
      </c>
      <c r="CW43" s="6" t="str">
        <f t="shared" si="1213"/>
        <v>M1</v>
      </c>
      <c r="CX43" s="6" t="str">
        <f t="shared" si="1213"/>
        <v>M1</v>
      </c>
      <c r="CY43" s="6" t="str">
        <f t="shared" si="1213"/>
        <v>M1</v>
      </c>
      <c r="CZ43" s="6" t="str">
        <f t="shared" si="1213"/>
        <v>M1</v>
      </c>
      <c r="DA43" s="6" t="str">
        <f t="shared" si="1213"/>
        <v>M1</v>
      </c>
      <c r="DB43" s="6" t="str">
        <f t="shared" si="1213"/>
        <v>M1</v>
      </c>
      <c r="DC43" s="6" t="str">
        <f t="shared" si="1213"/>
        <v>M1</v>
      </c>
      <c r="DD43" s="6" t="str">
        <f t="shared" si="1213"/>
        <v>M1</v>
      </c>
      <c r="DE43" s="6" t="str">
        <f t="shared" si="1213"/>
        <v>M1</v>
      </c>
      <c r="DF43" s="6" t="str">
        <f t="shared" si="1213"/>
        <v>M1</v>
      </c>
      <c r="DG43" s="6" t="str">
        <f t="shared" si="1213"/>
        <v>M1</v>
      </c>
      <c r="DH43" s="6" t="str">
        <f t="shared" si="1213"/>
        <v>M1</v>
      </c>
      <c r="DI43" s="6" t="str">
        <f t="shared" si="1213"/>
        <v>M1</v>
      </c>
      <c r="DJ43" s="6" t="str">
        <f t="shared" si="1213"/>
        <v>M1</v>
      </c>
      <c r="DK43" s="6" t="str">
        <f t="shared" si="1213"/>
        <v>M1</v>
      </c>
      <c r="DL43" s="6" t="str">
        <f t="shared" si="1213"/>
        <v>M1</v>
      </c>
      <c r="DM43" s="6" t="str">
        <f t="shared" si="1213"/>
        <v>M1</v>
      </c>
      <c r="DN43" s="6" t="str">
        <f t="shared" si="1213"/>
        <v>M1</v>
      </c>
      <c r="DO43" s="6" t="str">
        <f t="shared" si="1213"/>
        <v>M1</v>
      </c>
      <c r="DP43" s="6" t="str">
        <f t="shared" si="1213"/>
        <v>M1</v>
      </c>
      <c r="DQ43" s="6" t="str">
        <f t="shared" si="1213"/>
        <v>M1</v>
      </c>
      <c r="DR43" s="6" t="str">
        <f t="shared" si="1213"/>
        <v>M1</v>
      </c>
      <c r="DS43" s="6" t="str">
        <f t="shared" si="1213"/>
        <v>M1</v>
      </c>
      <c r="DT43" s="6" t="str">
        <f t="shared" si="1213"/>
        <v>M1</v>
      </c>
      <c r="DU43" s="6" t="str">
        <f t="shared" si="1213"/>
        <v>M1</v>
      </c>
      <c r="DV43" s="6" t="str">
        <f t="shared" si="1213"/>
        <v>M1</v>
      </c>
      <c r="DW43" s="6" t="str">
        <f t="shared" si="1213"/>
        <v>M1</v>
      </c>
      <c r="DX43" s="6" t="str">
        <f t="shared" si="1213"/>
        <v>M1</v>
      </c>
      <c r="DY43" s="6" t="str">
        <f t="shared" si="1213"/>
        <v>M0</v>
      </c>
      <c r="DZ43" s="6" t="str">
        <f t="shared" si="1213"/>
        <v>M0</v>
      </c>
      <c r="EA43" s="6" t="str">
        <f t="shared" si="1213"/>
        <v>M0</v>
      </c>
      <c r="EB43" s="6" t="str">
        <f t="shared" si="1213"/>
        <v>M0</v>
      </c>
      <c r="EC43" s="6" t="str">
        <f t="shared" ref="EC43:GN43" si="1214">IF(EC$44="M0","M0", IF(EC$45="M1","M1", IF(EC$46="M2","M2", "!")))</f>
        <v>M0</v>
      </c>
      <c r="ED43" s="6" t="str">
        <f t="shared" si="1214"/>
        <v>M0</v>
      </c>
      <c r="EE43" s="6" t="str">
        <f t="shared" si="1214"/>
        <v>M0</v>
      </c>
      <c r="EF43" s="6" t="str">
        <f t="shared" si="1214"/>
        <v>M0</v>
      </c>
      <c r="EG43" s="6" t="str">
        <f t="shared" si="1214"/>
        <v>M0</v>
      </c>
      <c r="EH43" s="6" t="str">
        <f t="shared" si="1214"/>
        <v>M0</v>
      </c>
      <c r="EI43" s="6" t="str">
        <f t="shared" si="1214"/>
        <v>M0</v>
      </c>
      <c r="EJ43" s="6" t="str">
        <f t="shared" si="1214"/>
        <v>M0</v>
      </c>
      <c r="EK43" s="6" t="str">
        <f t="shared" si="1214"/>
        <v>M0</v>
      </c>
      <c r="EL43" s="6" t="str">
        <f t="shared" si="1214"/>
        <v>M0</v>
      </c>
      <c r="EM43" s="6" t="str">
        <f t="shared" si="1214"/>
        <v>M0</v>
      </c>
      <c r="EN43" s="6" t="str">
        <f t="shared" si="1214"/>
        <v>M0</v>
      </c>
      <c r="EO43" s="6" t="str">
        <f t="shared" si="1214"/>
        <v>M0</v>
      </c>
      <c r="EP43" s="6" t="str">
        <f t="shared" si="1214"/>
        <v>M0</v>
      </c>
      <c r="EQ43" s="6" t="str">
        <f t="shared" si="1214"/>
        <v>M0</v>
      </c>
      <c r="ER43" s="6" t="str">
        <f t="shared" si="1214"/>
        <v>M0</v>
      </c>
      <c r="ES43" s="6" t="str">
        <f t="shared" si="1214"/>
        <v>M0</v>
      </c>
      <c r="ET43" s="6" t="str">
        <f t="shared" si="1214"/>
        <v>M0</v>
      </c>
      <c r="EU43" s="6" t="str">
        <f t="shared" si="1214"/>
        <v>M0</v>
      </c>
      <c r="EV43" s="6" t="str">
        <f t="shared" si="1214"/>
        <v>M0</v>
      </c>
      <c r="EW43" s="6" t="str">
        <f t="shared" si="1214"/>
        <v>M0</v>
      </c>
      <c r="EX43" s="6" t="str">
        <f t="shared" si="1214"/>
        <v>M0</v>
      </c>
      <c r="EY43" s="6" t="str">
        <f t="shared" si="1214"/>
        <v>M0</v>
      </c>
      <c r="EZ43" s="6" t="str">
        <f t="shared" si="1214"/>
        <v>M0</v>
      </c>
      <c r="FA43" s="6" t="str">
        <f t="shared" si="1214"/>
        <v>M0</v>
      </c>
      <c r="FB43" s="6" t="str">
        <f t="shared" si="1214"/>
        <v>M0</v>
      </c>
      <c r="FC43" s="6" t="str">
        <f t="shared" si="1214"/>
        <v>M0</v>
      </c>
      <c r="FD43" s="6" t="str">
        <f t="shared" si="1214"/>
        <v>M0</v>
      </c>
      <c r="FE43" s="6" t="str">
        <f t="shared" si="1214"/>
        <v>M0</v>
      </c>
      <c r="FF43" s="6" t="str">
        <f t="shared" si="1214"/>
        <v>M0</v>
      </c>
      <c r="FG43" s="6" t="str">
        <f t="shared" si="1214"/>
        <v>M0</v>
      </c>
      <c r="FH43" s="6" t="str">
        <f t="shared" si="1214"/>
        <v>M0</v>
      </c>
      <c r="FI43" s="6" t="str">
        <f t="shared" si="1214"/>
        <v>M0</v>
      </c>
      <c r="FJ43" s="6" t="str">
        <f t="shared" si="1214"/>
        <v>M0</v>
      </c>
      <c r="FK43" s="6" t="str">
        <f t="shared" si="1214"/>
        <v>M0</v>
      </c>
      <c r="FL43" s="6" t="str">
        <f t="shared" si="1214"/>
        <v>M0</v>
      </c>
      <c r="FM43" s="6" t="str">
        <f t="shared" si="1214"/>
        <v>M0</v>
      </c>
      <c r="FN43" s="6" t="str">
        <f t="shared" si="1214"/>
        <v>M0</v>
      </c>
      <c r="FO43" s="6" t="str">
        <f t="shared" si="1214"/>
        <v>M0</v>
      </c>
      <c r="FP43" s="6" t="str">
        <f t="shared" si="1214"/>
        <v>M0</v>
      </c>
      <c r="FQ43" s="6" t="str">
        <f t="shared" si="1214"/>
        <v>M0</v>
      </c>
      <c r="FR43" s="6" t="str">
        <f t="shared" si="1214"/>
        <v>M0</v>
      </c>
      <c r="FS43" s="6" t="str">
        <f t="shared" si="1214"/>
        <v>M0</v>
      </c>
      <c r="FT43" s="6" t="str">
        <f t="shared" si="1214"/>
        <v>M0</v>
      </c>
      <c r="FU43" s="6" t="str">
        <f t="shared" si="1214"/>
        <v>M0</v>
      </c>
      <c r="FV43" s="6" t="str">
        <f t="shared" si="1214"/>
        <v>M0</v>
      </c>
      <c r="FW43" s="6" t="str">
        <f t="shared" si="1214"/>
        <v>M0</v>
      </c>
      <c r="FX43" s="6" t="str">
        <f t="shared" si="1214"/>
        <v>M0</v>
      </c>
      <c r="FY43" s="6" t="str">
        <f t="shared" si="1214"/>
        <v>M0</v>
      </c>
      <c r="FZ43" s="6" t="str">
        <f t="shared" si="1214"/>
        <v>M0</v>
      </c>
      <c r="GA43" s="6" t="str">
        <f t="shared" si="1214"/>
        <v>M0</v>
      </c>
      <c r="GB43" s="6" t="str">
        <f t="shared" si="1214"/>
        <v>M0</v>
      </c>
      <c r="GC43" s="6" t="str">
        <f t="shared" si="1214"/>
        <v>M0</v>
      </c>
      <c r="GD43" s="6" t="str">
        <f t="shared" si="1214"/>
        <v>M0</v>
      </c>
      <c r="GE43" s="6" t="str">
        <f t="shared" si="1214"/>
        <v>M0</v>
      </c>
      <c r="GF43" s="6" t="str">
        <f t="shared" si="1214"/>
        <v>M0</v>
      </c>
      <c r="GG43" s="6" t="str">
        <f t="shared" si="1214"/>
        <v>M0</v>
      </c>
      <c r="GH43" s="6" t="str">
        <f t="shared" si="1214"/>
        <v>M0</v>
      </c>
      <c r="GI43" s="6" t="str">
        <f t="shared" si="1214"/>
        <v>M0</v>
      </c>
      <c r="GJ43" s="6" t="str">
        <f t="shared" si="1214"/>
        <v>M0</v>
      </c>
      <c r="GK43" s="6" t="str">
        <f t="shared" si="1214"/>
        <v>M0</v>
      </c>
      <c r="GL43" s="6" t="str">
        <f t="shared" si="1214"/>
        <v>M0</v>
      </c>
      <c r="GM43" s="6" t="str">
        <f t="shared" si="1214"/>
        <v>M0</v>
      </c>
      <c r="GN43" s="6" t="str">
        <f t="shared" si="1214"/>
        <v>M0</v>
      </c>
      <c r="GO43" s="6" t="str">
        <f t="shared" ref="GO43:IZ43" si="1215">IF(GO$44="M0","M0", IF(GO$45="M1","M1", IF(GO$46="M2","M2", "!")))</f>
        <v>M0</v>
      </c>
      <c r="GP43" s="6" t="str">
        <f t="shared" si="1215"/>
        <v>M0</v>
      </c>
      <c r="GQ43" s="6" t="str">
        <f t="shared" si="1215"/>
        <v>M0</v>
      </c>
      <c r="GR43" s="6" t="str">
        <f t="shared" si="1215"/>
        <v>M0</v>
      </c>
      <c r="GS43" s="6" t="str">
        <f t="shared" si="1215"/>
        <v>M0</v>
      </c>
      <c r="GT43" s="6" t="str">
        <f t="shared" si="1215"/>
        <v>M0</v>
      </c>
      <c r="GU43" s="6" t="str">
        <f t="shared" si="1215"/>
        <v>M0</v>
      </c>
      <c r="GV43" s="6" t="str">
        <f t="shared" si="1215"/>
        <v>M0</v>
      </c>
      <c r="GW43" s="6" t="str">
        <f t="shared" si="1215"/>
        <v>M0</v>
      </c>
      <c r="GX43" s="6" t="str">
        <f t="shared" si="1215"/>
        <v>M0</v>
      </c>
      <c r="GY43" s="6" t="str">
        <f t="shared" si="1215"/>
        <v>M0</v>
      </c>
      <c r="GZ43" s="6" t="str">
        <f t="shared" si="1215"/>
        <v>M0</v>
      </c>
      <c r="HA43" s="6" t="str">
        <f t="shared" si="1215"/>
        <v>M0</v>
      </c>
      <c r="HB43" s="6" t="str">
        <f t="shared" si="1215"/>
        <v>M0</v>
      </c>
      <c r="HC43" s="6" t="str">
        <f t="shared" si="1215"/>
        <v>M0</v>
      </c>
      <c r="HD43" s="6" t="str">
        <f t="shared" si="1215"/>
        <v>M0</v>
      </c>
      <c r="HE43" s="6" t="str">
        <f t="shared" si="1215"/>
        <v>M0</v>
      </c>
      <c r="HF43" s="6" t="str">
        <f t="shared" si="1215"/>
        <v>M0</v>
      </c>
      <c r="HG43" s="6" t="str">
        <f t="shared" si="1215"/>
        <v>M0</v>
      </c>
      <c r="HH43" s="6" t="str">
        <f t="shared" si="1215"/>
        <v>M0</v>
      </c>
      <c r="HI43" s="6" t="str">
        <f t="shared" si="1215"/>
        <v>M0</v>
      </c>
      <c r="HJ43" s="6" t="str">
        <f t="shared" si="1215"/>
        <v>M0</v>
      </c>
      <c r="HK43" s="6" t="str">
        <f t="shared" si="1215"/>
        <v>M0</v>
      </c>
      <c r="HL43" s="6" t="str">
        <f t="shared" si="1215"/>
        <v>M0</v>
      </c>
      <c r="HM43" s="6" t="str">
        <f t="shared" si="1215"/>
        <v>M0</v>
      </c>
      <c r="HN43" s="6" t="str">
        <f t="shared" si="1215"/>
        <v>M0</v>
      </c>
      <c r="HO43" s="6" t="str">
        <f t="shared" si="1215"/>
        <v>M0</v>
      </c>
      <c r="HP43" s="6" t="str">
        <f t="shared" si="1215"/>
        <v>M0</v>
      </c>
      <c r="HQ43" s="6" t="str">
        <f t="shared" si="1215"/>
        <v>M0</v>
      </c>
      <c r="HR43" s="6" t="str">
        <f t="shared" si="1215"/>
        <v>M0</v>
      </c>
      <c r="HS43" s="6" t="str">
        <f t="shared" si="1215"/>
        <v>M0</v>
      </c>
      <c r="HT43" s="6" t="str">
        <f t="shared" si="1215"/>
        <v>M0</v>
      </c>
      <c r="HU43" s="6" t="str">
        <f t="shared" si="1215"/>
        <v>M0</v>
      </c>
      <c r="HV43" s="6" t="str">
        <f t="shared" si="1215"/>
        <v>M0</v>
      </c>
      <c r="HW43" s="6" t="str">
        <f t="shared" si="1215"/>
        <v>M0</v>
      </c>
      <c r="HX43" s="6" t="str">
        <f t="shared" si="1215"/>
        <v>M0</v>
      </c>
      <c r="HY43" s="6" t="str">
        <f t="shared" si="1215"/>
        <v>M0</v>
      </c>
      <c r="HZ43" s="6" t="str">
        <f t="shared" si="1215"/>
        <v>M0</v>
      </c>
      <c r="IA43" s="6" t="str">
        <f t="shared" si="1215"/>
        <v>M0</v>
      </c>
      <c r="IB43" s="6" t="str">
        <f t="shared" si="1215"/>
        <v>M0</v>
      </c>
      <c r="IC43" s="6" t="str">
        <f t="shared" si="1215"/>
        <v>M0</v>
      </c>
      <c r="ID43" s="6" t="str">
        <f t="shared" si="1215"/>
        <v>M0</v>
      </c>
      <c r="IE43" s="6" t="str">
        <f t="shared" si="1215"/>
        <v>M0</v>
      </c>
      <c r="IF43" s="6" t="str">
        <f t="shared" si="1215"/>
        <v>M0</v>
      </c>
      <c r="IG43" s="6" t="str">
        <f t="shared" si="1215"/>
        <v>M0</v>
      </c>
      <c r="IH43" s="6" t="str">
        <f t="shared" si="1215"/>
        <v>M0</v>
      </c>
      <c r="II43" s="6" t="str">
        <f t="shared" si="1215"/>
        <v>M0</v>
      </c>
      <c r="IJ43" s="6" t="str">
        <f t="shared" si="1215"/>
        <v>M0</v>
      </c>
      <c r="IK43" s="6" t="str">
        <f t="shared" si="1215"/>
        <v>M0</v>
      </c>
      <c r="IL43" s="6" t="str">
        <f t="shared" si="1215"/>
        <v>M0</v>
      </c>
      <c r="IM43" s="6" t="str">
        <f t="shared" si="1215"/>
        <v>M0</v>
      </c>
      <c r="IN43" s="6" t="str">
        <f t="shared" si="1215"/>
        <v>M0</v>
      </c>
      <c r="IO43" s="6" t="str">
        <f t="shared" si="1215"/>
        <v>M0</v>
      </c>
      <c r="IP43" s="6" t="str">
        <f t="shared" si="1215"/>
        <v>M0</v>
      </c>
      <c r="IQ43" s="6" t="str">
        <f t="shared" si="1215"/>
        <v>M0</v>
      </c>
      <c r="IR43" s="6" t="str">
        <f t="shared" si="1215"/>
        <v>M0</v>
      </c>
      <c r="IS43" s="6" t="str">
        <f t="shared" si="1215"/>
        <v>M0</v>
      </c>
      <c r="IT43" s="6" t="str">
        <f t="shared" si="1215"/>
        <v>M0</v>
      </c>
      <c r="IU43" s="6" t="str">
        <f t="shared" si="1215"/>
        <v>M0</v>
      </c>
      <c r="IV43" s="6" t="str">
        <f t="shared" si="1215"/>
        <v>M0</v>
      </c>
      <c r="IW43" s="6" t="str">
        <f t="shared" si="1215"/>
        <v>M0</v>
      </c>
      <c r="IX43" s="6" t="str">
        <f t="shared" si="1215"/>
        <v>M0</v>
      </c>
      <c r="IY43" s="6" t="str">
        <f t="shared" si="1215"/>
        <v>M0</v>
      </c>
      <c r="IZ43" s="6" t="str">
        <f t="shared" si="1215"/>
        <v>M0</v>
      </c>
      <c r="JA43" s="6" t="str">
        <f t="shared" ref="JA43:LL43" si="1216">IF(JA$44="M0","M0", IF(JA$45="M1","M1", IF(JA$46="M2","M2", "!")))</f>
        <v>M0</v>
      </c>
      <c r="JB43" s="6" t="str">
        <f t="shared" si="1216"/>
        <v>M0</v>
      </c>
      <c r="JC43" s="6" t="str">
        <f t="shared" si="1216"/>
        <v>M0</v>
      </c>
      <c r="JD43" s="6" t="str">
        <f t="shared" si="1216"/>
        <v>M0</v>
      </c>
      <c r="JE43" s="6" t="str">
        <f t="shared" si="1216"/>
        <v>M0</v>
      </c>
      <c r="JF43" s="6" t="str">
        <f t="shared" si="1216"/>
        <v>M0</v>
      </c>
      <c r="JG43" s="6" t="str">
        <f t="shared" si="1216"/>
        <v>M0</v>
      </c>
      <c r="JH43" s="6" t="str">
        <f t="shared" si="1216"/>
        <v>M0</v>
      </c>
      <c r="JI43" s="6" t="str">
        <f t="shared" si="1216"/>
        <v>M0</v>
      </c>
      <c r="JJ43" s="6" t="str">
        <f t="shared" si="1216"/>
        <v>M0</v>
      </c>
      <c r="JK43" s="6" t="str">
        <f t="shared" si="1216"/>
        <v>M0</v>
      </c>
      <c r="JL43" s="6" t="str">
        <f t="shared" si="1216"/>
        <v>M0</v>
      </c>
      <c r="JM43" s="6" t="str">
        <f t="shared" si="1216"/>
        <v>M0</v>
      </c>
      <c r="JN43" s="6" t="str">
        <f t="shared" si="1216"/>
        <v>M0</v>
      </c>
      <c r="JO43" s="6" t="str">
        <f t="shared" si="1216"/>
        <v>M0</v>
      </c>
      <c r="JP43" s="6" t="str">
        <f t="shared" si="1216"/>
        <v>M0</v>
      </c>
      <c r="JQ43" s="6" t="str">
        <f t="shared" si="1216"/>
        <v>M0</v>
      </c>
      <c r="JR43" s="6" t="str">
        <f t="shared" si="1216"/>
        <v>M0</v>
      </c>
      <c r="JS43" s="6" t="str">
        <f t="shared" si="1216"/>
        <v>M0</v>
      </c>
      <c r="JT43" s="6" t="str">
        <f t="shared" si="1216"/>
        <v>M0</v>
      </c>
      <c r="JU43" s="6" t="str">
        <f t="shared" si="1216"/>
        <v>M0</v>
      </c>
      <c r="JV43" s="6" t="str">
        <f t="shared" si="1216"/>
        <v>M0</v>
      </c>
      <c r="JW43" s="6" t="str">
        <f t="shared" si="1216"/>
        <v>M0</v>
      </c>
      <c r="JX43" s="6" t="str">
        <f t="shared" si="1216"/>
        <v>M0</v>
      </c>
      <c r="JY43" s="6" t="str">
        <f t="shared" si="1216"/>
        <v>M0</v>
      </c>
      <c r="JZ43" s="6" t="str">
        <f t="shared" si="1216"/>
        <v>M0</v>
      </c>
      <c r="KA43" s="6" t="str">
        <f t="shared" si="1216"/>
        <v>M0</v>
      </c>
      <c r="KB43" s="6" t="str">
        <f t="shared" si="1216"/>
        <v>M0</v>
      </c>
      <c r="KC43" s="6" t="str">
        <f t="shared" si="1216"/>
        <v>M0</v>
      </c>
      <c r="KD43" s="6" t="str">
        <f t="shared" si="1216"/>
        <v>M0</v>
      </c>
      <c r="KE43" s="6" t="str">
        <f t="shared" si="1216"/>
        <v>M0</v>
      </c>
      <c r="KF43" s="6" t="str">
        <f t="shared" si="1216"/>
        <v>M1</v>
      </c>
      <c r="KG43" s="6" t="str">
        <f t="shared" si="1216"/>
        <v>M1</v>
      </c>
      <c r="KH43" s="6" t="str">
        <f t="shared" si="1216"/>
        <v>M1</v>
      </c>
      <c r="KI43" s="6" t="str">
        <f t="shared" si="1216"/>
        <v>M1</v>
      </c>
      <c r="KJ43" s="6" t="str">
        <f t="shared" si="1216"/>
        <v>M1</v>
      </c>
      <c r="KK43" s="6" t="str">
        <f t="shared" si="1216"/>
        <v>M1</v>
      </c>
      <c r="KL43" s="6" t="str">
        <f t="shared" si="1216"/>
        <v>M1</v>
      </c>
      <c r="KM43" s="6" t="str">
        <f t="shared" si="1216"/>
        <v>M1</v>
      </c>
      <c r="KN43" s="6" t="str">
        <f t="shared" si="1216"/>
        <v>M1</v>
      </c>
      <c r="KO43" s="6" t="str">
        <f t="shared" si="1216"/>
        <v>M1</v>
      </c>
      <c r="KP43" s="6" t="str">
        <f t="shared" si="1216"/>
        <v>M1</v>
      </c>
      <c r="KQ43" s="6" t="str">
        <f t="shared" si="1216"/>
        <v>M1</v>
      </c>
      <c r="KR43" s="6" t="str">
        <f t="shared" si="1216"/>
        <v>M1</v>
      </c>
      <c r="KS43" s="6" t="str">
        <f t="shared" si="1216"/>
        <v>M1</v>
      </c>
      <c r="KT43" s="6" t="str">
        <f t="shared" si="1216"/>
        <v>M1</v>
      </c>
      <c r="KU43" s="6" t="str">
        <f t="shared" si="1216"/>
        <v>M1</v>
      </c>
      <c r="KV43" s="6" t="str">
        <f t="shared" si="1216"/>
        <v>M1</v>
      </c>
      <c r="KW43" s="6" t="str">
        <f t="shared" si="1216"/>
        <v>M1</v>
      </c>
      <c r="KX43" s="6" t="str">
        <f t="shared" si="1216"/>
        <v>M1</v>
      </c>
      <c r="KY43" s="6" t="str">
        <f t="shared" si="1216"/>
        <v>M1</v>
      </c>
      <c r="KZ43" s="6" t="str">
        <f t="shared" si="1216"/>
        <v>M1</v>
      </c>
      <c r="LA43" s="6" t="str">
        <f t="shared" si="1216"/>
        <v>M1</v>
      </c>
      <c r="LB43" s="6" t="str">
        <f t="shared" si="1216"/>
        <v>M1</v>
      </c>
      <c r="LC43" s="6" t="str">
        <f t="shared" si="1216"/>
        <v>M1</v>
      </c>
      <c r="LD43" s="6" t="str">
        <f t="shared" si="1216"/>
        <v>M1</v>
      </c>
      <c r="LE43" s="6" t="str">
        <f t="shared" si="1216"/>
        <v>M1</v>
      </c>
      <c r="LF43" s="6" t="str">
        <f t="shared" si="1216"/>
        <v>M1</v>
      </c>
      <c r="LG43" s="6" t="str">
        <f t="shared" si="1216"/>
        <v>M1</v>
      </c>
      <c r="LH43" s="6" t="str">
        <f t="shared" si="1216"/>
        <v>M1</v>
      </c>
      <c r="LI43" s="6" t="str">
        <f t="shared" si="1216"/>
        <v>M1</v>
      </c>
      <c r="LJ43" s="6" t="str">
        <f t="shared" si="1216"/>
        <v>M1</v>
      </c>
      <c r="LK43" s="6" t="str">
        <f t="shared" si="1216"/>
        <v>M1</v>
      </c>
      <c r="LL43" s="6" t="str">
        <f t="shared" si="1216"/>
        <v>M1</v>
      </c>
      <c r="LM43" s="6" t="str">
        <f t="shared" ref="LM43:NX43" si="1217">IF(LM$44="M0","M0", IF(LM$45="M1","M1", IF(LM$46="M2","M2", "!")))</f>
        <v>M1</v>
      </c>
      <c r="LN43" s="6" t="str">
        <f t="shared" si="1217"/>
        <v>M1</v>
      </c>
      <c r="LO43" s="6" t="str">
        <f t="shared" si="1217"/>
        <v>M1</v>
      </c>
      <c r="LP43" s="6" t="str">
        <f t="shared" si="1217"/>
        <v>M1</v>
      </c>
      <c r="LQ43" s="6" t="str">
        <f t="shared" si="1217"/>
        <v>M1</v>
      </c>
      <c r="LR43" s="6" t="str">
        <f t="shared" si="1217"/>
        <v>M1</v>
      </c>
      <c r="LS43" s="6" t="str">
        <f t="shared" si="1217"/>
        <v>M1</v>
      </c>
      <c r="LT43" s="6" t="str">
        <f t="shared" si="1217"/>
        <v>M1</v>
      </c>
      <c r="LU43" s="6" t="str">
        <f t="shared" si="1217"/>
        <v>M1</v>
      </c>
      <c r="LV43" s="6" t="str">
        <f t="shared" si="1217"/>
        <v>M1</v>
      </c>
      <c r="LW43" s="6" t="str">
        <f t="shared" si="1217"/>
        <v>M1</v>
      </c>
      <c r="LX43" s="6" t="str">
        <f t="shared" si="1217"/>
        <v>M1</v>
      </c>
      <c r="LY43" s="6" t="str">
        <f t="shared" si="1217"/>
        <v>M1</v>
      </c>
      <c r="LZ43" s="6" t="str">
        <f t="shared" si="1217"/>
        <v>M1</v>
      </c>
      <c r="MA43" s="6" t="str">
        <f t="shared" si="1217"/>
        <v>M1</v>
      </c>
      <c r="MB43" s="6" t="str">
        <f t="shared" si="1217"/>
        <v>M1</v>
      </c>
      <c r="MC43" s="6" t="str">
        <f t="shared" si="1217"/>
        <v>M1</v>
      </c>
      <c r="MD43" s="6" t="str">
        <f t="shared" si="1217"/>
        <v>M1</v>
      </c>
      <c r="ME43" s="6" t="str">
        <f t="shared" si="1217"/>
        <v>M1</v>
      </c>
      <c r="MF43" s="6" t="str">
        <f t="shared" si="1217"/>
        <v>M1</v>
      </c>
      <c r="MG43" s="6" t="str">
        <f t="shared" si="1217"/>
        <v>M1</v>
      </c>
      <c r="MH43" s="6" t="str">
        <f t="shared" si="1217"/>
        <v>M1</v>
      </c>
      <c r="MI43" s="6" t="str">
        <f t="shared" si="1217"/>
        <v>M1</v>
      </c>
      <c r="MJ43" s="6" t="str">
        <f t="shared" si="1217"/>
        <v>M1</v>
      </c>
      <c r="MK43" s="6" t="str">
        <f t="shared" si="1217"/>
        <v>M1</v>
      </c>
      <c r="ML43" s="6" t="str">
        <f t="shared" si="1217"/>
        <v>M1</v>
      </c>
      <c r="MM43" s="6" t="str">
        <f t="shared" si="1217"/>
        <v>M1</v>
      </c>
      <c r="MN43" s="6" t="str">
        <f t="shared" si="1217"/>
        <v>M1</v>
      </c>
      <c r="MO43" s="6" t="str">
        <f t="shared" si="1217"/>
        <v>M1</v>
      </c>
      <c r="MP43" s="6" t="str">
        <f t="shared" si="1217"/>
        <v>M1</v>
      </c>
      <c r="MQ43" s="6" t="str">
        <f t="shared" si="1217"/>
        <v>M1</v>
      </c>
      <c r="MR43" s="6" t="str">
        <f t="shared" si="1217"/>
        <v>M1</v>
      </c>
      <c r="MS43" s="6" t="str">
        <f t="shared" si="1217"/>
        <v>M1</v>
      </c>
      <c r="MT43" s="6" t="str">
        <f t="shared" si="1217"/>
        <v>M1</v>
      </c>
      <c r="MU43" s="6" t="str">
        <f t="shared" si="1217"/>
        <v>M1</v>
      </c>
      <c r="MV43" s="6" t="str">
        <f t="shared" si="1217"/>
        <v>M1</v>
      </c>
      <c r="MW43" s="6" t="str">
        <f t="shared" si="1217"/>
        <v>M1</v>
      </c>
      <c r="MX43" s="6" t="str">
        <f t="shared" si="1217"/>
        <v>M1</v>
      </c>
      <c r="MY43" s="6" t="str">
        <f t="shared" si="1217"/>
        <v>M1</v>
      </c>
      <c r="MZ43" s="6" t="str">
        <f t="shared" si="1217"/>
        <v>M1</v>
      </c>
      <c r="NA43" s="6" t="str">
        <f t="shared" si="1217"/>
        <v>M1</v>
      </c>
      <c r="NB43" s="6" t="str">
        <f t="shared" si="1217"/>
        <v>M1</v>
      </c>
      <c r="NC43" s="6" t="str">
        <f t="shared" si="1217"/>
        <v>M1</v>
      </c>
      <c r="ND43" s="6" t="str">
        <f t="shared" si="1217"/>
        <v>M1</v>
      </c>
      <c r="NE43" s="6" t="str">
        <f t="shared" si="1217"/>
        <v>M1</v>
      </c>
      <c r="NF43" s="6" t="str">
        <f t="shared" si="1217"/>
        <v>M1</v>
      </c>
      <c r="NG43" s="6" t="str">
        <f t="shared" si="1217"/>
        <v>M1</v>
      </c>
      <c r="NH43" s="6" t="str">
        <f t="shared" si="1217"/>
        <v>M1</v>
      </c>
      <c r="NI43" s="6" t="str">
        <f t="shared" si="1217"/>
        <v>M1</v>
      </c>
      <c r="NJ43" s="6" t="str">
        <f t="shared" si="1217"/>
        <v>M1</v>
      </c>
      <c r="NK43" s="6" t="str">
        <f t="shared" si="1217"/>
        <v>M1</v>
      </c>
      <c r="NL43" s="6" t="str">
        <f t="shared" si="1217"/>
        <v>M1</v>
      </c>
      <c r="NM43" s="6" t="str">
        <f t="shared" si="1217"/>
        <v>M1</v>
      </c>
      <c r="NN43" s="6" t="str">
        <f t="shared" si="1217"/>
        <v>M2</v>
      </c>
      <c r="NO43" s="6" t="str">
        <f t="shared" si="1217"/>
        <v>M2</v>
      </c>
      <c r="NP43" s="6" t="str">
        <f t="shared" si="1217"/>
        <v>M2</v>
      </c>
      <c r="NQ43" s="6" t="str">
        <f t="shared" si="1217"/>
        <v>M1</v>
      </c>
      <c r="NR43" s="6" t="str">
        <f t="shared" si="1217"/>
        <v>M1</v>
      </c>
      <c r="NS43" s="6" t="str">
        <f t="shared" si="1217"/>
        <v>M1</v>
      </c>
      <c r="NT43" s="6" t="str">
        <f t="shared" si="1217"/>
        <v>M1</v>
      </c>
      <c r="NU43" s="6" t="str">
        <f t="shared" si="1217"/>
        <v>M1</v>
      </c>
      <c r="NV43" s="6" t="str">
        <f t="shared" si="1217"/>
        <v>M1</v>
      </c>
      <c r="NW43" s="6" t="str">
        <f t="shared" si="1217"/>
        <v>M1</v>
      </c>
      <c r="NX43" s="6" t="str">
        <f t="shared" si="1217"/>
        <v>M1</v>
      </c>
      <c r="NY43" s="6" t="str">
        <f t="shared" ref="NY43:QJ43" si="1218">IF(NY$44="M0","M0", IF(NY$45="M1","M1", IF(NY$46="M2","M2", "!")))</f>
        <v>M1</v>
      </c>
      <c r="NZ43" s="6" t="str">
        <f t="shared" si="1218"/>
        <v>M1</v>
      </c>
      <c r="OA43" s="6" t="str">
        <f t="shared" si="1218"/>
        <v>M1</v>
      </c>
      <c r="OB43" s="6" t="str">
        <f t="shared" si="1218"/>
        <v>M1</v>
      </c>
      <c r="OC43" s="6" t="str">
        <f t="shared" si="1218"/>
        <v>M1</v>
      </c>
      <c r="OD43" s="6" t="str">
        <f t="shared" si="1218"/>
        <v>M1</v>
      </c>
      <c r="OE43" s="6" t="str">
        <f t="shared" si="1218"/>
        <v>M1</v>
      </c>
      <c r="OF43" s="6" t="str">
        <f t="shared" si="1218"/>
        <v>M1</v>
      </c>
      <c r="OG43" s="6" t="str">
        <f t="shared" si="1218"/>
        <v>M1</v>
      </c>
      <c r="OH43" s="6" t="str">
        <f t="shared" si="1218"/>
        <v>M1</v>
      </c>
      <c r="OI43" s="6" t="str">
        <f t="shared" si="1218"/>
        <v>M1</v>
      </c>
      <c r="OJ43" s="6" t="str">
        <f t="shared" si="1218"/>
        <v>M1</v>
      </c>
      <c r="OK43" s="6" t="str">
        <f t="shared" si="1218"/>
        <v>M1</v>
      </c>
      <c r="OL43" s="6" t="str">
        <f t="shared" si="1218"/>
        <v>M1</v>
      </c>
      <c r="OM43" s="6" t="str">
        <f t="shared" si="1218"/>
        <v>M1</v>
      </c>
      <c r="ON43" s="6" t="str">
        <f t="shared" si="1218"/>
        <v>M1</v>
      </c>
      <c r="OO43" s="6" t="str">
        <f t="shared" si="1218"/>
        <v>M1</v>
      </c>
      <c r="OP43" s="6" t="str">
        <f t="shared" si="1218"/>
        <v>M1</v>
      </c>
      <c r="OQ43" s="6" t="str">
        <f t="shared" si="1218"/>
        <v>M1</v>
      </c>
      <c r="OR43" s="6" t="str">
        <f t="shared" si="1218"/>
        <v>M1</v>
      </c>
      <c r="OS43" s="6" t="str">
        <f t="shared" si="1218"/>
        <v>M1</v>
      </c>
      <c r="OT43" s="6" t="str">
        <f t="shared" si="1218"/>
        <v>M1</v>
      </c>
      <c r="OU43" s="6" t="str">
        <f t="shared" si="1218"/>
        <v>M1</v>
      </c>
      <c r="OV43" s="6" t="str">
        <f t="shared" si="1218"/>
        <v>M1</v>
      </c>
      <c r="OW43" s="6" t="str">
        <f t="shared" si="1218"/>
        <v>M1</v>
      </c>
      <c r="OX43" s="6" t="str">
        <f t="shared" si="1218"/>
        <v>M1</v>
      </c>
      <c r="OY43" s="6" t="str">
        <f t="shared" si="1218"/>
        <v>M1</v>
      </c>
      <c r="OZ43" s="6" t="str">
        <f t="shared" si="1218"/>
        <v>M1</v>
      </c>
      <c r="PA43" s="6" t="str">
        <f t="shared" si="1218"/>
        <v>M0</v>
      </c>
      <c r="PB43" s="6" t="str">
        <f t="shared" si="1218"/>
        <v>M0</v>
      </c>
      <c r="PC43" s="6" t="str">
        <f t="shared" si="1218"/>
        <v>M0</v>
      </c>
      <c r="PD43" s="6" t="str">
        <f t="shared" si="1218"/>
        <v>M0</v>
      </c>
      <c r="PE43" s="6" t="str">
        <f t="shared" si="1218"/>
        <v>M0</v>
      </c>
      <c r="PF43" s="6" t="str">
        <f t="shared" si="1218"/>
        <v>M0</v>
      </c>
      <c r="PG43" s="6" t="str">
        <f t="shared" si="1218"/>
        <v>M0</v>
      </c>
      <c r="PH43" s="6" t="str">
        <f t="shared" si="1218"/>
        <v>M0</v>
      </c>
      <c r="PI43" s="6" t="str">
        <f t="shared" si="1218"/>
        <v>M0</v>
      </c>
      <c r="PJ43" s="6" t="str">
        <f t="shared" si="1218"/>
        <v>M0</v>
      </c>
      <c r="PK43" s="6" t="str">
        <f t="shared" si="1218"/>
        <v>M0</v>
      </c>
      <c r="PL43" s="6" t="str">
        <f t="shared" si="1218"/>
        <v>M0</v>
      </c>
      <c r="PM43" s="6" t="str">
        <f t="shared" si="1218"/>
        <v>M0</v>
      </c>
      <c r="PN43" s="6" t="str">
        <f t="shared" si="1218"/>
        <v>M0</v>
      </c>
      <c r="PO43" s="6" t="str">
        <f t="shared" si="1218"/>
        <v>M0</v>
      </c>
      <c r="PP43" s="6" t="str">
        <f t="shared" si="1218"/>
        <v>M0</v>
      </c>
      <c r="PQ43" s="6" t="str">
        <f t="shared" si="1218"/>
        <v>M0</v>
      </c>
      <c r="PR43" s="6" t="str">
        <f t="shared" si="1218"/>
        <v>M0</v>
      </c>
      <c r="PS43" s="6" t="str">
        <f t="shared" si="1218"/>
        <v>M0</v>
      </c>
      <c r="PT43" s="6" t="str">
        <f t="shared" si="1218"/>
        <v>M1</v>
      </c>
      <c r="PU43" s="6" t="str">
        <f t="shared" si="1218"/>
        <v>M1</v>
      </c>
      <c r="PV43" s="6" t="str">
        <f t="shared" si="1218"/>
        <v>M1</v>
      </c>
      <c r="PW43" s="6" t="str">
        <f t="shared" si="1218"/>
        <v>M1</v>
      </c>
      <c r="PX43" s="6" t="str">
        <f t="shared" si="1218"/>
        <v>M1</v>
      </c>
      <c r="PY43" s="6" t="str">
        <f t="shared" si="1218"/>
        <v>M1</v>
      </c>
      <c r="PZ43" s="6" t="str">
        <f t="shared" si="1218"/>
        <v>M1</v>
      </c>
      <c r="QA43" s="6" t="str">
        <f t="shared" si="1218"/>
        <v>M1</v>
      </c>
      <c r="QB43" s="6" t="str">
        <f t="shared" si="1218"/>
        <v>M1</v>
      </c>
      <c r="QC43" s="6" t="str">
        <f t="shared" si="1218"/>
        <v>M1</v>
      </c>
      <c r="QD43" s="6" t="str">
        <f t="shared" si="1218"/>
        <v>M1</v>
      </c>
      <c r="QE43" s="6" t="str">
        <f t="shared" si="1218"/>
        <v>M1</v>
      </c>
      <c r="QF43" s="6" t="str">
        <f t="shared" si="1218"/>
        <v>M1</v>
      </c>
      <c r="QG43" s="6" t="str">
        <f t="shared" si="1218"/>
        <v>M1</v>
      </c>
      <c r="QH43" s="6" t="str">
        <f t="shared" si="1218"/>
        <v>M1</v>
      </c>
      <c r="QI43" s="6" t="str">
        <f t="shared" si="1218"/>
        <v>M1</v>
      </c>
      <c r="QJ43" s="6" t="str">
        <f t="shared" si="1218"/>
        <v>M1</v>
      </c>
      <c r="QK43" s="6" t="str">
        <f t="shared" ref="QK43:SV43" si="1219">IF(QK$44="M0","M0", IF(QK$45="M1","M1", IF(QK$46="M2","M2", "!")))</f>
        <v>M1</v>
      </c>
      <c r="QL43" s="6" t="str">
        <f t="shared" si="1219"/>
        <v>M1</v>
      </c>
      <c r="QM43" s="6" t="str">
        <f t="shared" si="1219"/>
        <v>M1</v>
      </c>
      <c r="QN43" s="6" t="str">
        <f t="shared" si="1219"/>
        <v>M1</v>
      </c>
      <c r="QO43" s="6" t="str">
        <f t="shared" si="1219"/>
        <v>M1</v>
      </c>
      <c r="QP43" s="6" t="str">
        <f t="shared" si="1219"/>
        <v>M1</v>
      </c>
      <c r="QQ43" s="6" t="str">
        <f t="shared" si="1219"/>
        <v>M1</v>
      </c>
      <c r="QR43" s="6" t="str">
        <f t="shared" si="1219"/>
        <v>M1</v>
      </c>
      <c r="QS43" s="6" t="str">
        <f t="shared" si="1219"/>
        <v>M1</v>
      </c>
      <c r="QT43" s="6" t="str">
        <f t="shared" si="1219"/>
        <v>M1</v>
      </c>
      <c r="QU43" s="6" t="str">
        <f t="shared" si="1219"/>
        <v>M1</v>
      </c>
      <c r="QV43" s="6" t="str">
        <f t="shared" si="1219"/>
        <v>M1</v>
      </c>
      <c r="QW43" s="6" t="str">
        <f t="shared" si="1219"/>
        <v>M1</v>
      </c>
      <c r="QX43" s="6" t="str">
        <f t="shared" si="1219"/>
        <v>M1</v>
      </c>
      <c r="QY43" s="6" t="str">
        <f t="shared" si="1219"/>
        <v>M1</v>
      </c>
      <c r="QZ43" s="6" t="str">
        <f t="shared" si="1219"/>
        <v>M1</v>
      </c>
      <c r="RA43" s="6" t="str">
        <f t="shared" si="1219"/>
        <v>M1</v>
      </c>
      <c r="RB43" s="6" t="str">
        <f t="shared" si="1219"/>
        <v>M1</v>
      </c>
      <c r="RC43" s="6" t="str">
        <f t="shared" si="1219"/>
        <v>M1</v>
      </c>
      <c r="RD43" s="6" t="str">
        <f t="shared" si="1219"/>
        <v>M1</v>
      </c>
      <c r="RE43" s="6" t="str">
        <f t="shared" si="1219"/>
        <v>M1</v>
      </c>
      <c r="RF43" s="6" t="str">
        <f t="shared" si="1219"/>
        <v>M1</v>
      </c>
      <c r="RG43" s="6" t="str">
        <f t="shared" si="1219"/>
        <v>M1</v>
      </c>
      <c r="RH43" s="6" t="str">
        <f t="shared" si="1219"/>
        <v>M1</v>
      </c>
      <c r="RI43" s="6" t="str">
        <f t="shared" si="1219"/>
        <v>M1</v>
      </c>
      <c r="RJ43" s="6" t="str">
        <f t="shared" si="1219"/>
        <v>M1</v>
      </c>
      <c r="RK43" s="6" t="str">
        <f t="shared" si="1219"/>
        <v>M1</v>
      </c>
      <c r="RL43" s="6" t="str">
        <f t="shared" si="1219"/>
        <v>M1</v>
      </c>
      <c r="RM43" s="6" t="str">
        <f t="shared" si="1219"/>
        <v>M1</v>
      </c>
      <c r="RN43" s="6" t="str">
        <f t="shared" si="1219"/>
        <v>M1</v>
      </c>
      <c r="RO43" s="6" t="str">
        <f t="shared" si="1219"/>
        <v>M1</v>
      </c>
      <c r="RP43" s="6" t="str">
        <f t="shared" si="1219"/>
        <v>M1</v>
      </c>
      <c r="RQ43" s="6" t="str">
        <f t="shared" si="1219"/>
        <v>M1</v>
      </c>
      <c r="RR43" s="6" t="str">
        <f t="shared" si="1219"/>
        <v>M1</v>
      </c>
      <c r="RS43" s="6" t="str">
        <f t="shared" si="1219"/>
        <v>M1</v>
      </c>
      <c r="RT43" s="6" t="str">
        <f t="shared" si="1219"/>
        <v>M1</v>
      </c>
      <c r="RU43" s="6" t="str">
        <f t="shared" si="1219"/>
        <v>M1</v>
      </c>
      <c r="RV43" s="6" t="str">
        <f t="shared" si="1219"/>
        <v>M1</v>
      </c>
      <c r="RW43" s="6" t="str">
        <f t="shared" si="1219"/>
        <v>M1</v>
      </c>
      <c r="RX43" s="6" t="str">
        <f t="shared" si="1219"/>
        <v>M1</v>
      </c>
      <c r="RY43" s="6" t="str">
        <f t="shared" si="1219"/>
        <v>M1</v>
      </c>
      <c r="RZ43" s="6" t="str">
        <f t="shared" si="1219"/>
        <v>M1</v>
      </c>
      <c r="SA43" s="6" t="str">
        <f t="shared" si="1219"/>
        <v>M1</v>
      </c>
      <c r="SB43" s="6" t="str">
        <f t="shared" si="1219"/>
        <v>M1</v>
      </c>
      <c r="SC43" s="6" t="str">
        <f t="shared" si="1219"/>
        <v>M1</v>
      </c>
      <c r="SD43" s="6" t="str">
        <f t="shared" si="1219"/>
        <v>M1</v>
      </c>
      <c r="SE43" s="6" t="str">
        <f t="shared" si="1219"/>
        <v>M1</v>
      </c>
      <c r="SF43" s="6" t="str">
        <f t="shared" si="1219"/>
        <v>M1</v>
      </c>
      <c r="SG43" s="6" t="str">
        <f t="shared" si="1219"/>
        <v>M1</v>
      </c>
      <c r="SH43" s="6" t="str">
        <f t="shared" si="1219"/>
        <v>M1</v>
      </c>
      <c r="SI43" s="6" t="str">
        <f t="shared" si="1219"/>
        <v>M1</v>
      </c>
      <c r="SJ43" s="6" t="str">
        <f t="shared" si="1219"/>
        <v>M1</v>
      </c>
      <c r="SK43" s="6" t="str">
        <f t="shared" si="1219"/>
        <v>M1</v>
      </c>
      <c r="SL43" s="6" t="str">
        <f t="shared" si="1219"/>
        <v>M1</v>
      </c>
      <c r="SM43" s="6" t="str">
        <f t="shared" si="1219"/>
        <v>M1</v>
      </c>
      <c r="SN43" s="6" t="str">
        <f t="shared" si="1219"/>
        <v>M1</v>
      </c>
      <c r="SO43" s="6" t="str">
        <f t="shared" si="1219"/>
        <v>M1</v>
      </c>
      <c r="SP43" s="6" t="str">
        <f t="shared" si="1219"/>
        <v>M1</v>
      </c>
      <c r="SQ43" s="6" t="str">
        <f t="shared" si="1219"/>
        <v>M1</v>
      </c>
      <c r="SR43" s="6" t="str">
        <f t="shared" si="1219"/>
        <v>M1</v>
      </c>
      <c r="SS43" s="6" t="str">
        <f t="shared" si="1219"/>
        <v>M1</v>
      </c>
      <c r="ST43" s="6" t="str">
        <f t="shared" si="1219"/>
        <v>M1</v>
      </c>
      <c r="SU43" s="6" t="str">
        <f t="shared" si="1219"/>
        <v>M1</v>
      </c>
      <c r="SV43" s="6" t="str">
        <f t="shared" si="1219"/>
        <v>M1</v>
      </c>
      <c r="SW43" s="6" t="str">
        <f t="shared" ref="SW43:VH43" si="1220">IF(SW$44="M0","M0", IF(SW$45="M1","M1", IF(SW$46="M2","M2", "!")))</f>
        <v>M1</v>
      </c>
      <c r="SX43" s="6" t="str">
        <f t="shared" si="1220"/>
        <v>M1</v>
      </c>
      <c r="SY43" s="6" t="str">
        <f t="shared" si="1220"/>
        <v>M1</v>
      </c>
      <c r="SZ43" s="6" t="str">
        <f t="shared" si="1220"/>
        <v>M1</v>
      </c>
      <c r="TA43" s="6" t="str">
        <f t="shared" si="1220"/>
        <v>M1</v>
      </c>
      <c r="TB43" s="6" t="str">
        <f t="shared" si="1220"/>
        <v>M2</v>
      </c>
      <c r="TC43" s="6" t="str">
        <f t="shared" si="1220"/>
        <v>M2</v>
      </c>
      <c r="TD43" s="6" t="str">
        <f t="shared" si="1220"/>
        <v>M2</v>
      </c>
      <c r="TE43" s="6" t="str">
        <f t="shared" si="1220"/>
        <v>M1</v>
      </c>
      <c r="TF43" s="6" t="str">
        <f t="shared" si="1220"/>
        <v>M1</v>
      </c>
      <c r="TG43" s="6" t="str">
        <f t="shared" si="1220"/>
        <v>M1</v>
      </c>
      <c r="TH43" s="6" t="str">
        <f t="shared" si="1220"/>
        <v>M1</v>
      </c>
      <c r="TI43" s="6" t="str">
        <f t="shared" si="1220"/>
        <v>M1</v>
      </c>
      <c r="TJ43" s="6" t="str">
        <f t="shared" si="1220"/>
        <v>M1</v>
      </c>
      <c r="TK43" s="6" t="str">
        <f t="shared" si="1220"/>
        <v>M1</v>
      </c>
      <c r="TL43" s="6" t="str">
        <f t="shared" si="1220"/>
        <v>M1</v>
      </c>
      <c r="TM43" s="6" t="str">
        <f t="shared" si="1220"/>
        <v>M1</v>
      </c>
      <c r="TN43" s="6" t="str">
        <f t="shared" si="1220"/>
        <v>M1</v>
      </c>
      <c r="TO43" s="6" t="str">
        <f t="shared" si="1220"/>
        <v>M1</v>
      </c>
      <c r="TP43" s="6" t="str">
        <f t="shared" si="1220"/>
        <v>M1</v>
      </c>
      <c r="TQ43" s="6" t="str">
        <f t="shared" si="1220"/>
        <v>M1</v>
      </c>
      <c r="TR43" s="6" t="str">
        <f t="shared" si="1220"/>
        <v>M1</v>
      </c>
      <c r="TS43" s="6" t="str">
        <f t="shared" si="1220"/>
        <v>M1</v>
      </c>
      <c r="TT43" s="6" t="str">
        <f t="shared" si="1220"/>
        <v>M1</v>
      </c>
      <c r="TU43" s="6" t="str">
        <f t="shared" si="1220"/>
        <v>M1</v>
      </c>
      <c r="TV43" s="6" t="str">
        <f t="shared" si="1220"/>
        <v>M1</v>
      </c>
      <c r="TW43" s="6" t="str">
        <f t="shared" si="1220"/>
        <v>M1</v>
      </c>
      <c r="TX43" s="6" t="str">
        <f t="shared" si="1220"/>
        <v>M1</v>
      </c>
      <c r="TY43" s="6" t="str">
        <f t="shared" si="1220"/>
        <v>M1</v>
      </c>
      <c r="TZ43" s="6" t="str">
        <f t="shared" si="1220"/>
        <v>M1</v>
      </c>
      <c r="UA43" s="6" t="str">
        <f t="shared" si="1220"/>
        <v>M1</v>
      </c>
      <c r="UB43" s="6" t="str">
        <f t="shared" si="1220"/>
        <v>M1</v>
      </c>
      <c r="UC43" s="6" t="str">
        <f t="shared" si="1220"/>
        <v>M1</v>
      </c>
      <c r="UD43" s="6" t="str">
        <f t="shared" si="1220"/>
        <v>M1</v>
      </c>
      <c r="UE43" s="6" t="str">
        <f t="shared" si="1220"/>
        <v>M1</v>
      </c>
      <c r="UF43" s="6" t="str">
        <f t="shared" si="1220"/>
        <v>M1</v>
      </c>
      <c r="UG43" s="6" t="str">
        <f t="shared" si="1220"/>
        <v>M1</v>
      </c>
      <c r="UH43" s="6" t="str">
        <f t="shared" si="1220"/>
        <v>M1</v>
      </c>
      <c r="UI43" s="6" t="str">
        <f t="shared" si="1220"/>
        <v>M1</v>
      </c>
      <c r="UJ43" s="6" t="str">
        <f t="shared" si="1220"/>
        <v>M1</v>
      </c>
      <c r="UK43" s="6" t="str">
        <f t="shared" si="1220"/>
        <v>M1</v>
      </c>
      <c r="UL43" s="6" t="str">
        <f t="shared" si="1220"/>
        <v>M1</v>
      </c>
      <c r="UM43" s="6" t="str">
        <f t="shared" si="1220"/>
        <v>M1</v>
      </c>
      <c r="UN43" s="6" t="str">
        <f t="shared" si="1220"/>
        <v>M1</v>
      </c>
      <c r="UO43" s="6" t="str">
        <f t="shared" si="1220"/>
        <v>M0</v>
      </c>
      <c r="UP43" s="6" t="str">
        <f t="shared" si="1220"/>
        <v>M0</v>
      </c>
      <c r="UQ43" s="6" t="str">
        <f t="shared" si="1220"/>
        <v>M0</v>
      </c>
      <c r="UR43" s="6" t="str">
        <f t="shared" si="1220"/>
        <v>M0</v>
      </c>
      <c r="US43" s="6" t="str">
        <f t="shared" si="1220"/>
        <v>M0</v>
      </c>
      <c r="UT43" s="6" t="str">
        <f t="shared" si="1220"/>
        <v>M0</v>
      </c>
      <c r="UU43" s="6" t="str">
        <f t="shared" si="1220"/>
        <v>M0</v>
      </c>
      <c r="UV43" s="6" t="str">
        <f t="shared" si="1220"/>
        <v>M0</v>
      </c>
      <c r="UW43" s="6" t="str">
        <f t="shared" si="1220"/>
        <v>M0</v>
      </c>
      <c r="UX43" s="6" t="str">
        <f t="shared" si="1220"/>
        <v>M0</v>
      </c>
      <c r="UY43" s="6" t="str">
        <f t="shared" si="1220"/>
        <v>M0</v>
      </c>
      <c r="UZ43" s="6" t="str">
        <f t="shared" si="1220"/>
        <v>M0</v>
      </c>
      <c r="VA43" s="6" t="str">
        <f t="shared" si="1220"/>
        <v>M0</v>
      </c>
      <c r="VB43" s="6" t="str">
        <f t="shared" si="1220"/>
        <v>M0</v>
      </c>
      <c r="VC43" s="6" t="str">
        <f t="shared" si="1220"/>
        <v>M0</v>
      </c>
      <c r="VD43" s="6" t="str">
        <f t="shared" si="1220"/>
        <v>M0</v>
      </c>
      <c r="VE43" s="6" t="str">
        <f t="shared" si="1220"/>
        <v>M0</v>
      </c>
      <c r="VF43" s="6" t="str">
        <f t="shared" si="1220"/>
        <v>M0</v>
      </c>
      <c r="VG43" s="6" t="str">
        <f t="shared" si="1220"/>
        <v>M0</v>
      </c>
      <c r="VH43" s="6" t="str">
        <f t="shared" si="1220"/>
        <v>M1</v>
      </c>
      <c r="VI43" s="6" t="str">
        <f t="shared" ref="VI43:XT43" si="1221">IF(VI$44="M0","M0", IF(VI$45="M1","M1", IF(VI$46="M2","M2", "!")))</f>
        <v>M1</v>
      </c>
      <c r="VJ43" s="6" t="str">
        <f t="shared" si="1221"/>
        <v>M1</v>
      </c>
      <c r="VK43" s="6" t="str">
        <f t="shared" si="1221"/>
        <v>M1</v>
      </c>
      <c r="VL43" s="6" t="str">
        <f t="shared" si="1221"/>
        <v>M1</v>
      </c>
      <c r="VM43" s="6" t="str">
        <f t="shared" si="1221"/>
        <v>M1</v>
      </c>
      <c r="VN43" s="6" t="str">
        <f t="shared" si="1221"/>
        <v>M1</v>
      </c>
      <c r="VO43" s="6" t="str">
        <f t="shared" si="1221"/>
        <v>M1</v>
      </c>
      <c r="VP43" s="6" t="str">
        <f t="shared" si="1221"/>
        <v>M1</v>
      </c>
      <c r="VQ43" s="6" t="str">
        <f t="shared" si="1221"/>
        <v>M1</v>
      </c>
      <c r="VR43" s="6" t="str">
        <f t="shared" si="1221"/>
        <v>M1</v>
      </c>
      <c r="VS43" s="6" t="str">
        <f t="shared" si="1221"/>
        <v>M1</v>
      </c>
      <c r="VT43" s="6" t="str">
        <f t="shared" si="1221"/>
        <v>M1</v>
      </c>
      <c r="VU43" s="6" t="str">
        <f t="shared" si="1221"/>
        <v>M1</v>
      </c>
      <c r="VV43" s="6" t="str">
        <f t="shared" si="1221"/>
        <v>M1</v>
      </c>
      <c r="VW43" s="6" t="str">
        <f t="shared" si="1221"/>
        <v>M1</v>
      </c>
      <c r="VX43" s="6" t="str">
        <f t="shared" si="1221"/>
        <v>M1</v>
      </c>
      <c r="VY43" s="6" t="str">
        <f t="shared" si="1221"/>
        <v>M1</v>
      </c>
      <c r="VZ43" s="6" t="str">
        <f t="shared" si="1221"/>
        <v>M1</v>
      </c>
      <c r="WA43" s="6" t="str">
        <f t="shared" si="1221"/>
        <v>M1</v>
      </c>
      <c r="WB43" s="6" t="str">
        <f t="shared" si="1221"/>
        <v>M1</v>
      </c>
      <c r="WC43" s="6" t="str">
        <f t="shared" si="1221"/>
        <v>M1</v>
      </c>
      <c r="WD43" s="6" t="str">
        <f t="shared" si="1221"/>
        <v>M1</v>
      </c>
      <c r="WE43" s="6" t="str">
        <f t="shared" si="1221"/>
        <v>M1</v>
      </c>
      <c r="WF43" s="6" t="str">
        <f t="shared" si="1221"/>
        <v>M1</v>
      </c>
      <c r="WG43" s="6" t="str">
        <f t="shared" si="1221"/>
        <v>M1</v>
      </c>
      <c r="WH43" s="6" t="str">
        <f t="shared" si="1221"/>
        <v>M1</v>
      </c>
      <c r="WI43" s="6" t="str">
        <f t="shared" si="1221"/>
        <v>M1</v>
      </c>
      <c r="WJ43" s="6" t="str">
        <f t="shared" si="1221"/>
        <v>M1</v>
      </c>
      <c r="WK43" s="6" t="str">
        <f t="shared" si="1221"/>
        <v>M1</v>
      </c>
      <c r="WL43" s="6" t="str">
        <f t="shared" si="1221"/>
        <v>M1</v>
      </c>
      <c r="WM43" s="6" t="str">
        <f t="shared" si="1221"/>
        <v>M1</v>
      </c>
      <c r="WN43" s="6" t="str">
        <f t="shared" si="1221"/>
        <v>M1</v>
      </c>
      <c r="WO43" s="6" t="str">
        <f t="shared" si="1221"/>
        <v>M1</v>
      </c>
      <c r="WP43" s="6" t="str">
        <f t="shared" si="1221"/>
        <v>M1</v>
      </c>
      <c r="WQ43" s="6" t="str">
        <f t="shared" si="1221"/>
        <v>M1</v>
      </c>
      <c r="WR43" s="6" t="str">
        <f t="shared" si="1221"/>
        <v>M1</v>
      </c>
      <c r="WS43" s="6" t="str">
        <f t="shared" si="1221"/>
        <v>M1</v>
      </c>
      <c r="WT43" s="6" t="str">
        <f t="shared" si="1221"/>
        <v>M1</v>
      </c>
      <c r="WU43" s="6" t="str">
        <f t="shared" si="1221"/>
        <v>M1</v>
      </c>
      <c r="WV43" s="6" t="str">
        <f t="shared" si="1221"/>
        <v>M1</v>
      </c>
      <c r="WW43" s="6" t="str">
        <f t="shared" si="1221"/>
        <v>M1</v>
      </c>
      <c r="WX43" s="6" t="str">
        <f t="shared" si="1221"/>
        <v>M1</v>
      </c>
      <c r="WY43" s="6" t="str">
        <f t="shared" si="1221"/>
        <v>M1</v>
      </c>
      <c r="WZ43" s="6" t="str">
        <f t="shared" si="1221"/>
        <v>M1</v>
      </c>
      <c r="XA43" s="6" t="str">
        <f t="shared" si="1221"/>
        <v>M1</v>
      </c>
      <c r="XB43" s="6" t="str">
        <f t="shared" si="1221"/>
        <v>M1</v>
      </c>
      <c r="XC43" s="6" t="str">
        <f t="shared" si="1221"/>
        <v>M1</v>
      </c>
      <c r="XD43" s="6" t="str">
        <f t="shared" si="1221"/>
        <v>M1</v>
      </c>
      <c r="XE43" s="6" t="str">
        <f t="shared" si="1221"/>
        <v>M1</v>
      </c>
      <c r="XF43" s="6" t="str">
        <f t="shared" si="1221"/>
        <v>M1</v>
      </c>
      <c r="XG43" s="6" t="str">
        <f t="shared" si="1221"/>
        <v>M1</v>
      </c>
      <c r="XH43" s="6" t="str">
        <f t="shared" si="1221"/>
        <v>M1</v>
      </c>
      <c r="XI43" s="6" t="str">
        <f t="shared" si="1221"/>
        <v>M1</v>
      </c>
      <c r="XJ43" s="6" t="str">
        <f t="shared" si="1221"/>
        <v>M1</v>
      </c>
      <c r="XK43" s="6" t="str">
        <f t="shared" si="1221"/>
        <v>M1</v>
      </c>
      <c r="XL43" s="6" t="str">
        <f t="shared" si="1221"/>
        <v>M1</v>
      </c>
      <c r="XM43" s="6" t="str">
        <f t="shared" si="1221"/>
        <v>M1</v>
      </c>
      <c r="XN43" s="6" t="str">
        <f t="shared" si="1221"/>
        <v>M1</v>
      </c>
      <c r="XO43" s="6" t="str">
        <f t="shared" si="1221"/>
        <v>M1</v>
      </c>
      <c r="XP43" s="6" t="str">
        <f t="shared" si="1221"/>
        <v>M1</v>
      </c>
      <c r="XQ43" s="6" t="str">
        <f t="shared" si="1221"/>
        <v>M1</v>
      </c>
      <c r="XR43" s="6" t="str">
        <f t="shared" si="1221"/>
        <v>M1</v>
      </c>
      <c r="XS43" s="6" t="str">
        <f t="shared" si="1221"/>
        <v>M1</v>
      </c>
      <c r="XT43" s="6" t="str">
        <f t="shared" si="1221"/>
        <v>M1</v>
      </c>
      <c r="XU43" s="6" t="str">
        <f t="shared" ref="XU43:AAF43" si="1222">IF(XU$44="M0","M0", IF(XU$45="M1","M1", IF(XU$46="M2","M2", "!")))</f>
        <v>M1</v>
      </c>
      <c r="XV43" s="6" t="str">
        <f t="shared" si="1222"/>
        <v>M1</v>
      </c>
      <c r="XW43" s="6" t="str">
        <f t="shared" si="1222"/>
        <v>M1</v>
      </c>
      <c r="XX43" s="6" t="str">
        <f t="shared" si="1222"/>
        <v>M1</v>
      </c>
      <c r="XY43" s="6" t="str">
        <f t="shared" si="1222"/>
        <v>M1</v>
      </c>
      <c r="XZ43" s="6" t="str">
        <f t="shared" si="1222"/>
        <v>M1</v>
      </c>
      <c r="YA43" s="6" t="str">
        <f t="shared" si="1222"/>
        <v>M1</v>
      </c>
      <c r="YB43" s="6" t="str">
        <f t="shared" si="1222"/>
        <v>M1</v>
      </c>
      <c r="YC43" s="6" t="str">
        <f t="shared" si="1222"/>
        <v>M1</v>
      </c>
      <c r="YD43" s="6" t="str">
        <f t="shared" si="1222"/>
        <v>M1</v>
      </c>
      <c r="YE43" s="6" t="str">
        <f t="shared" si="1222"/>
        <v>M1</v>
      </c>
      <c r="YF43" s="6" t="str">
        <f t="shared" si="1222"/>
        <v>M1</v>
      </c>
      <c r="YG43" s="6" t="str">
        <f t="shared" si="1222"/>
        <v>M1</v>
      </c>
      <c r="YH43" s="6" t="str">
        <f t="shared" si="1222"/>
        <v>M1</v>
      </c>
      <c r="YI43" s="6" t="str">
        <f t="shared" si="1222"/>
        <v>M1</v>
      </c>
      <c r="YJ43" s="6" t="str">
        <f t="shared" si="1222"/>
        <v>M1</v>
      </c>
      <c r="YK43" s="6" t="str">
        <f t="shared" si="1222"/>
        <v>M1</v>
      </c>
      <c r="YL43" s="6" t="str">
        <f t="shared" si="1222"/>
        <v>M1</v>
      </c>
      <c r="YM43" s="6" t="str">
        <f t="shared" si="1222"/>
        <v>M1</v>
      </c>
      <c r="YN43" s="6" t="str">
        <f t="shared" si="1222"/>
        <v>M1</v>
      </c>
      <c r="YO43" s="6" t="str">
        <f t="shared" si="1222"/>
        <v>M1</v>
      </c>
      <c r="YP43" s="6" t="str">
        <f t="shared" si="1222"/>
        <v>M2</v>
      </c>
      <c r="YQ43" s="6" t="str">
        <f t="shared" si="1222"/>
        <v>M2</v>
      </c>
      <c r="YR43" s="6" t="str">
        <f t="shared" si="1222"/>
        <v>M2</v>
      </c>
      <c r="YS43" s="6" t="str">
        <f t="shared" si="1222"/>
        <v>M1</v>
      </c>
      <c r="YT43" s="6" t="str">
        <f t="shared" si="1222"/>
        <v>M1</v>
      </c>
      <c r="YU43" s="6" t="str">
        <f t="shared" si="1222"/>
        <v>M1</v>
      </c>
      <c r="YV43" s="6" t="str">
        <f t="shared" si="1222"/>
        <v>M1</v>
      </c>
      <c r="YW43" s="6" t="str">
        <f t="shared" si="1222"/>
        <v>M1</v>
      </c>
      <c r="YX43" s="6" t="str">
        <f t="shared" si="1222"/>
        <v>M1</v>
      </c>
      <c r="YY43" s="6" t="str">
        <f t="shared" si="1222"/>
        <v>M1</v>
      </c>
      <c r="YZ43" s="6" t="str">
        <f t="shared" si="1222"/>
        <v>M1</v>
      </c>
      <c r="ZA43" s="6" t="str">
        <f t="shared" si="1222"/>
        <v>M1</v>
      </c>
      <c r="ZB43" s="6" t="str">
        <f t="shared" si="1222"/>
        <v>M1</v>
      </c>
      <c r="ZC43" s="6" t="str">
        <f t="shared" si="1222"/>
        <v>M1</v>
      </c>
      <c r="ZD43" s="6" t="str">
        <f t="shared" si="1222"/>
        <v>M1</v>
      </c>
      <c r="ZE43" s="6" t="str">
        <f t="shared" si="1222"/>
        <v>M1</v>
      </c>
      <c r="ZF43" s="6" t="str">
        <f t="shared" si="1222"/>
        <v>M1</v>
      </c>
      <c r="ZG43" s="6" t="str">
        <f t="shared" si="1222"/>
        <v>M1</v>
      </c>
      <c r="ZH43" s="6" t="str">
        <f t="shared" si="1222"/>
        <v>M1</v>
      </c>
      <c r="ZI43" s="6" t="str">
        <f t="shared" si="1222"/>
        <v>M1</v>
      </c>
      <c r="ZJ43" s="6" t="str">
        <f t="shared" si="1222"/>
        <v>M1</v>
      </c>
      <c r="ZK43" s="6" t="str">
        <f t="shared" si="1222"/>
        <v>M1</v>
      </c>
      <c r="ZL43" s="6" t="str">
        <f t="shared" si="1222"/>
        <v>M1</v>
      </c>
      <c r="ZM43" s="6" t="str">
        <f t="shared" si="1222"/>
        <v>M1</v>
      </c>
      <c r="ZN43" s="6" t="str">
        <f t="shared" si="1222"/>
        <v>M1</v>
      </c>
      <c r="ZO43" s="6" t="str">
        <f t="shared" si="1222"/>
        <v>M1</v>
      </c>
      <c r="ZP43" s="6" t="str">
        <f t="shared" si="1222"/>
        <v>M1</v>
      </c>
      <c r="ZQ43" s="6" t="str">
        <f t="shared" si="1222"/>
        <v>M1</v>
      </c>
      <c r="ZR43" s="6" t="str">
        <f t="shared" si="1222"/>
        <v>M1</v>
      </c>
      <c r="ZS43" s="6" t="str">
        <f t="shared" si="1222"/>
        <v>M1</v>
      </c>
      <c r="ZT43" s="6" t="str">
        <f t="shared" si="1222"/>
        <v>M1</v>
      </c>
      <c r="ZU43" s="6" t="str">
        <f t="shared" si="1222"/>
        <v>M1</v>
      </c>
      <c r="ZV43" s="6" t="str">
        <f t="shared" si="1222"/>
        <v>M1</v>
      </c>
      <c r="ZW43" s="6" t="str">
        <f t="shared" si="1222"/>
        <v>M1</v>
      </c>
      <c r="ZX43" s="6" t="str">
        <f t="shared" si="1222"/>
        <v>M1</v>
      </c>
      <c r="ZY43" s="6" t="str">
        <f t="shared" si="1222"/>
        <v>M1</v>
      </c>
      <c r="ZZ43" s="6" t="str">
        <f t="shared" si="1222"/>
        <v>M1</v>
      </c>
      <c r="AAA43" s="6" t="str">
        <f t="shared" si="1222"/>
        <v>M1</v>
      </c>
      <c r="AAB43" s="6" t="str">
        <f t="shared" si="1222"/>
        <v>M1</v>
      </c>
      <c r="AAC43" s="6" t="str">
        <f t="shared" si="1222"/>
        <v>M0</v>
      </c>
      <c r="AAD43" s="6" t="str">
        <f t="shared" si="1222"/>
        <v>M0</v>
      </c>
      <c r="AAE43" s="6" t="str">
        <f t="shared" si="1222"/>
        <v>M0</v>
      </c>
      <c r="AAF43" s="6" t="str">
        <f t="shared" si="1222"/>
        <v>M0</v>
      </c>
      <c r="AAG43" s="6" t="str">
        <f t="shared" ref="AAG43:ACR43" si="1223">IF(AAG$44="M0","M0", IF(AAG$45="M1","M1", IF(AAG$46="M2","M2", "!")))</f>
        <v>M0</v>
      </c>
      <c r="AAH43" s="6" t="str">
        <f t="shared" si="1223"/>
        <v>M0</v>
      </c>
      <c r="AAI43" s="6" t="str">
        <f t="shared" si="1223"/>
        <v>M0</v>
      </c>
      <c r="AAJ43" s="6" t="str">
        <f t="shared" si="1223"/>
        <v>M0</v>
      </c>
      <c r="AAK43" s="6" t="str">
        <f t="shared" si="1223"/>
        <v>M0</v>
      </c>
      <c r="AAL43" s="6" t="str">
        <f t="shared" si="1223"/>
        <v>M0</v>
      </c>
      <c r="AAM43" s="6" t="str">
        <f t="shared" si="1223"/>
        <v>M0</v>
      </c>
      <c r="AAN43" s="6" t="str">
        <f t="shared" si="1223"/>
        <v>M0</v>
      </c>
      <c r="AAO43" s="6" t="str">
        <f t="shared" si="1223"/>
        <v>M0</v>
      </c>
      <c r="AAP43" s="6" t="str">
        <f t="shared" si="1223"/>
        <v>M0</v>
      </c>
      <c r="AAQ43" s="6" t="str">
        <f t="shared" si="1223"/>
        <v>M0</v>
      </c>
      <c r="AAR43" s="6" t="str">
        <f t="shared" si="1223"/>
        <v>M0</v>
      </c>
      <c r="AAS43" s="6" t="str">
        <f t="shared" si="1223"/>
        <v>M0</v>
      </c>
      <c r="AAT43" s="6" t="str">
        <f t="shared" si="1223"/>
        <v>M0</v>
      </c>
      <c r="AAU43" s="6" t="str">
        <f t="shared" si="1223"/>
        <v>M0</v>
      </c>
      <c r="AAV43" s="6" t="str">
        <f t="shared" si="1223"/>
        <v>M1</v>
      </c>
      <c r="AAW43" s="6" t="str">
        <f t="shared" si="1223"/>
        <v>M1</v>
      </c>
      <c r="AAX43" s="6" t="str">
        <f t="shared" si="1223"/>
        <v>M1</v>
      </c>
      <c r="AAY43" s="6" t="str">
        <f t="shared" si="1223"/>
        <v>M1</v>
      </c>
      <c r="AAZ43" s="6" t="str">
        <f t="shared" si="1223"/>
        <v>M1</v>
      </c>
      <c r="ABA43" s="6" t="str">
        <f t="shared" si="1223"/>
        <v>M1</v>
      </c>
      <c r="ABB43" s="6" t="str">
        <f t="shared" si="1223"/>
        <v>M1</v>
      </c>
      <c r="ABC43" s="6" t="str">
        <f t="shared" si="1223"/>
        <v>M1</v>
      </c>
      <c r="ABD43" s="6" t="str">
        <f t="shared" si="1223"/>
        <v>M1</v>
      </c>
      <c r="ABE43" s="6" t="str">
        <f t="shared" si="1223"/>
        <v>M1</v>
      </c>
      <c r="ABF43" s="6" t="str">
        <f t="shared" si="1223"/>
        <v>M1</v>
      </c>
      <c r="ABG43" s="6" t="str">
        <f t="shared" si="1223"/>
        <v>M1</v>
      </c>
      <c r="ABH43" s="6" t="str">
        <f t="shared" si="1223"/>
        <v>M1</v>
      </c>
      <c r="ABI43" s="6" t="str">
        <f t="shared" si="1223"/>
        <v>M1</v>
      </c>
      <c r="ABJ43" s="6" t="str">
        <f t="shared" si="1223"/>
        <v>M1</v>
      </c>
      <c r="ABK43" s="6" t="str">
        <f t="shared" si="1223"/>
        <v>M1</v>
      </c>
      <c r="ABL43" s="6" t="str">
        <f t="shared" si="1223"/>
        <v>M1</v>
      </c>
      <c r="ABM43" s="6" t="str">
        <f t="shared" si="1223"/>
        <v>M1</v>
      </c>
      <c r="ABN43" s="6" t="str">
        <f t="shared" si="1223"/>
        <v>M1</v>
      </c>
      <c r="ABO43" s="6" t="str">
        <f t="shared" si="1223"/>
        <v>M1</v>
      </c>
      <c r="ABP43" s="6" t="str">
        <f t="shared" si="1223"/>
        <v>M1</v>
      </c>
      <c r="ABQ43" s="6" t="str">
        <f t="shared" si="1223"/>
        <v>M1</v>
      </c>
      <c r="ABR43" s="6" t="str">
        <f t="shared" si="1223"/>
        <v>M1</v>
      </c>
      <c r="ABS43" s="6" t="str">
        <f t="shared" si="1223"/>
        <v>M1</v>
      </c>
      <c r="ABT43" s="6" t="str">
        <f t="shared" si="1223"/>
        <v>M1</v>
      </c>
      <c r="ABU43" s="6" t="str">
        <f t="shared" si="1223"/>
        <v>M1</v>
      </c>
      <c r="ABV43" s="6" t="str">
        <f t="shared" si="1223"/>
        <v>M1</v>
      </c>
      <c r="ABW43" s="6" t="str">
        <f t="shared" si="1223"/>
        <v>M1</v>
      </c>
      <c r="ABX43" s="6" t="str">
        <f t="shared" si="1223"/>
        <v>M1</v>
      </c>
      <c r="ABY43" s="6" t="str">
        <f t="shared" si="1223"/>
        <v>M1</v>
      </c>
      <c r="ABZ43" s="6" t="str">
        <f t="shared" si="1223"/>
        <v>M1</v>
      </c>
      <c r="ACA43" s="6" t="str">
        <f t="shared" si="1223"/>
        <v>M1</v>
      </c>
      <c r="ACB43" s="6" t="str">
        <f t="shared" si="1223"/>
        <v>M1</v>
      </c>
      <c r="ACC43" s="6" t="str">
        <f t="shared" si="1223"/>
        <v>M1</v>
      </c>
      <c r="ACD43" s="6" t="str">
        <f t="shared" si="1223"/>
        <v>M1</v>
      </c>
      <c r="ACE43" s="6" t="str">
        <f t="shared" si="1223"/>
        <v>M1</v>
      </c>
      <c r="ACF43" s="6" t="str">
        <f t="shared" si="1223"/>
        <v>M1</v>
      </c>
      <c r="ACG43" s="6" t="str">
        <f t="shared" si="1223"/>
        <v>M1</v>
      </c>
      <c r="ACH43" s="6" t="str">
        <f t="shared" si="1223"/>
        <v>M1</v>
      </c>
      <c r="ACI43" s="6" t="str">
        <f t="shared" si="1223"/>
        <v>M1</v>
      </c>
      <c r="ACJ43" s="6" t="str">
        <f t="shared" si="1223"/>
        <v>M1</v>
      </c>
      <c r="ACK43" s="6" t="str">
        <f t="shared" si="1223"/>
        <v>M1</v>
      </c>
      <c r="ACL43" s="6" t="str">
        <f t="shared" si="1223"/>
        <v>M1</v>
      </c>
      <c r="ACM43" s="6" t="str">
        <f t="shared" si="1223"/>
        <v>M1</v>
      </c>
      <c r="ACN43" s="6" t="str">
        <f t="shared" si="1223"/>
        <v>M1</v>
      </c>
      <c r="ACO43" s="6" t="str">
        <f t="shared" si="1223"/>
        <v>M1</v>
      </c>
      <c r="ACP43" s="6" t="str">
        <f t="shared" si="1223"/>
        <v>M1</v>
      </c>
      <c r="ACQ43" s="6" t="str">
        <f t="shared" si="1223"/>
        <v>M1</v>
      </c>
      <c r="ACR43" s="6" t="str">
        <f t="shared" si="1223"/>
        <v>M1</v>
      </c>
      <c r="ACS43" s="6" t="str">
        <f t="shared" ref="ACS43:AFD43" si="1224">IF(ACS$44="M0","M0", IF(ACS$45="M1","M1", IF(ACS$46="M2","M2", "!")))</f>
        <v>M1</v>
      </c>
      <c r="ACT43" s="6" t="str">
        <f t="shared" si="1224"/>
        <v>M1</v>
      </c>
      <c r="ACU43" s="6" t="str">
        <f t="shared" si="1224"/>
        <v>M1</v>
      </c>
      <c r="ACV43" s="6" t="str">
        <f t="shared" si="1224"/>
        <v>M1</v>
      </c>
      <c r="ACW43" s="6" t="str">
        <f t="shared" si="1224"/>
        <v>M1</v>
      </c>
      <c r="ACX43" s="6" t="str">
        <f t="shared" si="1224"/>
        <v>M1</v>
      </c>
      <c r="ACY43" s="6" t="str">
        <f t="shared" si="1224"/>
        <v>M1</v>
      </c>
      <c r="ACZ43" s="6" t="str">
        <f t="shared" si="1224"/>
        <v>M1</v>
      </c>
      <c r="ADA43" s="6" t="str">
        <f t="shared" si="1224"/>
        <v>M1</v>
      </c>
      <c r="ADB43" s="6" t="str">
        <f t="shared" si="1224"/>
        <v>M1</v>
      </c>
      <c r="ADC43" s="6" t="str">
        <f t="shared" si="1224"/>
        <v>M1</v>
      </c>
      <c r="ADD43" s="6" t="str">
        <f t="shared" si="1224"/>
        <v>M1</v>
      </c>
      <c r="ADE43" s="6" t="str">
        <f t="shared" si="1224"/>
        <v>M1</v>
      </c>
      <c r="ADF43" s="6" t="str">
        <f t="shared" si="1224"/>
        <v>M1</v>
      </c>
      <c r="ADG43" s="6" t="str">
        <f t="shared" si="1224"/>
        <v>M1</v>
      </c>
      <c r="ADH43" s="6" t="str">
        <f t="shared" si="1224"/>
        <v>M1</v>
      </c>
      <c r="ADI43" s="6" t="str">
        <f t="shared" si="1224"/>
        <v>M1</v>
      </c>
      <c r="ADJ43" s="6" t="str">
        <f t="shared" si="1224"/>
        <v>M1</v>
      </c>
      <c r="ADK43" s="6" t="str">
        <f t="shared" si="1224"/>
        <v>M1</v>
      </c>
      <c r="ADL43" s="6" t="str">
        <f t="shared" si="1224"/>
        <v>M1</v>
      </c>
      <c r="ADM43" s="6" t="str">
        <f t="shared" si="1224"/>
        <v>M1</v>
      </c>
      <c r="ADN43" s="6" t="str">
        <f t="shared" si="1224"/>
        <v>M1</v>
      </c>
      <c r="ADO43" s="6" t="str">
        <f t="shared" si="1224"/>
        <v>M1</v>
      </c>
      <c r="ADP43" s="6" t="str">
        <f t="shared" si="1224"/>
        <v>M1</v>
      </c>
      <c r="ADQ43" s="6" t="str">
        <f t="shared" si="1224"/>
        <v>M1</v>
      </c>
      <c r="ADR43" s="6" t="str">
        <f t="shared" si="1224"/>
        <v>M1</v>
      </c>
      <c r="ADS43" s="6" t="str">
        <f t="shared" si="1224"/>
        <v>M1</v>
      </c>
      <c r="ADT43" s="6" t="str">
        <f t="shared" si="1224"/>
        <v>M1</v>
      </c>
      <c r="ADU43" s="6" t="str">
        <f t="shared" si="1224"/>
        <v>M1</v>
      </c>
      <c r="ADV43" s="6" t="str">
        <f t="shared" si="1224"/>
        <v>M1</v>
      </c>
      <c r="ADW43" s="6" t="str">
        <f t="shared" si="1224"/>
        <v>M1</v>
      </c>
      <c r="ADX43" s="6" t="str">
        <f t="shared" si="1224"/>
        <v>M1</v>
      </c>
      <c r="ADY43" s="6" t="str">
        <f t="shared" si="1224"/>
        <v>M1</v>
      </c>
      <c r="ADZ43" s="6" t="str">
        <f t="shared" si="1224"/>
        <v>M1</v>
      </c>
      <c r="AEA43" s="6" t="str">
        <f t="shared" si="1224"/>
        <v>M1</v>
      </c>
      <c r="AEB43" s="6" t="str">
        <f t="shared" si="1224"/>
        <v>M1</v>
      </c>
      <c r="AEC43" s="6" t="str">
        <f t="shared" si="1224"/>
        <v>M1</v>
      </c>
      <c r="AED43" s="6" t="str">
        <f t="shared" si="1224"/>
        <v>M2</v>
      </c>
      <c r="AEE43" s="6" t="str">
        <f t="shared" si="1224"/>
        <v>M2</v>
      </c>
      <c r="AEF43" s="6" t="str">
        <f t="shared" si="1224"/>
        <v>M2</v>
      </c>
      <c r="AEG43" s="6" t="str">
        <f t="shared" si="1224"/>
        <v>M1</v>
      </c>
      <c r="AEH43" s="6" t="str">
        <f t="shared" si="1224"/>
        <v>M1</v>
      </c>
      <c r="AEI43" s="6" t="str">
        <f t="shared" si="1224"/>
        <v>M1</v>
      </c>
      <c r="AEJ43" s="6" t="str">
        <f t="shared" si="1224"/>
        <v>M1</v>
      </c>
      <c r="AEK43" s="6" t="str">
        <f t="shared" si="1224"/>
        <v>M1</v>
      </c>
      <c r="AEL43" s="6" t="str">
        <f t="shared" si="1224"/>
        <v>M1</v>
      </c>
      <c r="AEM43" s="6" t="str">
        <f t="shared" si="1224"/>
        <v>M1</v>
      </c>
      <c r="AEN43" s="6" t="str">
        <f t="shared" si="1224"/>
        <v>M1</v>
      </c>
      <c r="AEO43" s="6" t="str">
        <f t="shared" si="1224"/>
        <v>M1</v>
      </c>
      <c r="AEP43" s="6" t="str">
        <f t="shared" si="1224"/>
        <v>M1</v>
      </c>
      <c r="AEQ43" s="6" t="str">
        <f t="shared" si="1224"/>
        <v>M1</v>
      </c>
      <c r="AER43" s="6" t="str">
        <f t="shared" si="1224"/>
        <v>M1</v>
      </c>
      <c r="AES43" s="6" t="str">
        <f t="shared" si="1224"/>
        <v>M1</v>
      </c>
      <c r="AET43" s="6" t="str">
        <f t="shared" si="1224"/>
        <v>M1</v>
      </c>
      <c r="AEU43" s="6" t="str">
        <f t="shared" si="1224"/>
        <v>M1</v>
      </c>
      <c r="AEV43" s="6" t="str">
        <f t="shared" si="1224"/>
        <v>M1</v>
      </c>
      <c r="AEW43" s="6" t="str">
        <f t="shared" si="1224"/>
        <v>M1</v>
      </c>
      <c r="AEX43" s="6" t="str">
        <f t="shared" si="1224"/>
        <v>M1</v>
      </c>
      <c r="AEY43" s="6" t="str">
        <f t="shared" si="1224"/>
        <v>M1</v>
      </c>
      <c r="AEZ43" s="6" t="str">
        <f t="shared" si="1224"/>
        <v>M1</v>
      </c>
      <c r="AFA43" s="6" t="str">
        <f t="shared" si="1224"/>
        <v>M1</v>
      </c>
      <c r="AFB43" s="6" t="str">
        <f t="shared" si="1224"/>
        <v>M1</v>
      </c>
      <c r="AFC43" s="6" t="str">
        <f t="shared" si="1224"/>
        <v>M1</v>
      </c>
      <c r="AFD43" s="6" t="str">
        <f t="shared" si="1224"/>
        <v>M1</v>
      </c>
      <c r="AFE43" s="6" t="str">
        <f t="shared" ref="AFE43:AHP43" si="1225">IF(AFE$44="M0","M0", IF(AFE$45="M1","M1", IF(AFE$46="M2","M2", "!")))</f>
        <v>M1</v>
      </c>
      <c r="AFF43" s="6" t="str">
        <f t="shared" si="1225"/>
        <v>M1</v>
      </c>
      <c r="AFG43" s="6" t="str">
        <f t="shared" si="1225"/>
        <v>M1</v>
      </c>
      <c r="AFH43" s="6" t="str">
        <f t="shared" si="1225"/>
        <v>M1</v>
      </c>
      <c r="AFI43" s="6" t="str">
        <f t="shared" si="1225"/>
        <v>M1</v>
      </c>
      <c r="AFJ43" s="6" t="str">
        <f t="shared" si="1225"/>
        <v>M1</v>
      </c>
      <c r="AFK43" s="6" t="str">
        <f t="shared" si="1225"/>
        <v>M1</v>
      </c>
      <c r="AFL43" s="6" t="str">
        <f t="shared" si="1225"/>
        <v>M1</v>
      </c>
      <c r="AFM43" s="6" t="str">
        <f t="shared" si="1225"/>
        <v>M1</v>
      </c>
      <c r="AFN43" s="6" t="str">
        <f t="shared" si="1225"/>
        <v>M1</v>
      </c>
      <c r="AFO43" s="6" t="str">
        <f t="shared" si="1225"/>
        <v>M1</v>
      </c>
      <c r="AFP43" s="6" t="str">
        <f t="shared" si="1225"/>
        <v>M1</v>
      </c>
      <c r="AFQ43" s="6" t="str">
        <f t="shared" si="1225"/>
        <v>M0</v>
      </c>
      <c r="AFR43" s="6" t="str">
        <f t="shared" si="1225"/>
        <v>M0</v>
      </c>
      <c r="AFS43" s="6" t="str">
        <f t="shared" si="1225"/>
        <v>M0</v>
      </c>
      <c r="AFT43" s="6" t="str">
        <f t="shared" si="1225"/>
        <v>M0</v>
      </c>
      <c r="AFU43" s="6" t="str">
        <f t="shared" si="1225"/>
        <v>M0</v>
      </c>
      <c r="AFV43" s="6" t="str">
        <f t="shared" si="1225"/>
        <v>M0</v>
      </c>
      <c r="AFW43" s="6" t="str">
        <f t="shared" si="1225"/>
        <v>M0</v>
      </c>
      <c r="AFX43" s="6" t="str">
        <f t="shared" si="1225"/>
        <v>M0</v>
      </c>
      <c r="AFY43" s="6" t="str">
        <f t="shared" si="1225"/>
        <v>M0</v>
      </c>
      <c r="AFZ43" s="6" t="str">
        <f t="shared" si="1225"/>
        <v>M0</v>
      </c>
      <c r="AGA43" s="6" t="str">
        <f t="shared" si="1225"/>
        <v>M0</v>
      </c>
      <c r="AGB43" s="6" t="str">
        <f t="shared" si="1225"/>
        <v>M0</v>
      </c>
      <c r="AGC43" s="6" t="str">
        <f t="shared" si="1225"/>
        <v>M0</v>
      </c>
      <c r="AGD43" s="6" t="str">
        <f t="shared" si="1225"/>
        <v>M0</v>
      </c>
      <c r="AGE43" s="6" t="str">
        <f t="shared" si="1225"/>
        <v>M0</v>
      </c>
      <c r="AGF43" s="6" t="str">
        <f t="shared" si="1225"/>
        <v>M0</v>
      </c>
      <c r="AGG43" s="6" t="str">
        <f t="shared" si="1225"/>
        <v>M0</v>
      </c>
      <c r="AGH43" s="6" t="str">
        <f t="shared" si="1225"/>
        <v>M0</v>
      </c>
      <c r="AGI43" s="6" t="str">
        <f t="shared" si="1225"/>
        <v>M0</v>
      </c>
      <c r="AGJ43" s="6" t="str">
        <f t="shared" si="1225"/>
        <v>M1</v>
      </c>
      <c r="AGK43" s="6" t="str">
        <f t="shared" si="1225"/>
        <v>M1</v>
      </c>
      <c r="AGL43" s="6" t="str">
        <f t="shared" si="1225"/>
        <v>M1</v>
      </c>
      <c r="AGM43" s="6" t="str">
        <f t="shared" si="1225"/>
        <v>M1</v>
      </c>
      <c r="AGN43" s="6" t="str">
        <f t="shared" si="1225"/>
        <v>M1</v>
      </c>
      <c r="AGO43" s="6" t="str">
        <f t="shared" si="1225"/>
        <v>M1</v>
      </c>
      <c r="AGP43" s="6" t="str">
        <f t="shared" si="1225"/>
        <v>M1</v>
      </c>
      <c r="AGQ43" s="6" t="str">
        <f t="shared" si="1225"/>
        <v>M1</v>
      </c>
      <c r="AGR43" s="6" t="str">
        <f t="shared" si="1225"/>
        <v>M1</v>
      </c>
      <c r="AGS43" s="6" t="str">
        <f t="shared" si="1225"/>
        <v>M1</v>
      </c>
      <c r="AGT43" s="6" t="str">
        <f t="shared" si="1225"/>
        <v>M1</v>
      </c>
      <c r="AGU43" s="6" t="str">
        <f t="shared" si="1225"/>
        <v>M1</v>
      </c>
      <c r="AGV43" s="6" t="str">
        <f t="shared" si="1225"/>
        <v>M1</v>
      </c>
      <c r="AGW43" s="6" t="str">
        <f t="shared" si="1225"/>
        <v>M1</v>
      </c>
      <c r="AGX43" s="6" t="str">
        <f t="shared" si="1225"/>
        <v>M1</v>
      </c>
      <c r="AGY43" s="6" t="str">
        <f t="shared" si="1225"/>
        <v>M1</v>
      </c>
      <c r="AGZ43" s="6" t="str">
        <f t="shared" si="1225"/>
        <v>M1</v>
      </c>
      <c r="AHA43" s="6" t="str">
        <f t="shared" si="1225"/>
        <v>M1</v>
      </c>
      <c r="AHB43" s="6" t="str">
        <f t="shared" si="1225"/>
        <v>M1</v>
      </c>
      <c r="AHC43" s="6" t="str">
        <f t="shared" si="1225"/>
        <v>M1</v>
      </c>
      <c r="AHD43" s="6" t="str">
        <f t="shared" si="1225"/>
        <v>M1</v>
      </c>
      <c r="AHE43" s="6" t="str">
        <f t="shared" si="1225"/>
        <v>M1</v>
      </c>
      <c r="AHF43" s="6" t="str">
        <f t="shared" si="1225"/>
        <v>M1</v>
      </c>
      <c r="AHG43" s="6" t="str">
        <f t="shared" si="1225"/>
        <v>M1</v>
      </c>
      <c r="AHH43" s="6" t="str">
        <f t="shared" si="1225"/>
        <v>M1</v>
      </c>
      <c r="AHI43" s="6" t="str">
        <f t="shared" si="1225"/>
        <v>M1</v>
      </c>
      <c r="AHJ43" s="6" t="str">
        <f t="shared" si="1225"/>
        <v>M1</v>
      </c>
      <c r="AHK43" s="6" t="str">
        <f t="shared" si="1225"/>
        <v>M1</v>
      </c>
      <c r="AHL43" s="6" t="str">
        <f t="shared" si="1225"/>
        <v>M1</v>
      </c>
      <c r="AHM43" s="6" t="str">
        <f t="shared" si="1225"/>
        <v>M1</v>
      </c>
      <c r="AHN43" s="6" t="str">
        <f t="shared" si="1225"/>
        <v>M1</v>
      </c>
      <c r="AHO43" s="6" t="str">
        <f t="shared" si="1225"/>
        <v>M1</v>
      </c>
      <c r="AHP43" s="6" t="str">
        <f t="shared" si="1225"/>
        <v>M1</v>
      </c>
      <c r="AHQ43" s="6" t="str">
        <f t="shared" ref="AHQ43:AKB43" si="1226">IF(AHQ$44="M0","M0", IF(AHQ$45="M1","M1", IF(AHQ$46="M2","M2", "!")))</f>
        <v>M1</v>
      </c>
      <c r="AHR43" s="6" t="str">
        <f t="shared" si="1226"/>
        <v>M1</v>
      </c>
      <c r="AHS43" s="6" t="str">
        <f t="shared" si="1226"/>
        <v>M1</v>
      </c>
      <c r="AHT43" s="6" t="str">
        <f t="shared" si="1226"/>
        <v>M1</v>
      </c>
      <c r="AHU43" s="6" t="str">
        <f t="shared" si="1226"/>
        <v>M1</v>
      </c>
      <c r="AHV43" s="6" t="str">
        <f t="shared" si="1226"/>
        <v>M1</v>
      </c>
      <c r="AHW43" s="6" t="str">
        <f t="shared" si="1226"/>
        <v>M1</v>
      </c>
      <c r="AHX43" s="6" t="str">
        <f t="shared" si="1226"/>
        <v>M1</v>
      </c>
      <c r="AHY43" s="6" t="str">
        <f t="shared" si="1226"/>
        <v>M1</v>
      </c>
      <c r="AHZ43" s="6" t="str">
        <f t="shared" si="1226"/>
        <v>M1</v>
      </c>
      <c r="AIA43" s="6" t="str">
        <f t="shared" si="1226"/>
        <v>M1</v>
      </c>
      <c r="AIB43" s="6" t="str">
        <f t="shared" si="1226"/>
        <v>M1</v>
      </c>
      <c r="AIC43" s="6" t="str">
        <f t="shared" si="1226"/>
        <v>M1</v>
      </c>
      <c r="AID43" s="6" t="str">
        <f t="shared" si="1226"/>
        <v>M1</v>
      </c>
      <c r="AIE43" s="6" t="str">
        <f t="shared" si="1226"/>
        <v>M1</v>
      </c>
      <c r="AIF43" s="6" t="str">
        <f t="shared" si="1226"/>
        <v>M1</v>
      </c>
      <c r="AIG43" s="6" t="str">
        <f t="shared" si="1226"/>
        <v>M1</v>
      </c>
      <c r="AIH43" s="6" t="str">
        <f t="shared" si="1226"/>
        <v>M1</v>
      </c>
      <c r="AII43" s="6" t="str">
        <f t="shared" si="1226"/>
        <v>M1</v>
      </c>
      <c r="AIJ43" s="6" t="str">
        <f t="shared" si="1226"/>
        <v>M1</v>
      </c>
      <c r="AIK43" s="6" t="str">
        <f t="shared" si="1226"/>
        <v>M1</v>
      </c>
      <c r="AIL43" s="6" t="str">
        <f t="shared" si="1226"/>
        <v>M1</v>
      </c>
      <c r="AIM43" s="6" t="str">
        <f t="shared" si="1226"/>
        <v>M1</v>
      </c>
      <c r="AIN43" s="6" t="str">
        <f t="shared" si="1226"/>
        <v>M1</v>
      </c>
      <c r="AIO43" s="6" t="str">
        <f t="shared" si="1226"/>
        <v>M1</v>
      </c>
      <c r="AIP43" s="6" t="str">
        <f t="shared" si="1226"/>
        <v>M1</v>
      </c>
      <c r="AIQ43" s="6" t="str">
        <f t="shared" si="1226"/>
        <v>M1</v>
      </c>
      <c r="AIR43" s="6" t="str">
        <f t="shared" si="1226"/>
        <v>M1</v>
      </c>
      <c r="AIS43" s="6" t="str">
        <f t="shared" si="1226"/>
        <v>M1</v>
      </c>
      <c r="AIT43" s="6" t="str">
        <f t="shared" si="1226"/>
        <v>M1</v>
      </c>
      <c r="AIU43" s="6" t="str">
        <f t="shared" si="1226"/>
        <v>M1</v>
      </c>
      <c r="AIV43" s="6" t="str">
        <f t="shared" si="1226"/>
        <v>M1</v>
      </c>
      <c r="AIW43" s="6" t="str">
        <f t="shared" si="1226"/>
        <v>M1</v>
      </c>
      <c r="AIX43" s="6" t="str">
        <f t="shared" si="1226"/>
        <v>M1</v>
      </c>
      <c r="AIY43" s="6" t="str">
        <f t="shared" si="1226"/>
        <v>M1</v>
      </c>
      <c r="AIZ43" s="6" t="str">
        <f t="shared" si="1226"/>
        <v>M1</v>
      </c>
      <c r="AJA43" s="6" t="str">
        <f t="shared" si="1226"/>
        <v>M1</v>
      </c>
      <c r="AJB43" s="6" t="str">
        <f t="shared" si="1226"/>
        <v>M1</v>
      </c>
      <c r="AJC43" s="6" t="str">
        <f t="shared" si="1226"/>
        <v>M1</v>
      </c>
      <c r="AJD43" s="6" t="str">
        <f t="shared" si="1226"/>
        <v>M1</v>
      </c>
      <c r="AJE43" s="6" t="str">
        <f t="shared" si="1226"/>
        <v>M1</v>
      </c>
      <c r="AJF43" s="6" t="str">
        <f t="shared" si="1226"/>
        <v>M1</v>
      </c>
      <c r="AJG43" s="6" t="str">
        <f t="shared" si="1226"/>
        <v>M1</v>
      </c>
      <c r="AJH43" s="6" t="str">
        <f t="shared" si="1226"/>
        <v>M1</v>
      </c>
      <c r="AJI43" s="6" t="str">
        <f t="shared" si="1226"/>
        <v>M1</v>
      </c>
      <c r="AJJ43" s="6" t="str">
        <f t="shared" si="1226"/>
        <v>M1</v>
      </c>
      <c r="AJK43" s="6" t="str">
        <f t="shared" si="1226"/>
        <v>M1</v>
      </c>
      <c r="AJL43" s="6" t="str">
        <f t="shared" si="1226"/>
        <v>M1</v>
      </c>
      <c r="AJM43" s="6" t="str">
        <f t="shared" si="1226"/>
        <v>M1</v>
      </c>
      <c r="AJN43" s="6" t="str">
        <f t="shared" si="1226"/>
        <v>M1</v>
      </c>
      <c r="AJO43" s="6" t="str">
        <f t="shared" si="1226"/>
        <v>M1</v>
      </c>
      <c r="AJP43" s="6" t="str">
        <f t="shared" si="1226"/>
        <v>M1</v>
      </c>
      <c r="AJQ43" s="6" t="str">
        <f t="shared" si="1226"/>
        <v>M1</v>
      </c>
      <c r="AJR43" s="6" t="str">
        <f t="shared" si="1226"/>
        <v>M2</v>
      </c>
      <c r="AJS43" s="6" t="str">
        <f t="shared" si="1226"/>
        <v>M2</v>
      </c>
      <c r="AJT43" s="6" t="str">
        <f t="shared" si="1226"/>
        <v>M2</v>
      </c>
      <c r="AJU43" s="6" t="str">
        <f t="shared" si="1226"/>
        <v>M1</v>
      </c>
      <c r="AJV43" s="6" t="str">
        <f t="shared" si="1226"/>
        <v>M1</v>
      </c>
      <c r="AJW43" s="6" t="str">
        <f t="shared" si="1226"/>
        <v>M1</v>
      </c>
      <c r="AJX43" s="6" t="str">
        <f t="shared" si="1226"/>
        <v>M1</v>
      </c>
      <c r="AJY43" s="6" t="str">
        <f t="shared" si="1226"/>
        <v>M1</v>
      </c>
      <c r="AJZ43" s="6" t="str">
        <f t="shared" si="1226"/>
        <v>M1</v>
      </c>
      <c r="AKA43" s="6" t="str">
        <f t="shared" si="1226"/>
        <v>M1</v>
      </c>
      <c r="AKB43" s="6" t="str">
        <f t="shared" si="1226"/>
        <v>M1</v>
      </c>
      <c r="AKC43" s="6" t="str">
        <f t="shared" ref="AKC43:ALW43" si="1227">IF(AKC$44="M0","M0", IF(AKC$45="M1","M1", IF(AKC$46="M2","M2", "!")))</f>
        <v>M1</v>
      </c>
      <c r="AKD43" s="6" t="str">
        <f t="shared" si="1227"/>
        <v>M1</v>
      </c>
      <c r="AKE43" s="6" t="str">
        <f t="shared" si="1227"/>
        <v>M1</v>
      </c>
      <c r="AKF43" s="6" t="str">
        <f t="shared" si="1227"/>
        <v>M1</v>
      </c>
      <c r="AKG43" s="6" t="str">
        <f t="shared" si="1227"/>
        <v>M1</v>
      </c>
      <c r="AKH43" s="6" t="str">
        <f t="shared" si="1227"/>
        <v>M1</v>
      </c>
      <c r="AKI43" s="6" t="str">
        <f t="shared" si="1227"/>
        <v>M1</v>
      </c>
      <c r="AKJ43" s="6" t="str">
        <f t="shared" si="1227"/>
        <v>M1</v>
      </c>
      <c r="AKK43" s="6" t="str">
        <f t="shared" si="1227"/>
        <v>M1</v>
      </c>
      <c r="AKL43" s="6" t="str">
        <f t="shared" si="1227"/>
        <v>M1</v>
      </c>
      <c r="AKM43" s="6" t="str">
        <f t="shared" si="1227"/>
        <v>M1</v>
      </c>
      <c r="AKN43" s="6" t="str">
        <f t="shared" si="1227"/>
        <v>M1</v>
      </c>
      <c r="AKO43" s="6" t="str">
        <f t="shared" si="1227"/>
        <v>M1</v>
      </c>
      <c r="AKP43" s="6" t="str">
        <f t="shared" si="1227"/>
        <v>M1</v>
      </c>
      <c r="AKQ43" s="6" t="str">
        <f t="shared" si="1227"/>
        <v>M1</v>
      </c>
      <c r="AKR43" s="6" t="str">
        <f t="shared" si="1227"/>
        <v>M1</v>
      </c>
      <c r="AKS43" s="6" t="str">
        <f t="shared" si="1227"/>
        <v>M1</v>
      </c>
      <c r="AKT43" s="6" t="str">
        <f t="shared" si="1227"/>
        <v>M1</v>
      </c>
      <c r="AKU43" s="6" t="str">
        <f t="shared" si="1227"/>
        <v>M1</v>
      </c>
      <c r="AKV43" s="6" t="str">
        <f t="shared" si="1227"/>
        <v>M1</v>
      </c>
      <c r="AKW43" s="6" t="str">
        <f t="shared" si="1227"/>
        <v>M1</v>
      </c>
      <c r="AKX43" s="6" t="str">
        <f t="shared" si="1227"/>
        <v>M1</v>
      </c>
      <c r="AKY43" s="6" t="str">
        <f t="shared" si="1227"/>
        <v>M1</v>
      </c>
      <c r="AKZ43" s="6" t="str">
        <f t="shared" si="1227"/>
        <v>M1</v>
      </c>
      <c r="ALA43" s="6" t="str">
        <f t="shared" si="1227"/>
        <v>M1</v>
      </c>
      <c r="ALB43" s="6" t="str">
        <f t="shared" si="1227"/>
        <v>M1</v>
      </c>
      <c r="ALC43" s="6" t="str">
        <f t="shared" si="1227"/>
        <v>M1</v>
      </c>
      <c r="ALD43" s="6" t="str">
        <f t="shared" si="1227"/>
        <v>M1</v>
      </c>
      <c r="ALE43" s="6" t="str">
        <f t="shared" si="1227"/>
        <v>M0</v>
      </c>
      <c r="ALF43" s="6" t="str">
        <f t="shared" si="1227"/>
        <v>M0</v>
      </c>
      <c r="ALG43" s="6" t="str">
        <f t="shared" si="1227"/>
        <v>M0</v>
      </c>
      <c r="ALH43" s="6" t="str">
        <f t="shared" si="1227"/>
        <v>M0</v>
      </c>
      <c r="ALI43" s="6" t="str">
        <f t="shared" si="1227"/>
        <v>M0</v>
      </c>
      <c r="ALJ43" s="6" t="str">
        <f t="shared" si="1227"/>
        <v>M0</v>
      </c>
      <c r="ALK43" s="6" t="str">
        <f t="shared" si="1227"/>
        <v>M0</v>
      </c>
      <c r="ALL43" s="6" t="str">
        <f t="shared" si="1227"/>
        <v>M0</v>
      </c>
      <c r="ALM43" s="6" t="str">
        <f t="shared" si="1227"/>
        <v>M0</v>
      </c>
      <c r="ALN43" s="6" t="str">
        <f t="shared" si="1227"/>
        <v>M0</v>
      </c>
      <c r="ALO43" s="6" t="str">
        <f t="shared" si="1227"/>
        <v>M0</v>
      </c>
      <c r="ALP43" s="6" t="str">
        <f t="shared" si="1227"/>
        <v>M0</v>
      </c>
      <c r="ALQ43" s="6" t="str">
        <f t="shared" si="1227"/>
        <v>M0</v>
      </c>
      <c r="ALR43" s="6" t="str">
        <f t="shared" si="1227"/>
        <v>M0</v>
      </c>
      <c r="ALS43" s="6" t="str">
        <f t="shared" si="1227"/>
        <v>M0</v>
      </c>
      <c r="ALT43" s="6" t="str">
        <f t="shared" si="1227"/>
        <v>M0</v>
      </c>
      <c r="ALU43" s="6" t="str">
        <f t="shared" si="1227"/>
        <v>M0</v>
      </c>
      <c r="ALV43" s="6" t="str">
        <f t="shared" si="1227"/>
        <v>M0</v>
      </c>
      <c r="ALW43" s="6" t="str">
        <f t="shared" si="1227"/>
        <v>M0</v>
      </c>
    </row>
    <row r="44" spans="2:1011" outlineLevel="1" x14ac:dyDescent="0.25">
      <c r="C44" s="5" t="s">
        <v>6</v>
      </c>
      <c r="D44" s="6" t="str">
        <f>IF(OR(D$45="M1", D46="M2"),"", "M0")</f>
        <v/>
      </c>
      <c r="E44" s="6" t="str">
        <f t="shared" ref="E44:BP44" si="1228">IF(OR(E$45="M1", E46="M2"),"", "M0")</f>
        <v/>
      </c>
      <c r="F44" s="6" t="str">
        <f t="shared" si="1228"/>
        <v/>
      </c>
      <c r="G44" s="6" t="str">
        <f t="shared" si="1228"/>
        <v/>
      </c>
      <c r="H44" s="6" t="str">
        <f t="shared" si="1228"/>
        <v/>
      </c>
      <c r="I44" s="6" t="str">
        <f t="shared" si="1228"/>
        <v/>
      </c>
      <c r="J44" s="6" t="str">
        <f t="shared" si="1228"/>
        <v/>
      </c>
      <c r="K44" s="6" t="str">
        <f t="shared" si="1228"/>
        <v/>
      </c>
      <c r="L44" s="6" t="str">
        <f t="shared" si="1228"/>
        <v/>
      </c>
      <c r="M44" s="6" t="str">
        <f t="shared" si="1228"/>
        <v/>
      </c>
      <c r="N44" s="6" t="str">
        <f t="shared" si="1228"/>
        <v/>
      </c>
      <c r="O44" s="6" t="str">
        <f t="shared" si="1228"/>
        <v/>
      </c>
      <c r="P44" s="6" t="str">
        <f t="shared" si="1228"/>
        <v/>
      </c>
      <c r="Q44" s="6" t="str">
        <f t="shared" si="1228"/>
        <v/>
      </c>
      <c r="R44" s="6" t="str">
        <f t="shared" si="1228"/>
        <v/>
      </c>
      <c r="S44" s="6" t="str">
        <f t="shared" si="1228"/>
        <v/>
      </c>
      <c r="T44" s="6" t="str">
        <f t="shared" si="1228"/>
        <v/>
      </c>
      <c r="U44" s="6" t="str">
        <f t="shared" si="1228"/>
        <v/>
      </c>
      <c r="V44" s="6" t="str">
        <f t="shared" si="1228"/>
        <v/>
      </c>
      <c r="W44" s="6" t="str">
        <f t="shared" si="1228"/>
        <v/>
      </c>
      <c r="X44" s="6" t="str">
        <f t="shared" si="1228"/>
        <v/>
      </c>
      <c r="Y44" s="6" t="str">
        <f t="shared" si="1228"/>
        <v/>
      </c>
      <c r="Z44" s="6" t="str">
        <f t="shared" si="1228"/>
        <v/>
      </c>
      <c r="AA44" s="6" t="str">
        <f t="shared" si="1228"/>
        <v/>
      </c>
      <c r="AB44" s="6" t="str">
        <f t="shared" si="1228"/>
        <v/>
      </c>
      <c r="AC44" s="6" t="str">
        <f t="shared" si="1228"/>
        <v/>
      </c>
      <c r="AD44" s="6" t="str">
        <f t="shared" si="1228"/>
        <v/>
      </c>
      <c r="AE44" s="6" t="str">
        <f t="shared" si="1228"/>
        <v/>
      </c>
      <c r="AF44" s="6" t="str">
        <f t="shared" si="1228"/>
        <v/>
      </c>
      <c r="AG44" s="6" t="str">
        <f t="shared" si="1228"/>
        <v/>
      </c>
      <c r="AH44" s="6" t="str">
        <f t="shared" si="1228"/>
        <v/>
      </c>
      <c r="AI44" s="6" t="str">
        <f t="shared" si="1228"/>
        <v/>
      </c>
      <c r="AJ44" s="6" t="str">
        <f t="shared" si="1228"/>
        <v/>
      </c>
      <c r="AK44" s="6" t="str">
        <f t="shared" si="1228"/>
        <v/>
      </c>
      <c r="AL44" s="6" t="str">
        <f t="shared" si="1228"/>
        <v/>
      </c>
      <c r="AM44" s="6" t="str">
        <f t="shared" si="1228"/>
        <v/>
      </c>
      <c r="AN44" s="6" t="str">
        <f t="shared" si="1228"/>
        <v/>
      </c>
      <c r="AO44" s="6" t="str">
        <f t="shared" si="1228"/>
        <v/>
      </c>
      <c r="AP44" s="6" t="str">
        <f t="shared" si="1228"/>
        <v/>
      </c>
      <c r="AQ44" s="6" t="str">
        <f t="shared" si="1228"/>
        <v/>
      </c>
      <c r="AR44" s="6" t="str">
        <f t="shared" si="1228"/>
        <v/>
      </c>
      <c r="AS44" s="6" t="str">
        <f t="shared" si="1228"/>
        <v/>
      </c>
      <c r="AT44" s="6" t="str">
        <f t="shared" si="1228"/>
        <v/>
      </c>
      <c r="AU44" s="6" t="str">
        <f t="shared" si="1228"/>
        <v/>
      </c>
      <c r="AV44" s="6" t="str">
        <f t="shared" si="1228"/>
        <v/>
      </c>
      <c r="AW44" s="6" t="str">
        <f t="shared" si="1228"/>
        <v/>
      </c>
      <c r="AX44" s="6" t="str">
        <f t="shared" si="1228"/>
        <v/>
      </c>
      <c r="AY44" s="6" t="str">
        <f t="shared" si="1228"/>
        <v/>
      </c>
      <c r="AZ44" s="6" t="str">
        <f t="shared" si="1228"/>
        <v/>
      </c>
      <c r="BA44" s="6" t="str">
        <f t="shared" si="1228"/>
        <v/>
      </c>
      <c r="BB44" s="6" t="str">
        <f t="shared" si="1228"/>
        <v/>
      </c>
      <c r="BC44" s="6" t="str">
        <f t="shared" si="1228"/>
        <v/>
      </c>
      <c r="BD44" s="6" t="str">
        <f t="shared" si="1228"/>
        <v/>
      </c>
      <c r="BE44" s="6" t="str">
        <f t="shared" si="1228"/>
        <v/>
      </c>
      <c r="BF44" s="6" t="str">
        <f t="shared" si="1228"/>
        <v/>
      </c>
      <c r="BG44" s="6" t="str">
        <f t="shared" si="1228"/>
        <v/>
      </c>
      <c r="BH44" s="6" t="str">
        <f t="shared" si="1228"/>
        <v/>
      </c>
      <c r="BI44" s="6" t="str">
        <f t="shared" si="1228"/>
        <v/>
      </c>
      <c r="BJ44" s="6" t="str">
        <f t="shared" si="1228"/>
        <v/>
      </c>
      <c r="BK44" s="6" t="str">
        <f t="shared" si="1228"/>
        <v/>
      </c>
      <c r="BL44" s="6" t="str">
        <f t="shared" si="1228"/>
        <v/>
      </c>
      <c r="BM44" s="6" t="str">
        <f t="shared" si="1228"/>
        <v/>
      </c>
      <c r="BN44" s="6" t="str">
        <f t="shared" si="1228"/>
        <v/>
      </c>
      <c r="BO44" s="6" t="str">
        <f t="shared" si="1228"/>
        <v/>
      </c>
      <c r="BP44" s="6" t="str">
        <f t="shared" si="1228"/>
        <v/>
      </c>
      <c r="BQ44" s="6" t="str">
        <f t="shared" ref="BQ44:EB44" si="1229">IF(OR(BQ$45="M1", BQ46="M2"),"", "M0")</f>
        <v/>
      </c>
      <c r="BR44" s="6" t="str">
        <f t="shared" si="1229"/>
        <v/>
      </c>
      <c r="BS44" s="6" t="str">
        <f t="shared" si="1229"/>
        <v/>
      </c>
      <c r="BT44" s="6" t="str">
        <f t="shared" si="1229"/>
        <v/>
      </c>
      <c r="BU44" s="6" t="str">
        <f t="shared" si="1229"/>
        <v/>
      </c>
      <c r="BV44" s="6" t="str">
        <f t="shared" si="1229"/>
        <v/>
      </c>
      <c r="BW44" s="6" t="str">
        <f t="shared" si="1229"/>
        <v/>
      </c>
      <c r="BX44" s="6" t="str">
        <f t="shared" si="1229"/>
        <v/>
      </c>
      <c r="BY44" s="6" t="str">
        <f t="shared" si="1229"/>
        <v/>
      </c>
      <c r="BZ44" s="6" t="str">
        <f t="shared" si="1229"/>
        <v/>
      </c>
      <c r="CA44" s="6" t="str">
        <f t="shared" si="1229"/>
        <v/>
      </c>
      <c r="CB44" s="6" t="str">
        <f t="shared" si="1229"/>
        <v/>
      </c>
      <c r="CC44" s="6" t="str">
        <f t="shared" si="1229"/>
        <v/>
      </c>
      <c r="CD44" s="6" t="str">
        <f t="shared" si="1229"/>
        <v/>
      </c>
      <c r="CE44" s="6" t="str">
        <f t="shared" si="1229"/>
        <v/>
      </c>
      <c r="CF44" s="6" t="str">
        <f t="shared" si="1229"/>
        <v/>
      </c>
      <c r="CG44" s="6" t="str">
        <f t="shared" si="1229"/>
        <v/>
      </c>
      <c r="CH44" s="6" t="str">
        <f t="shared" si="1229"/>
        <v/>
      </c>
      <c r="CI44" s="6" t="str">
        <f t="shared" si="1229"/>
        <v/>
      </c>
      <c r="CJ44" s="6" t="str">
        <f t="shared" si="1229"/>
        <v/>
      </c>
      <c r="CK44" s="6" t="str">
        <f t="shared" si="1229"/>
        <v/>
      </c>
      <c r="CL44" s="6" t="str">
        <f t="shared" si="1229"/>
        <v/>
      </c>
      <c r="CM44" s="6" t="str">
        <f t="shared" si="1229"/>
        <v/>
      </c>
      <c r="CN44" s="6" t="str">
        <f t="shared" si="1229"/>
        <v/>
      </c>
      <c r="CO44" s="6" t="str">
        <f t="shared" si="1229"/>
        <v/>
      </c>
      <c r="CP44" s="6" t="str">
        <f t="shared" si="1229"/>
        <v/>
      </c>
      <c r="CQ44" s="6" t="str">
        <f t="shared" si="1229"/>
        <v/>
      </c>
      <c r="CR44" s="6" t="str">
        <f t="shared" si="1229"/>
        <v/>
      </c>
      <c r="CS44" s="6" t="str">
        <f t="shared" si="1229"/>
        <v/>
      </c>
      <c r="CT44" s="6" t="str">
        <f t="shared" si="1229"/>
        <v/>
      </c>
      <c r="CU44" s="6" t="str">
        <f t="shared" si="1229"/>
        <v/>
      </c>
      <c r="CV44" s="6" t="str">
        <f t="shared" si="1229"/>
        <v/>
      </c>
      <c r="CW44" s="6" t="str">
        <f t="shared" si="1229"/>
        <v/>
      </c>
      <c r="CX44" s="6" t="str">
        <f t="shared" si="1229"/>
        <v/>
      </c>
      <c r="CY44" s="6" t="str">
        <f t="shared" si="1229"/>
        <v/>
      </c>
      <c r="CZ44" s="6" t="str">
        <f t="shared" si="1229"/>
        <v/>
      </c>
      <c r="DA44" s="6" t="str">
        <f t="shared" si="1229"/>
        <v/>
      </c>
      <c r="DB44" s="6" t="str">
        <f t="shared" si="1229"/>
        <v/>
      </c>
      <c r="DC44" s="6" t="str">
        <f t="shared" si="1229"/>
        <v/>
      </c>
      <c r="DD44" s="6" t="str">
        <f t="shared" si="1229"/>
        <v/>
      </c>
      <c r="DE44" s="6" t="str">
        <f t="shared" si="1229"/>
        <v/>
      </c>
      <c r="DF44" s="6" t="str">
        <f t="shared" si="1229"/>
        <v/>
      </c>
      <c r="DG44" s="6" t="str">
        <f t="shared" si="1229"/>
        <v/>
      </c>
      <c r="DH44" s="6" t="str">
        <f t="shared" si="1229"/>
        <v/>
      </c>
      <c r="DI44" s="6" t="str">
        <f t="shared" si="1229"/>
        <v/>
      </c>
      <c r="DJ44" s="6" t="str">
        <f t="shared" si="1229"/>
        <v/>
      </c>
      <c r="DK44" s="6" t="str">
        <f t="shared" si="1229"/>
        <v/>
      </c>
      <c r="DL44" s="6" t="str">
        <f t="shared" si="1229"/>
        <v/>
      </c>
      <c r="DM44" s="6" t="str">
        <f t="shared" si="1229"/>
        <v/>
      </c>
      <c r="DN44" s="6" t="str">
        <f t="shared" si="1229"/>
        <v/>
      </c>
      <c r="DO44" s="6" t="str">
        <f t="shared" si="1229"/>
        <v/>
      </c>
      <c r="DP44" s="6" t="str">
        <f t="shared" si="1229"/>
        <v/>
      </c>
      <c r="DQ44" s="6" t="str">
        <f t="shared" si="1229"/>
        <v/>
      </c>
      <c r="DR44" s="6" t="str">
        <f t="shared" si="1229"/>
        <v/>
      </c>
      <c r="DS44" s="6" t="str">
        <f t="shared" si="1229"/>
        <v/>
      </c>
      <c r="DT44" s="6" t="str">
        <f t="shared" si="1229"/>
        <v/>
      </c>
      <c r="DU44" s="6" t="str">
        <f t="shared" si="1229"/>
        <v/>
      </c>
      <c r="DV44" s="6" t="str">
        <f t="shared" si="1229"/>
        <v/>
      </c>
      <c r="DW44" s="6" t="str">
        <f t="shared" si="1229"/>
        <v/>
      </c>
      <c r="DX44" s="6" t="str">
        <f t="shared" si="1229"/>
        <v/>
      </c>
      <c r="DY44" s="6" t="str">
        <f t="shared" si="1229"/>
        <v>M0</v>
      </c>
      <c r="DZ44" s="6" t="str">
        <f t="shared" si="1229"/>
        <v>M0</v>
      </c>
      <c r="EA44" s="6" t="str">
        <f t="shared" si="1229"/>
        <v>M0</v>
      </c>
      <c r="EB44" s="6" t="str">
        <f t="shared" si="1229"/>
        <v>M0</v>
      </c>
      <c r="EC44" s="6" t="str">
        <f t="shared" ref="EC44:GN44" si="1230">IF(OR(EC$45="M1", EC46="M2"),"", "M0")</f>
        <v>M0</v>
      </c>
      <c r="ED44" s="6" t="str">
        <f t="shared" si="1230"/>
        <v>M0</v>
      </c>
      <c r="EE44" s="6" t="str">
        <f t="shared" si="1230"/>
        <v>M0</v>
      </c>
      <c r="EF44" s="6" t="str">
        <f t="shared" si="1230"/>
        <v>M0</v>
      </c>
      <c r="EG44" s="6" t="str">
        <f t="shared" si="1230"/>
        <v>M0</v>
      </c>
      <c r="EH44" s="6" t="str">
        <f t="shared" si="1230"/>
        <v>M0</v>
      </c>
      <c r="EI44" s="6" t="str">
        <f t="shared" si="1230"/>
        <v>M0</v>
      </c>
      <c r="EJ44" s="6" t="str">
        <f t="shared" si="1230"/>
        <v>M0</v>
      </c>
      <c r="EK44" s="6" t="str">
        <f t="shared" si="1230"/>
        <v>M0</v>
      </c>
      <c r="EL44" s="6" t="str">
        <f t="shared" si="1230"/>
        <v>M0</v>
      </c>
      <c r="EM44" s="6" t="str">
        <f t="shared" si="1230"/>
        <v>M0</v>
      </c>
      <c r="EN44" s="6" t="str">
        <f t="shared" si="1230"/>
        <v>M0</v>
      </c>
      <c r="EO44" s="6" t="str">
        <f t="shared" si="1230"/>
        <v>M0</v>
      </c>
      <c r="EP44" s="6" t="str">
        <f t="shared" si="1230"/>
        <v>M0</v>
      </c>
      <c r="EQ44" s="6" t="str">
        <f t="shared" si="1230"/>
        <v>M0</v>
      </c>
      <c r="ER44" s="6" t="str">
        <f t="shared" si="1230"/>
        <v>M0</v>
      </c>
      <c r="ES44" s="6" t="str">
        <f t="shared" si="1230"/>
        <v>M0</v>
      </c>
      <c r="ET44" s="6" t="str">
        <f t="shared" si="1230"/>
        <v>M0</v>
      </c>
      <c r="EU44" s="6" t="str">
        <f t="shared" si="1230"/>
        <v>M0</v>
      </c>
      <c r="EV44" s="6" t="str">
        <f t="shared" si="1230"/>
        <v>M0</v>
      </c>
      <c r="EW44" s="6" t="str">
        <f t="shared" si="1230"/>
        <v>M0</v>
      </c>
      <c r="EX44" s="6" t="str">
        <f t="shared" si="1230"/>
        <v>M0</v>
      </c>
      <c r="EY44" s="6" t="str">
        <f t="shared" si="1230"/>
        <v>M0</v>
      </c>
      <c r="EZ44" s="6" t="str">
        <f t="shared" si="1230"/>
        <v>M0</v>
      </c>
      <c r="FA44" s="6" t="str">
        <f t="shared" si="1230"/>
        <v>M0</v>
      </c>
      <c r="FB44" s="6" t="str">
        <f t="shared" si="1230"/>
        <v>M0</v>
      </c>
      <c r="FC44" s="6" t="str">
        <f t="shared" si="1230"/>
        <v>M0</v>
      </c>
      <c r="FD44" s="6" t="str">
        <f t="shared" si="1230"/>
        <v>M0</v>
      </c>
      <c r="FE44" s="6" t="str">
        <f t="shared" si="1230"/>
        <v>M0</v>
      </c>
      <c r="FF44" s="6" t="str">
        <f t="shared" si="1230"/>
        <v>M0</v>
      </c>
      <c r="FG44" s="6" t="str">
        <f t="shared" si="1230"/>
        <v>M0</v>
      </c>
      <c r="FH44" s="6" t="str">
        <f t="shared" si="1230"/>
        <v>M0</v>
      </c>
      <c r="FI44" s="6" t="str">
        <f t="shared" si="1230"/>
        <v>M0</v>
      </c>
      <c r="FJ44" s="6" t="str">
        <f t="shared" si="1230"/>
        <v>M0</v>
      </c>
      <c r="FK44" s="6" t="str">
        <f t="shared" si="1230"/>
        <v>M0</v>
      </c>
      <c r="FL44" s="6" t="str">
        <f t="shared" si="1230"/>
        <v>M0</v>
      </c>
      <c r="FM44" s="6" t="str">
        <f t="shared" si="1230"/>
        <v>M0</v>
      </c>
      <c r="FN44" s="6" t="str">
        <f t="shared" si="1230"/>
        <v>M0</v>
      </c>
      <c r="FO44" s="6" t="str">
        <f t="shared" si="1230"/>
        <v>M0</v>
      </c>
      <c r="FP44" s="6" t="str">
        <f t="shared" si="1230"/>
        <v>M0</v>
      </c>
      <c r="FQ44" s="6" t="str">
        <f t="shared" si="1230"/>
        <v>M0</v>
      </c>
      <c r="FR44" s="6" t="str">
        <f t="shared" si="1230"/>
        <v>M0</v>
      </c>
      <c r="FS44" s="6" t="str">
        <f t="shared" si="1230"/>
        <v>M0</v>
      </c>
      <c r="FT44" s="6" t="str">
        <f t="shared" si="1230"/>
        <v>M0</v>
      </c>
      <c r="FU44" s="6" t="str">
        <f t="shared" si="1230"/>
        <v>M0</v>
      </c>
      <c r="FV44" s="6" t="str">
        <f t="shared" si="1230"/>
        <v>M0</v>
      </c>
      <c r="FW44" s="6" t="str">
        <f t="shared" si="1230"/>
        <v>M0</v>
      </c>
      <c r="FX44" s="6" t="str">
        <f t="shared" si="1230"/>
        <v>M0</v>
      </c>
      <c r="FY44" s="6" t="str">
        <f t="shared" si="1230"/>
        <v>M0</v>
      </c>
      <c r="FZ44" s="6" t="str">
        <f t="shared" si="1230"/>
        <v>M0</v>
      </c>
      <c r="GA44" s="6" t="str">
        <f t="shared" si="1230"/>
        <v>M0</v>
      </c>
      <c r="GB44" s="6" t="str">
        <f t="shared" si="1230"/>
        <v>M0</v>
      </c>
      <c r="GC44" s="6" t="str">
        <f t="shared" si="1230"/>
        <v>M0</v>
      </c>
      <c r="GD44" s="6" t="str">
        <f t="shared" si="1230"/>
        <v>M0</v>
      </c>
      <c r="GE44" s="6" t="str">
        <f t="shared" si="1230"/>
        <v>M0</v>
      </c>
      <c r="GF44" s="6" t="str">
        <f t="shared" si="1230"/>
        <v>M0</v>
      </c>
      <c r="GG44" s="6" t="str">
        <f t="shared" si="1230"/>
        <v>M0</v>
      </c>
      <c r="GH44" s="6" t="str">
        <f t="shared" si="1230"/>
        <v>M0</v>
      </c>
      <c r="GI44" s="6" t="str">
        <f t="shared" si="1230"/>
        <v>M0</v>
      </c>
      <c r="GJ44" s="6" t="str">
        <f t="shared" si="1230"/>
        <v>M0</v>
      </c>
      <c r="GK44" s="6" t="str">
        <f t="shared" si="1230"/>
        <v>M0</v>
      </c>
      <c r="GL44" s="6" t="str">
        <f t="shared" si="1230"/>
        <v>M0</v>
      </c>
      <c r="GM44" s="6" t="str">
        <f t="shared" si="1230"/>
        <v>M0</v>
      </c>
      <c r="GN44" s="6" t="str">
        <f t="shared" si="1230"/>
        <v>M0</v>
      </c>
      <c r="GO44" s="6" t="str">
        <f t="shared" ref="GO44:IZ44" si="1231">IF(OR(GO$45="M1", GO46="M2"),"", "M0")</f>
        <v>M0</v>
      </c>
      <c r="GP44" s="6" t="str">
        <f t="shared" si="1231"/>
        <v>M0</v>
      </c>
      <c r="GQ44" s="6" t="str">
        <f t="shared" si="1231"/>
        <v>M0</v>
      </c>
      <c r="GR44" s="6" t="str">
        <f t="shared" si="1231"/>
        <v>M0</v>
      </c>
      <c r="GS44" s="6" t="str">
        <f t="shared" si="1231"/>
        <v>M0</v>
      </c>
      <c r="GT44" s="6" t="str">
        <f t="shared" si="1231"/>
        <v>M0</v>
      </c>
      <c r="GU44" s="6" t="str">
        <f t="shared" si="1231"/>
        <v>M0</v>
      </c>
      <c r="GV44" s="6" t="str">
        <f t="shared" si="1231"/>
        <v>M0</v>
      </c>
      <c r="GW44" s="6" t="str">
        <f t="shared" si="1231"/>
        <v>M0</v>
      </c>
      <c r="GX44" s="6" t="str">
        <f t="shared" si="1231"/>
        <v>M0</v>
      </c>
      <c r="GY44" s="6" t="str">
        <f t="shared" si="1231"/>
        <v>M0</v>
      </c>
      <c r="GZ44" s="6" t="str">
        <f t="shared" si="1231"/>
        <v>M0</v>
      </c>
      <c r="HA44" s="6" t="str">
        <f t="shared" si="1231"/>
        <v>M0</v>
      </c>
      <c r="HB44" s="6" t="str">
        <f t="shared" si="1231"/>
        <v>M0</v>
      </c>
      <c r="HC44" s="6" t="str">
        <f t="shared" si="1231"/>
        <v>M0</v>
      </c>
      <c r="HD44" s="6" t="str">
        <f t="shared" si="1231"/>
        <v>M0</v>
      </c>
      <c r="HE44" s="6" t="str">
        <f t="shared" si="1231"/>
        <v>M0</v>
      </c>
      <c r="HF44" s="6" t="str">
        <f t="shared" si="1231"/>
        <v>M0</v>
      </c>
      <c r="HG44" s="6" t="str">
        <f t="shared" si="1231"/>
        <v>M0</v>
      </c>
      <c r="HH44" s="6" t="str">
        <f t="shared" si="1231"/>
        <v>M0</v>
      </c>
      <c r="HI44" s="6" t="str">
        <f t="shared" si="1231"/>
        <v>M0</v>
      </c>
      <c r="HJ44" s="6" t="str">
        <f t="shared" si="1231"/>
        <v>M0</v>
      </c>
      <c r="HK44" s="6" t="str">
        <f t="shared" si="1231"/>
        <v>M0</v>
      </c>
      <c r="HL44" s="6" t="str">
        <f t="shared" si="1231"/>
        <v>M0</v>
      </c>
      <c r="HM44" s="6" t="str">
        <f t="shared" si="1231"/>
        <v>M0</v>
      </c>
      <c r="HN44" s="6" t="str">
        <f t="shared" si="1231"/>
        <v>M0</v>
      </c>
      <c r="HO44" s="6" t="str">
        <f t="shared" si="1231"/>
        <v>M0</v>
      </c>
      <c r="HP44" s="6" t="str">
        <f t="shared" si="1231"/>
        <v>M0</v>
      </c>
      <c r="HQ44" s="6" t="str">
        <f t="shared" si="1231"/>
        <v>M0</v>
      </c>
      <c r="HR44" s="6" t="str">
        <f t="shared" si="1231"/>
        <v>M0</v>
      </c>
      <c r="HS44" s="6" t="str">
        <f t="shared" si="1231"/>
        <v>M0</v>
      </c>
      <c r="HT44" s="6" t="str">
        <f t="shared" si="1231"/>
        <v>M0</v>
      </c>
      <c r="HU44" s="6" t="str">
        <f t="shared" si="1231"/>
        <v>M0</v>
      </c>
      <c r="HV44" s="6" t="str">
        <f t="shared" si="1231"/>
        <v>M0</v>
      </c>
      <c r="HW44" s="6" t="str">
        <f t="shared" si="1231"/>
        <v>M0</v>
      </c>
      <c r="HX44" s="6" t="str">
        <f t="shared" si="1231"/>
        <v>M0</v>
      </c>
      <c r="HY44" s="6" t="str">
        <f t="shared" si="1231"/>
        <v>M0</v>
      </c>
      <c r="HZ44" s="6" t="str">
        <f t="shared" si="1231"/>
        <v>M0</v>
      </c>
      <c r="IA44" s="6" t="str">
        <f t="shared" si="1231"/>
        <v>M0</v>
      </c>
      <c r="IB44" s="6" t="str">
        <f t="shared" si="1231"/>
        <v>M0</v>
      </c>
      <c r="IC44" s="6" t="str">
        <f t="shared" si="1231"/>
        <v>M0</v>
      </c>
      <c r="ID44" s="6" t="str">
        <f t="shared" si="1231"/>
        <v>M0</v>
      </c>
      <c r="IE44" s="6" t="str">
        <f t="shared" si="1231"/>
        <v>M0</v>
      </c>
      <c r="IF44" s="6" t="str">
        <f t="shared" si="1231"/>
        <v>M0</v>
      </c>
      <c r="IG44" s="6" t="str">
        <f t="shared" si="1231"/>
        <v>M0</v>
      </c>
      <c r="IH44" s="6" t="str">
        <f t="shared" si="1231"/>
        <v>M0</v>
      </c>
      <c r="II44" s="6" t="str">
        <f t="shared" si="1231"/>
        <v>M0</v>
      </c>
      <c r="IJ44" s="6" t="str">
        <f t="shared" si="1231"/>
        <v>M0</v>
      </c>
      <c r="IK44" s="6" t="str">
        <f t="shared" si="1231"/>
        <v>M0</v>
      </c>
      <c r="IL44" s="6" t="str">
        <f t="shared" si="1231"/>
        <v>M0</v>
      </c>
      <c r="IM44" s="6" t="str">
        <f t="shared" si="1231"/>
        <v>M0</v>
      </c>
      <c r="IN44" s="6" t="str">
        <f t="shared" si="1231"/>
        <v>M0</v>
      </c>
      <c r="IO44" s="6" t="str">
        <f t="shared" si="1231"/>
        <v>M0</v>
      </c>
      <c r="IP44" s="6" t="str">
        <f t="shared" si="1231"/>
        <v>M0</v>
      </c>
      <c r="IQ44" s="6" t="str">
        <f t="shared" si="1231"/>
        <v>M0</v>
      </c>
      <c r="IR44" s="6" t="str">
        <f t="shared" si="1231"/>
        <v>M0</v>
      </c>
      <c r="IS44" s="6" t="str">
        <f t="shared" si="1231"/>
        <v>M0</v>
      </c>
      <c r="IT44" s="6" t="str">
        <f t="shared" si="1231"/>
        <v>M0</v>
      </c>
      <c r="IU44" s="6" t="str">
        <f t="shared" si="1231"/>
        <v>M0</v>
      </c>
      <c r="IV44" s="6" t="str">
        <f t="shared" si="1231"/>
        <v>M0</v>
      </c>
      <c r="IW44" s="6" t="str">
        <f t="shared" si="1231"/>
        <v>M0</v>
      </c>
      <c r="IX44" s="6" t="str">
        <f t="shared" si="1231"/>
        <v>M0</v>
      </c>
      <c r="IY44" s="6" t="str">
        <f t="shared" si="1231"/>
        <v>M0</v>
      </c>
      <c r="IZ44" s="6" t="str">
        <f t="shared" si="1231"/>
        <v>M0</v>
      </c>
      <c r="JA44" s="6" t="str">
        <f t="shared" ref="JA44:LL44" si="1232">IF(OR(JA$45="M1", JA46="M2"),"", "M0")</f>
        <v>M0</v>
      </c>
      <c r="JB44" s="6" t="str">
        <f t="shared" si="1232"/>
        <v>M0</v>
      </c>
      <c r="JC44" s="6" t="str">
        <f t="shared" si="1232"/>
        <v>M0</v>
      </c>
      <c r="JD44" s="6" t="str">
        <f t="shared" si="1232"/>
        <v>M0</v>
      </c>
      <c r="JE44" s="6" t="str">
        <f t="shared" si="1232"/>
        <v>M0</v>
      </c>
      <c r="JF44" s="6" t="str">
        <f t="shared" si="1232"/>
        <v>M0</v>
      </c>
      <c r="JG44" s="6" t="str">
        <f t="shared" si="1232"/>
        <v>M0</v>
      </c>
      <c r="JH44" s="6" t="str">
        <f t="shared" si="1232"/>
        <v>M0</v>
      </c>
      <c r="JI44" s="6" t="str">
        <f t="shared" si="1232"/>
        <v>M0</v>
      </c>
      <c r="JJ44" s="6" t="str">
        <f t="shared" si="1232"/>
        <v>M0</v>
      </c>
      <c r="JK44" s="6" t="str">
        <f t="shared" si="1232"/>
        <v>M0</v>
      </c>
      <c r="JL44" s="6" t="str">
        <f t="shared" si="1232"/>
        <v>M0</v>
      </c>
      <c r="JM44" s="6" t="str">
        <f t="shared" si="1232"/>
        <v>M0</v>
      </c>
      <c r="JN44" s="6" t="str">
        <f t="shared" si="1232"/>
        <v>M0</v>
      </c>
      <c r="JO44" s="6" t="str">
        <f t="shared" si="1232"/>
        <v>M0</v>
      </c>
      <c r="JP44" s="6" t="str">
        <f t="shared" si="1232"/>
        <v>M0</v>
      </c>
      <c r="JQ44" s="6" t="str">
        <f t="shared" si="1232"/>
        <v>M0</v>
      </c>
      <c r="JR44" s="6" t="str">
        <f t="shared" si="1232"/>
        <v>M0</v>
      </c>
      <c r="JS44" s="6" t="str">
        <f t="shared" si="1232"/>
        <v>M0</v>
      </c>
      <c r="JT44" s="6" t="str">
        <f t="shared" si="1232"/>
        <v>M0</v>
      </c>
      <c r="JU44" s="6" t="str">
        <f t="shared" si="1232"/>
        <v>M0</v>
      </c>
      <c r="JV44" s="6" t="str">
        <f t="shared" si="1232"/>
        <v>M0</v>
      </c>
      <c r="JW44" s="6" t="str">
        <f t="shared" si="1232"/>
        <v>M0</v>
      </c>
      <c r="JX44" s="6" t="str">
        <f t="shared" si="1232"/>
        <v>M0</v>
      </c>
      <c r="JY44" s="6" t="str">
        <f t="shared" si="1232"/>
        <v>M0</v>
      </c>
      <c r="JZ44" s="6" t="str">
        <f t="shared" si="1232"/>
        <v>M0</v>
      </c>
      <c r="KA44" s="6" t="str">
        <f t="shared" si="1232"/>
        <v>M0</v>
      </c>
      <c r="KB44" s="6" t="str">
        <f t="shared" si="1232"/>
        <v>M0</v>
      </c>
      <c r="KC44" s="6" t="str">
        <f t="shared" si="1232"/>
        <v>M0</v>
      </c>
      <c r="KD44" s="6" t="str">
        <f t="shared" si="1232"/>
        <v>M0</v>
      </c>
      <c r="KE44" s="6" t="str">
        <f t="shared" si="1232"/>
        <v>M0</v>
      </c>
      <c r="KF44" s="6" t="str">
        <f t="shared" si="1232"/>
        <v/>
      </c>
      <c r="KG44" s="6" t="str">
        <f t="shared" si="1232"/>
        <v/>
      </c>
      <c r="KH44" s="6" t="str">
        <f t="shared" si="1232"/>
        <v/>
      </c>
      <c r="KI44" s="6" t="str">
        <f t="shared" si="1232"/>
        <v/>
      </c>
      <c r="KJ44" s="6" t="str">
        <f t="shared" si="1232"/>
        <v/>
      </c>
      <c r="KK44" s="6" t="str">
        <f t="shared" si="1232"/>
        <v/>
      </c>
      <c r="KL44" s="6" t="str">
        <f t="shared" si="1232"/>
        <v/>
      </c>
      <c r="KM44" s="6" t="str">
        <f t="shared" si="1232"/>
        <v/>
      </c>
      <c r="KN44" s="6" t="str">
        <f t="shared" si="1232"/>
        <v/>
      </c>
      <c r="KO44" s="6" t="str">
        <f t="shared" si="1232"/>
        <v/>
      </c>
      <c r="KP44" s="6" t="str">
        <f t="shared" si="1232"/>
        <v/>
      </c>
      <c r="KQ44" s="6" t="str">
        <f t="shared" si="1232"/>
        <v/>
      </c>
      <c r="KR44" s="6" t="str">
        <f t="shared" si="1232"/>
        <v/>
      </c>
      <c r="KS44" s="6" t="str">
        <f t="shared" si="1232"/>
        <v/>
      </c>
      <c r="KT44" s="6" t="str">
        <f t="shared" si="1232"/>
        <v/>
      </c>
      <c r="KU44" s="6" t="str">
        <f t="shared" si="1232"/>
        <v/>
      </c>
      <c r="KV44" s="6" t="str">
        <f t="shared" si="1232"/>
        <v/>
      </c>
      <c r="KW44" s="6" t="str">
        <f t="shared" si="1232"/>
        <v/>
      </c>
      <c r="KX44" s="6" t="str">
        <f t="shared" si="1232"/>
        <v/>
      </c>
      <c r="KY44" s="6" t="str">
        <f t="shared" si="1232"/>
        <v/>
      </c>
      <c r="KZ44" s="6" t="str">
        <f t="shared" si="1232"/>
        <v/>
      </c>
      <c r="LA44" s="6" t="str">
        <f t="shared" si="1232"/>
        <v/>
      </c>
      <c r="LB44" s="6" t="str">
        <f t="shared" si="1232"/>
        <v/>
      </c>
      <c r="LC44" s="6" t="str">
        <f t="shared" si="1232"/>
        <v/>
      </c>
      <c r="LD44" s="6" t="str">
        <f t="shared" si="1232"/>
        <v/>
      </c>
      <c r="LE44" s="6" t="str">
        <f t="shared" si="1232"/>
        <v/>
      </c>
      <c r="LF44" s="6" t="str">
        <f t="shared" si="1232"/>
        <v/>
      </c>
      <c r="LG44" s="6" t="str">
        <f t="shared" si="1232"/>
        <v/>
      </c>
      <c r="LH44" s="6" t="str">
        <f t="shared" si="1232"/>
        <v/>
      </c>
      <c r="LI44" s="6" t="str">
        <f t="shared" si="1232"/>
        <v/>
      </c>
      <c r="LJ44" s="6" t="str">
        <f t="shared" si="1232"/>
        <v/>
      </c>
      <c r="LK44" s="6" t="str">
        <f t="shared" si="1232"/>
        <v/>
      </c>
      <c r="LL44" s="6" t="str">
        <f t="shared" si="1232"/>
        <v/>
      </c>
      <c r="LM44" s="6" t="str">
        <f t="shared" ref="LM44:NX44" si="1233">IF(OR(LM$45="M1", LM46="M2"),"", "M0")</f>
        <v/>
      </c>
      <c r="LN44" s="6" t="str">
        <f t="shared" si="1233"/>
        <v/>
      </c>
      <c r="LO44" s="6" t="str">
        <f t="shared" si="1233"/>
        <v/>
      </c>
      <c r="LP44" s="6" t="str">
        <f t="shared" si="1233"/>
        <v/>
      </c>
      <c r="LQ44" s="6" t="str">
        <f t="shared" si="1233"/>
        <v/>
      </c>
      <c r="LR44" s="6" t="str">
        <f t="shared" si="1233"/>
        <v/>
      </c>
      <c r="LS44" s="6" t="str">
        <f t="shared" si="1233"/>
        <v/>
      </c>
      <c r="LT44" s="6" t="str">
        <f t="shared" si="1233"/>
        <v/>
      </c>
      <c r="LU44" s="6" t="str">
        <f t="shared" si="1233"/>
        <v/>
      </c>
      <c r="LV44" s="6" t="str">
        <f t="shared" si="1233"/>
        <v/>
      </c>
      <c r="LW44" s="6" t="str">
        <f t="shared" si="1233"/>
        <v/>
      </c>
      <c r="LX44" s="6" t="str">
        <f t="shared" si="1233"/>
        <v/>
      </c>
      <c r="LY44" s="6" t="str">
        <f t="shared" si="1233"/>
        <v/>
      </c>
      <c r="LZ44" s="6" t="str">
        <f t="shared" si="1233"/>
        <v/>
      </c>
      <c r="MA44" s="6" t="str">
        <f t="shared" si="1233"/>
        <v/>
      </c>
      <c r="MB44" s="6" t="str">
        <f t="shared" si="1233"/>
        <v/>
      </c>
      <c r="MC44" s="6" t="str">
        <f t="shared" si="1233"/>
        <v/>
      </c>
      <c r="MD44" s="6" t="str">
        <f t="shared" si="1233"/>
        <v/>
      </c>
      <c r="ME44" s="6" t="str">
        <f t="shared" si="1233"/>
        <v/>
      </c>
      <c r="MF44" s="6" t="str">
        <f t="shared" si="1233"/>
        <v/>
      </c>
      <c r="MG44" s="6" t="str">
        <f t="shared" si="1233"/>
        <v/>
      </c>
      <c r="MH44" s="6" t="str">
        <f t="shared" si="1233"/>
        <v/>
      </c>
      <c r="MI44" s="6" t="str">
        <f t="shared" si="1233"/>
        <v/>
      </c>
      <c r="MJ44" s="6" t="str">
        <f t="shared" si="1233"/>
        <v/>
      </c>
      <c r="MK44" s="6" t="str">
        <f t="shared" si="1233"/>
        <v/>
      </c>
      <c r="ML44" s="6" t="str">
        <f t="shared" si="1233"/>
        <v/>
      </c>
      <c r="MM44" s="6" t="str">
        <f t="shared" si="1233"/>
        <v/>
      </c>
      <c r="MN44" s="6" t="str">
        <f t="shared" si="1233"/>
        <v/>
      </c>
      <c r="MO44" s="6" t="str">
        <f t="shared" si="1233"/>
        <v/>
      </c>
      <c r="MP44" s="6" t="str">
        <f t="shared" si="1233"/>
        <v/>
      </c>
      <c r="MQ44" s="6" t="str">
        <f t="shared" si="1233"/>
        <v/>
      </c>
      <c r="MR44" s="6" t="str">
        <f t="shared" si="1233"/>
        <v/>
      </c>
      <c r="MS44" s="6" t="str">
        <f t="shared" si="1233"/>
        <v/>
      </c>
      <c r="MT44" s="6" t="str">
        <f t="shared" si="1233"/>
        <v/>
      </c>
      <c r="MU44" s="6" t="str">
        <f t="shared" si="1233"/>
        <v/>
      </c>
      <c r="MV44" s="6" t="str">
        <f t="shared" si="1233"/>
        <v/>
      </c>
      <c r="MW44" s="6" t="str">
        <f t="shared" si="1233"/>
        <v/>
      </c>
      <c r="MX44" s="6" t="str">
        <f t="shared" si="1233"/>
        <v/>
      </c>
      <c r="MY44" s="6" t="str">
        <f t="shared" si="1233"/>
        <v/>
      </c>
      <c r="MZ44" s="6" t="str">
        <f t="shared" si="1233"/>
        <v/>
      </c>
      <c r="NA44" s="6" t="str">
        <f t="shared" si="1233"/>
        <v/>
      </c>
      <c r="NB44" s="6" t="str">
        <f t="shared" si="1233"/>
        <v/>
      </c>
      <c r="NC44" s="6" t="str">
        <f t="shared" si="1233"/>
        <v/>
      </c>
      <c r="ND44" s="6" t="str">
        <f t="shared" si="1233"/>
        <v/>
      </c>
      <c r="NE44" s="6" t="str">
        <f t="shared" si="1233"/>
        <v/>
      </c>
      <c r="NF44" s="6" t="str">
        <f t="shared" si="1233"/>
        <v/>
      </c>
      <c r="NG44" s="6" t="str">
        <f t="shared" si="1233"/>
        <v/>
      </c>
      <c r="NH44" s="6" t="str">
        <f t="shared" si="1233"/>
        <v/>
      </c>
      <c r="NI44" s="6" t="str">
        <f t="shared" si="1233"/>
        <v/>
      </c>
      <c r="NJ44" s="6" t="str">
        <f t="shared" si="1233"/>
        <v/>
      </c>
      <c r="NK44" s="6" t="str">
        <f t="shared" si="1233"/>
        <v/>
      </c>
      <c r="NL44" s="6" t="str">
        <f t="shared" si="1233"/>
        <v/>
      </c>
      <c r="NM44" s="6" t="str">
        <f t="shared" si="1233"/>
        <v/>
      </c>
      <c r="NN44" s="6" t="str">
        <f t="shared" si="1233"/>
        <v/>
      </c>
      <c r="NO44" s="6" t="str">
        <f t="shared" si="1233"/>
        <v/>
      </c>
      <c r="NP44" s="6" t="str">
        <f t="shared" si="1233"/>
        <v/>
      </c>
      <c r="NQ44" s="6" t="str">
        <f t="shared" si="1233"/>
        <v/>
      </c>
      <c r="NR44" s="6" t="str">
        <f t="shared" si="1233"/>
        <v/>
      </c>
      <c r="NS44" s="6" t="str">
        <f t="shared" si="1233"/>
        <v/>
      </c>
      <c r="NT44" s="6" t="str">
        <f t="shared" si="1233"/>
        <v/>
      </c>
      <c r="NU44" s="6" t="str">
        <f t="shared" si="1233"/>
        <v/>
      </c>
      <c r="NV44" s="6" t="str">
        <f t="shared" si="1233"/>
        <v/>
      </c>
      <c r="NW44" s="6" t="str">
        <f t="shared" si="1233"/>
        <v/>
      </c>
      <c r="NX44" s="6" t="str">
        <f t="shared" si="1233"/>
        <v/>
      </c>
      <c r="NY44" s="6" t="str">
        <f t="shared" ref="NY44:QJ44" si="1234">IF(OR(NY$45="M1", NY46="M2"),"", "M0")</f>
        <v/>
      </c>
      <c r="NZ44" s="6" t="str">
        <f t="shared" si="1234"/>
        <v/>
      </c>
      <c r="OA44" s="6" t="str">
        <f t="shared" si="1234"/>
        <v/>
      </c>
      <c r="OB44" s="6" t="str">
        <f t="shared" si="1234"/>
        <v/>
      </c>
      <c r="OC44" s="6" t="str">
        <f t="shared" si="1234"/>
        <v/>
      </c>
      <c r="OD44" s="6" t="str">
        <f t="shared" si="1234"/>
        <v/>
      </c>
      <c r="OE44" s="6" t="str">
        <f t="shared" si="1234"/>
        <v/>
      </c>
      <c r="OF44" s="6" t="str">
        <f t="shared" si="1234"/>
        <v/>
      </c>
      <c r="OG44" s="6" t="str">
        <f t="shared" si="1234"/>
        <v/>
      </c>
      <c r="OH44" s="6" t="str">
        <f t="shared" si="1234"/>
        <v/>
      </c>
      <c r="OI44" s="6" t="str">
        <f t="shared" si="1234"/>
        <v/>
      </c>
      <c r="OJ44" s="6" t="str">
        <f t="shared" si="1234"/>
        <v/>
      </c>
      <c r="OK44" s="6" t="str">
        <f t="shared" si="1234"/>
        <v/>
      </c>
      <c r="OL44" s="6" t="str">
        <f t="shared" si="1234"/>
        <v/>
      </c>
      <c r="OM44" s="6" t="str">
        <f t="shared" si="1234"/>
        <v/>
      </c>
      <c r="ON44" s="6" t="str">
        <f t="shared" si="1234"/>
        <v/>
      </c>
      <c r="OO44" s="6" t="str">
        <f t="shared" si="1234"/>
        <v/>
      </c>
      <c r="OP44" s="6" t="str">
        <f t="shared" si="1234"/>
        <v/>
      </c>
      <c r="OQ44" s="6" t="str">
        <f t="shared" si="1234"/>
        <v/>
      </c>
      <c r="OR44" s="6" t="str">
        <f t="shared" si="1234"/>
        <v/>
      </c>
      <c r="OS44" s="6" t="str">
        <f t="shared" si="1234"/>
        <v/>
      </c>
      <c r="OT44" s="6" t="str">
        <f t="shared" si="1234"/>
        <v/>
      </c>
      <c r="OU44" s="6" t="str">
        <f t="shared" si="1234"/>
        <v/>
      </c>
      <c r="OV44" s="6" t="str">
        <f t="shared" si="1234"/>
        <v/>
      </c>
      <c r="OW44" s="6" t="str">
        <f t="shared" si="1234"/>
        <v/>
      </c>
      <c r="OX44" s="6" t="str">
        <f t="shared" si="1234"/>
        <v/>
      </c>
      <c r="OY44" s="6" t="str">
        <f t="shared" si="1234"/>
        <v/>
      </c>
      <c r="OZ44" s="6" t="str">
        <f t="shared" si="1234"/>
        <v/>
      </c>
      <c r="PA44" s="6" t="str">
        <f t="shared" si="1234"/>
        <v>M0</v>
      </c>
      <c r="PB44" s="6" t="str">
        <f t="shared" si="1234"/>
        <v>M0</v>
      </c>
      <c r="PC44" s="6" t="str">
        <f t="shared" si="1234"/>
        <v>M0</v>
      </c>
      <c r="PD44" s="6" t="str">
        <f t="shared" si="1234"/>
        <v>M0</v>
      </c>
      <c r="PE44" s="6" t="str">
        <f t="shared" si="1234"/>
        <v>M0</v>
      </c>
      <c r="PF44" s="6" t="str">
        <f t="shared" si="1234"/>
        <v>M0</v>
      </c>
      <c r="PG44" s="6" t="str">
        <f t="shared" si="1234"/>
        <v>M0</v>
      </c>
      <c r="PH44" s="6" t="str">
        <f t="shared" si="1234"/>
        <v>M0</v>
      </c>
      <c r="PI44" s="6" t="str">
        <f t="shared" si="1234"/>
        <v>M0</v>
      </c>
      <c r="PJ44" s="6" t="str">
        <f t="shared" si="1234"/>
        <v>M0</v>
      </c>
      <c r="PK44" s="6" t="str">
        <f t="shared" si="1234"/>
        <v>M0</v>
      </c>
      <c r="PL44" s="6" t="str">
        <f t="shared" si="1234"/>
        <v>M0</v>
      </c>
      <c r="PM44" s="6" t="str">
        <f t="shared" si="1234"/>
        <v>M0</v>
      </c>
      <c r="PN44" s="6" t="str">
        <f t="shared" si="1234"/>
        <v>M0</v>
      </c>
      <c r="PO44" s="6" t="str">
        <f t="shared" si="1234"/>
        <v>M0</v>
      </c>
      <c r="PP44" s="6" t="str">
        <f t="shared" si="1234"/>
        <v>M0</v>
      </c>
      <c r="PQ44" s="6" t="str">
        <f t="shared" si="1234"/>
        <v>M0</v>
      </c>
      <c r="PR44" s="6" t="str">
        <f t="shared" si="1234"/>
        <v>M0</v>
      </c>
      <c r="PS44" s="6" t="str">
        <f t="shared" si="1234"/>
        <v>M0</v>
      </c>
      <c r="PT44" s="6" t="str">
        <f t="shared" si="1234"/>
        <v/>
      </c>
      <c r="PU44" s="6" t="str">
        <f t="shared" si="1234"/>
        <v/>
      </c>
      <c r="PV44" s="6" t="str">
        <f t="shared" si="1234"/>
        <v/>
      </c>
      <c r="PW44" s="6" t="str">
        <f t="shared" si="1234"/>
        <v/>
      </c>
      <c r="PX44" s="6" t="str">
        <f t="shared" si="1234"/>
        <v/>
      </c>
      <c r="PY44" s="6" t="str">
        <f t="shared" si="1234"/>
        <v/>
      </c>
      <c r="PZ44" s="6" t="str">
        <f t="shared" si="1234"/>
        <v/>
      </c>
      <c r="QA44" s="6" t="str">
        <f t="shared" si="1234"/>
        <v/>
      </c>
      <c r="QB44" s="6" t="str">
        <f t="shared" si="1234"/>
        <v/>
      </c>
      <c r="QC44" s="6" t="str">
        <f t="shared" si="1234"/>
        <v/>
      </c>
      <c r="QD44" s="6" t="str">
        <f t="shared" si="1234"/>
        <v/>
      </c>
      <c r="QE44" s="6" t="str">
        <f t="shared" si="1234"/>
        <v/>
      </c>
      <c r="QF44" s="6" t="str">
        <f t="shared" si="1234"/>
        <v/>
      </c>
      <c r="QG44" s="6" t="str">
        <f t="shared" si="1234"/>
        <v/>
      </c>
      <c r="QH44" s="6" t="str">
        <f t="shared" si="1234"/>
        <v/>
      </c>
      <c r="QI44" s="6" t="str">
        <f t="shared" si="1234"/>
        <v/>
      </c>
      <c r="QJ44" s="6" t="str">
        <f t="shared" si="1234"/>
        <v/>
      </c>
      <c r="QK44" s="6" t="str">
        <f t="shared" ref="QK44:SV44" si="1235">IF(OR(QK$45="M1", QK46="M2"),"", "M0")</f>
        <v/>
      </c>
      <c r="QL44" s="6" t="str">
        <f t="shared" si="1235"/>
        <v/>
      </c>
      <c r="QM44" s="6" t="str">
        <f t="shared" si="1235"/>
        <v/>
      </c>
      <c r="QN44" s="6" t="str">
        <f t="shared" si="1235"/>
        <v/>
      </c>
      <c r="QO44" s="6" t="str">
        <f t="shared" si="1235"/>
        <v/>
      </c>
      <c r="QP44" s="6" t="str">
        <f t="shared" si="1235"/>
        <v/>
      </c>
      <c r="QQ44" s="6" t="str">
        <f t="shared" si="1235"/>
        <v/>
      </c>
      <c r="QR44" s="6" t="str">
        <f t="shared" si="1235"/>
        <v/>
      </c>
      <c r="QS44" s="6" t="str">
        <f t="shared" si="1235"/>
        <v/>
      </c>
      <c r="QT44" s="6" t="str">
        <f t="shared" si="1235"/>
        <v/>
      </c>
      <c r="QU44" s="6" t="str">
        <f t="shared" si="1235"/>
        <v/>
      </c>
      <c r="QV44" s="6" t="str">
        <f t="shared" si="1235"/>
        <v/>
      </c>
      <c r="QW44" s="6" t="str">
        <f t="shared" si="1235"/>
        <v/>
      </c>
      <c r="QX44" s="6" t="str">
        <f t="shared" si="1235"/>
        <v/>
      </c>
      <c r="QY44" s="6" t="str">
        <f t="shared" si="1235"/>
        <v/>
      </c>
      <c r="QZ44" s="6" t="str">
        <f t="shared" si="1235"/>
        <v/>
      </c>
      <c r="RA44" s="6" t="str">
        <f t="shared" si="1235"/>
        <v/>
      </c>
      <c r="RB44" s="6" t="str">
        <f t="shared" si="1235"/>
        <v/>
      </c>
      <c r="RC44" s="6" t="str">
        <f t="shared" si="1235"/>
        <v/>
      </c>
      <c r="RD44" s="6" t="str">
        <f t="shared" si="1235"/>
        <v/>
      </c>
      <c r="RE44" s="6" t="str">
        <f t="shared" si="1235"/>
        <v/>
      </c>
      <c r="RF44" s="6" t="str">
        <f t="shared" si="1235"/>
        <v/>
      </c>
      <c r="RG44" s="6" t="str">
        <f t="shared" si="1235"/>
        <v/>
      </c>
      <c r="RH44" s="6" t="str">
        <f t="shared" si="1235"/>
        <v/>
      </c>
      <c r="RI44" s="6" t="str">
        <f t="shared" si="1235"/>
        <v/>
      </c>
      <c r="RJ44" s="6" t="str">
        <f t="shared" si="1235"/>
        <v/>
      </c>
      <c r="RK44" s="6" t="str">
        <f t="shared" si="1235"/>
        <v/>
      </c>
      <c r="RL44" s="6" t="str">
        <f t="shared" si="1235"/>
        <v/>
      </c>
      <c r="RM44" s="6" t="str">
        <f t="shared" si="1235"/>
        <v/>
      </c>
      <c r="RN44" s="6" t="str">
        <f t="shared" si="1235"/>
        <v/>
      </c>
      <c r="RO44" s="6" t="str">
        <f t="shared" si="1235"/>
        <v/>
      </c>
      <c r="RP44" s="6" t="str">
        <f t="shared" si="1235"/>
        <v/>
      </c>
      <c r="RQ44" s="6" t="str">
        <f t="shared" si="1235"/>
        <v/>
      </c>
      <c r="RR44" s="6" t="str">
        <f t="shared" si="1235"/>
        <v/>
      </c>
      <c r="RS44" s="6" t="str">
        <f t="shared" si="1235"/>
        <v/>
      </c>
      <c r="RT44" s="6" t="str">
        <f t="shared" si="1235"/>
        <v/>
      </c>
      <c r="RU44" s="6" t="str">
        <f t="shared" si="1235"/>
        <v/>
      </c>
      <c r="RV44" s="6" t="str">
        <f t="shared" si="1235"/>
        <v/>
      </c>
      <c r="RW44" s="6" t="str">
        <f t="shared" si="1235"/>
        <v/>
      </c>
      <c r="RX44" s="6" t="str">
        <f t="shared" si="1235"/>
        <v/>
      </c>
      <c r="RY44" s="6" t="str">
        <f t="shared" si="1235"/>
        <v/>
      </c>
      <c r="RZ44" s="6" t="str">
        <f t="shared" si="1235"/>
        <v/>
      </c>
      <c r="SA44" s="6" t="str">
        <f t="shared" si="1235"/>
        <v/>
      </c>
      <c r="SB44" s="6" t="str">
        <f t="shared" si="1235"/>
        <v/>
      </c>
      <c r="SC44" s="6" t="str">
        <f t="shared" si="1235"/>
        <v/>
      </c>
      <c r="SD44" s="6" t="str">
        <f t="shared" si="1235"/>
        <v/>
      </c>
      <c r="SE44" s="6" t="str">
        <f t="shared" si="1235"/>
        <v/>
      </c>
      <c r="SF44" s="6" t="str">
        <f t="shared" si="1235"/>
        <v/>
      </c>
      <c r="SG44" s="6" t="str">
        <f t="shared" si="1235"/>
        <v/>
      </c>
      <c r="SH44" s="6" t="str">
        <f t="shared" si="1235"/>
        <v/>
      </c>
      <c r="SI44" s="6" t="str">
        <f t="shared" si="1235"/>
        <v/>
      </c>
      <c r="SJ44" s="6" t="str">
        <f t="shared" si="1235"/>
        <v/>
      </c>
      <c r="SK44" s="6" t="str">
        <f t="shared" si="1235"/>
        <v/>
      </c>
      <c r="SL44" s="6" t="str">
        <f t="shared" si="1235"/>
        <v/>
      </c>
      <c r="SM44" s="6" t="str">
        <f t="shared" si="1235"/>
        <v/>
      </c>
      <c r="SN44" s="6" t="str">
        <f t="shared" si="1235"/>
        <v/>
      </c>
      <c r="SO44" s="6" t="str">
        <f t="shared" si="1235"/>
        <v/>
      </c>
      <c r="SP44" s="6" t="str">
        <f t="shared" si="1235"/>
        <v/>
      </c>
      <c r="SQ44" s="6" t="str">
        <f t="shared" si="1235"/>
        <v/>
      </c>
      <c r="SR44" s="6" t="str">
        <f t="shared" si="1235"/>
        <v/>
      </c>
      <c r="SS44" s="6" t="str">
        <f t="shared" si="1235"/>
        <v/>
      </c>
      <c r="ST44" s="6" t="str">
        <f t="shared" si="1235"/>
        <v/>
      </c>
      <c r="SU44" s="6" t="str">
        <f t="shared" si="1235"/>
        <v/>
      </c>
      <c r="SV44" s="6" t="str">
        <f t="shared" si="1235"/>
        <v/>
      </c>
      <c r="SW44" s="6" t="str">
        <f t="shared" ref="SW44:VH44" si="1236">IF(OR(SW$45="M1", SW46="M2"),"", "M0")</f>
        <v/>
      </c>
      <c r="SX44" s="6" t="str">
        <f t="shared" si="1236"/>
        <v/>
      </c>
      <c r="SY44" s="6" t="str">
        <f t="shared" si="1236"/>
        <v/>
      </c>
      <c r="SZ44" s="6" t="str">
        <f t="shared" si="1236"/>
        <v/>
      </c>
      <c r="TA44" s="6" t="str">
        <f t="shared" si="1236"/>
        <v/>
      </c>
      <c r="TB44" s="6" t="str">
        <f t="shared" si="1236"/>
        <v/>
      </c>
      <c r="TC44" s="6" t="str">
        <f t="shared" si="1236"/>
        <v/>
      </c>
      <c r="TD44" s="6" t="str">
        <f t="shared" si="1236"/>
        <v/>
      </c>
      <c r="TE44" s="6" t="str">
        <f t="shared" si="1236"/>
        <v/>
      </c>
      <c r="TF44" s="6" t="str">
        <f t="shared" si="1236"/>
        <v/>
      </c>
      <c r="TG44" s="6" t="str">
        <f t="shared" si="1236"/>
        <v/>
      </c>
      <c r="TH44" s="6" t="str">
        <f t="shared" si="1236"/>
        <v/>
      </c>
      <c r="TI44" s="6" t="str">
        <f t="shared" si="1236"/>
        <v/>
      </c>
      <c r="TJ44" s="6" t="str">
        <f t="shared" si="1236"/>
        <v/>
      </c>
      <c r="TK44" s="6" t="str">
        <f t="shared" si="1236"/>
        <v/>
      </c>
      <c r="TL44" s="6" t="str">
        <f t="shared" si="1236"/>
        <v/>
      </c>
      <c r="TM44" s="6" t="str">
        <f t="shared" si="1236"/>
        <v/>
      </c>
      <c r="TN44" s="6" t="str">
        <f t="shared" si="1236"/>
        <v/>
      </c>
      <c r="TO44" s="6" t="str">
        <f t="shared" si="1236"/>
        <v/>
      </c>
      <c r="TP44" s="6" t="str">
        <f t="shared" si="1236"/>
        <v/>
      </c>
      <c r="TQ44" s="6" t="str">
        <f t="shared" si="1236"/>
        <v/>
      </c>
      <c r="TR44" s="6" t="str">
        <f t="shared" si="1236"/>
        <v/>
      </c>
      <c r="TS44" s="6" t="str">
        <f t="shared" si="1236"/>
        <v/>
      </c>
      <c r="TT44" s="6" t="str">
        <f t="shared" si="1236"/>
        <v/>
      </c>
      <c r="TU44" s="6" t="str">
        <f t="shared" si="1236"/>
        <v/>
      </c>
      <c r="TV44" s="6" t="str">
        <f t="shared" si="1236"/>
        <v/>
      </c>
      <c r="TW44" s="6" t="str">
        <f t="shared" si="1236"/>
        <v/>
      </c>
      <c r="TX44" s="6" t="str">
        <f t="shared" si="1236"/>
        <v/>
      </c>
      <c r="TY44" s="6" t="str">
        <f t="shared" si="1236"/>
        <v/>
      </c>
      <c r="TZ44" s="6" t="str">
        <f t="shared" si="1236"/>
        <v/>
      </c>
      <c r="UA44" s="6" t="str">
        <f t="shared" si="1236"/>
        <v/>
      </c>
      <c r="UB44" s="6" t="str">
        <f t="shared" si="1236"/>
        <v/>
      </c>
      <c r="UC44" s="6" t="str">
        <f t="shared" si="1236"/>
        <v/>
      </c>
      <c r="UD44" s="6" t="str">
        <f t="shared" si="1236"/>
        <v/>
      </c>
      <c r="UE44" s="6" t="str">
        <f t="shared" si="1236"/>
        <v/>
      </c>
      <c r="UF44" s="6" t="str">
        <f t="shared" si="1236"/>
        <v/>
      </c>
      <c r="UG44" s="6" t="str">
        <f t="shared" si="1236"/>
        <v/>
      </c>
      <c r="UH44" s="6" t="str">
        <f t="shared" si="1236"/>
        <v/>
      </c>
      <c r="UI44" s="6" t="str">
        <f t="shared" si="1236"/>
        <v/>
      </c>
      <c r="UJ44" s="6" t="str">
        <f t="shared" si="1236"/>
        <v/>
      </c>
      <c r="UK44" s="6" t="str">
        <f t="shared" si="1236"/>
        <v/>
      </c>
      <c r="UL44" s="6" t="str">
        <f t="shared" si="1236"/>
        <v/>
      </c>
      <c r="UM44" s="6" t="str">
        <f t="shared" si="1236"/>
        <v/>
      </c>
      <c r="UN44" s="6" t="str">
        <f t="shared" si="1236"/>
        <v/>
      </c>
      <c r="UO44" s="6" t="str">
        <f t="shared" si="1236"/>
        <v>M0</v>
      </c>
      <c r="UP44" s="6" t="str">
        <f t="shared" si="1236"/>
        <v>M0</v>
      </c>
      <c r="UQ44" s="6" t="str">
        <f t="shared" si="1236"/>
        <v>M0</v>
      </c>
      <c r="UR44" s="6" t="str">
        <f t="shared" si="1236"/>
        <v>M0</v>
      </c>
      <c r="US44" s="6" t="str">
        <f t="shared" si="1236"/>
        <v>M0</v>
      </c>
      <c r="UT44" s="6" t="str">
        <f t="shared" si="1236"/>
        <v>M0</v>
      </c>
      <c r="UU44" s="6" t="str">
        <f t="shared" si="1236"/>
        <v>M0</v>
      </c>
      <c r="UV44" s="6" t="str">
        <f t="shared" si="1236"/>
        <v>M0</v>
      </c>
      <c r="UW44" s="6" t="str">
        <f t="shared" si="1236"/>
        <v>M0</v>
      </c>
      <c r="UX44" s="6" t="str">
        <f t="shared" si="1236"/>
        <v>M0</v>
      </c>
      <c r="UY44" s="6" t="str">
        <f t="shared" si="1236"/>
        <v>M0</v>
      </c>
      <c r="UZ44" s="6" t="str">
        <f t="shared" si="1236"/>
        <v>M0</v>
      </c>
      <c r="VA44" s="6" t="str">
        <f t="shared" si="1236"/>
        <v>M0</v>
      </c>
      <c r="VB44" s="6" t="str">
        <f t="shared" si="1236"/>
        <v>M0</v>
      </c>
      <c r="VC44" s="6" t="str">
        <f t="shared" si="1236"/>
        <v>M0</v>
      </c>
      <c r="VD44" s="6" t="str">
        <f t="shared" si="1236"/>
        <v>M0</v>
      </c>
      <c r="VE44" s="6" t="str">
        <f t="shared" si="1236"/>
        <v>M0</v>
      </c>
      <c r="VF44" s="6" t="str">
        <f t="shared" si="1236"/>
        <v>M0</v>
      </c>
      <c r="VG44" s="6" t="str">
        <f t="shared" si="1236"/>
        <v>M0</v>
      </c>
      <c r="VH44" s="6" t="str">
        <f t="shared" si="1236"/>
        <v/>
      </c>
      <c r="VI44" s="6" t="str">
        <f t="shared" ref="VI44:XT44" si="1237">IF(OR(VI$45="M1", VI46="M2"),"", "M0")</f>
        <v/>
      </c>
      <c r="VJ44" s="6" t="str">
        <f t="shared" si="1237"/>
        <v/>
      </c>
      <c r="VK44" s="6" t="str">
        <f t="shared" si="1237"/>
        <v/>
      </c>
      <c r="VL44" s="6" t="str">
        <f t="shared" si="1237"/>
        <v/>
      </c>
      <c r="VM44" s="6" t="str">
        <f t="shared" si="1237"/>
        <v/>
      </c>
      <c r="VN44" s="6" t="str">
        <f t="shared" si="1237"/>
        <v/>
      </c>
      <c r="VO44" s="6" t="str">
        <f t="shared" si="1237"/>
        <v/>
      </c>
      <c r="VP44" s="6" t="str">
        <f t="shared" si="1237"/>
        <v/>
      </c>
      <c r="VQ44" s="6" t="str">
        <f t="shared" si="1237"/>
        <v/>
      </c>
      <c r="VR44" s="6" t="str">
        <f t="shared" si="1237"/>
        <v/>
      </c>
      <c r="VS44" s="6" t="str">
        <f t="shared" si="1237"/>
        <v/>
      </c>
      <c r="VT44" s="6" t="str">
        <f t="shared" si="1237"/>
        <v/>
      </c>
      <c r="VU44" s="6" t="str">
        <f t="shared" si="1237"/>
        <v/>
      </c>
      <c r="VV44" s="6" t="str">
        <f t="shared" si="1237"/>
        <v/>
      </c>
      <c r="VW44" s="6" t="str">
        <f t="shared" si="1237"/>
        <v/>
      </c>
      <c r="VX44" s="6" t="str">
        <f t="shared" si="1237"/>
        <v/>
      </c>
      <c r="VY44" s="6" t="str">
        <f t="shared" si="1237"/>
        <v/>
      </c>
      <c r="VZ44" s="6" t="str">
        <f t="shared" si="1237"/>
        <v/>
      </c>
      <c r="WA44" s="6" t="str">
        <f t="shared" si="1237"/>
        <v/>
      </c>
      <c r="WB44" s="6" t="str">
        <f t="shared" si="1237"/>
        <v/>
      </c>
      <c r="WC44" s="6" t="str">
        <f t="shared" si="1237"/>
        <v/>
      </c>
      <c r="WD44" s="6" t="str">
        <f t="shared" si="1237"/>
        <v/>
      </c>
      <c r="WE44" s="6" t="str">
        <f t="shared" si="1237"/>
        <v/>
      </c>
      <c r="WF44" s="6" t="str">
        <f t="shared" si="1237"/>
        <v/>
      </c>
      <c r="WG44" s="6" t="str">
        <f t="shared" si="1237"/>
        <v/>
      </c>
      <c r="WH44" s="6" t="str">
        <f t="shared" si="1237"/>
        <v/>
      </c>
      <c r="WI44" s="6" t="str">
        <f t="shared" si="1237"/>
        <v/>
      </c>
      <c r="WJ44" s="6" t="str">
        <f t="shared" si="1237"/>
        <v/>
      </c>
      <c r="WK44" s="6" t="str">
        <f t="shared" si="1237"/>
        <v/>
      </c>
      <c r="WL44" s="6" t="str">
        <f t="shared" si="1237"/>
        <v/>
      </c>
      <c r="WM44" s="6" t="str">
        <f t="shared" si="1237"/>
        <v/>
      </c>
      <c r="WN44" s="6" t="str">
        <f t="shared" si="1237"/>
        <v/>
      </c>
      <c r="WO44" s="6" t="str">
        <f t="shared" si="1237"/>
        <v/>
      </c>
      <c r="WP44" s="6" t="str">
        <f t="shared" si="1237"/>
        <v/>
      </c>
      <c r="WQ44" s="6" t="str">
        <f t="shared" si="1237"/>
        <v/>
      </c>
      <c r="WR44" s="6" t="str">
        <f t="shared" si="1237"/>
        <v/>
      </c>
      <c r="WS44" s="6" t="str">
        <f t="shared" si="1237"/>
        <v/>
      </c>
      <c r="WT44" s="6" t="str">
        <f t="shared" si="1237"/>
        <v/>
      </c>
      <c r="WU44" s="6" t="str">
        <f t="shared" si="1237"/>
        <v/>
      </c>
      <c r="WV44" s="6" t="str">
        <f t="shared" si="1237"/>
        <v/>
      </c>
      <c r="WW44" s="6" t="str">
        <f t="shared" si="1237"/>
        <v/>
      </c>
      <c r="WX44" s="6" t="str">
        <f t="shared" si="1237"/>
        <v/>
      </c>
      <c r="WY44" s="6" t="str">
        <f t="shared" si="1237"/>
        <v/>
      </c>
      <c r="WZ44" s="6" t="str">
        <f t="shared" si="1237"/>
        <v/>
      </c>
      <c r="XA44" s="6" t="str">
        <f t="shared" si="1237"/>
        <v/>
      </c>
      <c r="XB44" s="6" t="str">
        <f t="shared" si="1237"/>
        <v/>
      </c>
      <c r="XC44" s="6" t="str">
        <f t="shared" si="1237"/>
        <v/>
      </c>
      <c r="XD44" s="6" t="str">
        <f t="shared" si="1237"/>
        <v/>
      </c>
      <c r="XE44" s="6" t="str">
        <f t="shared" si="1237"/>
        <v/>
      </c>
      <c r="XF44" s="6" t="str">
        <f t="shared" si="1237"/>
        <v/>
      </c>
      <c r="XG44" s="6" t="str">
        <f t="shared" si="1237"/>
        <v/>
      </c>
      <c r="XH44" s="6" t="str">
        <f t="shared" si="1237"/>
        <v/>
      </c>
      <c r="XI44" s="6" t="str">
        <f t="shared" si="1237"/>
        <v/>
      </c>
      <c r="XJ44" s="6" t="str">
        <f t="shared" si="1237"/>
        <v/>
      </c>
      <c r="XK44" s="6" t="str">
        <f t="shared" si="1237"/>
        <v/>
      </c>
      <c r="XL44" s="6" t="str">
        <f t="shared" si="1237"/>
        <v/>
      </c>
      <c r="XM44" s="6" t="str">
        <f t="shared" si="1237"/>
        <v/>
      </c>
      <c r="XN44" s="6" t="str">
        <f t="shared" si="1237"/>
        <v/>
      </c>
      <c r="XO44" s="6" t="str">
        <f t="shared" si="1237"/>
        <v/>
      </c>
      <c r="XP44" s="6" t="str">
        <f t="shared" si="1237"/>
        <v/>
      </c>
      <c r="XQ44" s="6" t="str">
        <f t="shared" si="1237"/>
        <v/>
      </c>
      <c r="XR44" s="6" t="str">
        <f t="shared" si="1237"/>
        <v/>
      </c>
      <c r="XS44" s="6" t="str">
        <f t="shared" si="1237"/>
        <v/>
      </c>
      <c r="XT44" s="6" t="str">
        <f t="shared" si="1237"/>
        <v/>
      </c>
      <c r="XU44" s="6" t="str">
        <f t="shared" ref="XU44:AAF44" si="1238">IF(OR(XU$45="M1", XU46="M2"),"", "M0")</f>
        <v/>
      </c>
      <c r="XV44" s="6" t="str">
        <f t="shared" si="1238"/>
        <v/>
      </c>
      <c r="XW44" s="6" t="str">
        <f t="shared" si="1238"/>
        <v/>
      </c>
      <c r="XX44" s="6" t="str">
        <f t="shared" si="1238"/>
        <v/>
      </c>
      <c r="XY44" s="6" t="str">
        <f t="shared" si="1238"/>
        <v/>
      </c>
      <c r="XZ44" s="6" t="str">
        <f t="shared" si="1238"/>
        <v/>
      </c>
      <c r="YA44" s="6" t="str">
        <f t="shared" si="1238"/>
        <v/>
      </c>
      <c r="YB44" s="6" t="str">
        <f t="shared" si="1238"/>
        <v/>
      </c>
      <c r="YC44" s="6" t="str">
        <f t="shared" si="1238"/>
        <v/>
      </c>
      <c r="YD44" s="6" t="str">
        <f t="shared" si="1238"/>
        <v/>
      </c>
      <c r="YE44" s="6" t="str">
        <f t="shared" si="1238"/>
        <v/>
      </c>
      <c r="YF44" s="6" t="str">
        <f t="shared" si="1238"/>
        <v/>
      </c>
      <c r="YG44" s="6" t="str">
        <f t="shared" si="1238"/>
        <v/>
      </c>
      <c r="YH44" s="6" t="str">
        <f t="shared" si="1238"/>
        <v/>
      </c>
      <c r="YI44" s="6" t="str">
        <f t="shared" si="1238"/>
        <v/>
      </c>
      <c r="YJ44" s="6" t="str">
        <f t="shared" si="1238"/>
        <v/>
      </c>
      <c r="YK44" s="6" t="str">
        <f t="shared" si="1238"/>
        <v/>
      </c>
      <c r="YL44" s="6" t="str">
        <f t="shared" si="1238"/>
        <v/>
      </c>
      <c r="YM44" s="6" t="str">
        <f t="shared" si="1238"/>
        <v/>
      </c>
      <c r="YN44" s="6" t="str">
        <f t="shared" si="1238"/>
        <v/>
      </c>
      <c r="YO44" s="6" t="str">
        <f t="shared" si="1238"/>
        <v/>
      </c>
      <c r="YP44" s="6" t="str">
        <f t="shared" si="1238"/>
        <v/>
      </c>
      <c r="YQ44" s="6" t="str">
        <f t="shared" si="1238"/>
        <v/>
      </c>
      <c r="YR44" s="6" t="str">
        <f t="shared" si="1238"/>
        <v/>
      </c>
      <c r="YS44" s="6" t="str">
        <f t="shared" si="1238"/>
        <v/>
      </c>
      <c r="YT44" s="6" t="str">
        <f t="shared" si="1238"/>
        <v/>
      </c>
      <c r="YU44" s="6" t="str">
        <f t="shared" si="1238"/>
        <v/>
      </c>
      <c r="YV44" s="6" t="str">
        <f t="shared" si="1238"/>
        <v/>
      </c>
      <c r="YW44" s="6" t="str">
        <f t="shared" si="1238"/>
        <v/>
      </c>
      <c r="YX44" s="6" t="str">
        <f t="shared" si="1238"/>
        <v/>
      </c>
      <c r="YY44" s="6" t="str">
        <f t="shared" si="1238"/>
        <v/>
      </c>
      <c r="YZ44" s="6" t="str">
        <f t="shared" si="1238"/>
        <v/>
      </c>
      <c r="ZA44" s="6" t="str">
        <f t="shared" si="1238"/>
        <v/>
      </c>
      <c r="ZB44" s="6" t="str">
        <f t="shared" si="1238"/>
        <v/>
      </c>
      <c r="ZC44" s="6" t="str">
        <f t="shared" si="1238"/>
        <v/>
      </c>
      <c r="ZD44" s="6" t="str">
        <f t="shared" si="1238"/>
        <v/>
      </c>
      <c r="ZE44" s="6" t="str">
        <f t="shared" si="1238"/>
        <v/>
      </c>
      <c r="ZF44" s="6" t="str">
        <f t="shared" si="1238"/>
        <v/>
      </c>
      <c r="ZG44" s="6" t="str">
        <f t="shared" si="1238"/>
        <v/>
      </c>
      <c r="ZH44" s="6" t="str">
        <f t="shared" si="1238"/>
        <v/>
      </c>
      <c r="ZI44" s="6" t="str">
        <f t="shared" si="1238"/>
        <v/>
      </c>
      <c r="ZJ44" s="6" t="str">
        <f t="shared" si="1238"/>
        <v/>
      </c>
      <c r="ZK44" s="6" t="str">
        <f t="shared" si="1238"/>
        <v/>
      </c>
      <c r="ZL44" s="6" t="str">
        <f t="shared" si="1238"/>
        <v/>
      </c>
      <c r="ZM44" s="6" t="str">
        <f t="shared" si="1238"/>
        <v/>
      </c>
      <c r="ZN44" s="6" t="str">
        <f t="shared" si="1238"/>
        <v/>
      </c>
      <c r="ZO44" s="6" t="str">
        <f t="shared" si="1238"/>
        <v/>
      </c>
      <c r="ZP44" s="6" t="str">
        <f t="shared" si="1238"/>
        <v/>
      </c>
      <c r="ZQ44" s="6" t="str">
        <f t="shared" si="1238"/>
        <v/>
      </c>
      <c r="ZR44" s="6" t="str">
        <f t="shared" si="1238"/>
        <v/>
      </c>
      <c r="ZS44" s="6" t="str">
        <f t="shared" si="1238"/>
        <v/>
      </c>
      <c r="ZT44" s="6" t="str">
        <f t="shared" si="1238"/>
        <v/>
      </c>
      <c r="ZU44" s="6" t="str">
        <f t="shared" si="1238"/>
        <v/>
      </c>
      <c r="ZV44" s="6" t="str">
        <f t="shared" si="1238"/>
        <v/>
      </c>
      <c r="ZW44" s="6" t="str">
        <f t="shared" si="1238"/>
        <v/>
      </c>
      <c r="ZX44" s="6" t="str">
        <f t="shared" si="1238"/>
        <v/>
      </c>
      <c r="ZY44" s="6" t="str">
        <f t="shared" si="1238"/>
        <v/>
      </c>
      <c r="ZZ44" s="6" t="str">
        <f t="shared" si="1238"/>
        <v/>
      </c>
      <c r="AAA44" s="6" t="str">
        <f t="shared" si="1238"/>
        <v/>
      </c>
      <c r="AAB44" s="6" t="str">
        <f t="shared" si="1238"/>
        <v/>
      </c>
      <c r="AAC44" s="6" t="str">
        <f t="shared" si="1238"/>
        <v>M0</v>
      </c>
      <c r="AAD44" s="6" t="str">
        <f t="shared" si="1238"/>
        <v>M0</v>
      </c>
      <c r="AAE44" s="6" t="str">
        <f t="shared" si="1238"/>
        <v>M0</v>
      </c>
      <c r="AAF44" s="6" t="str">
        <f t="shared" si="1238"/>
        <v>M0</v>
      </c>
      <c r="AAG44" s="6" t="str">
        <f t="shared" ref="AAG44:ACR44" si="1239">IF(OR(AAG$45="M1", AAG46="M2"),"", "M0")</f>
        <v>M0</v>
      </c>
      <c r="AAH44" s="6" t="str">
        <f t="shared" si="1239"/>
        <v>M0</v>
      </c>
      <c r="AAI44" s="6" t="str">
        <f t="shared" si="1239"/>
        <v>M0</v>
      </c>
      <c r="AAJ44" s="6" t="str">
        <f t="shared" si="1239"/>
        <v>M0</v>
      </c>
      <c r="AAK44" s="6" t="str">
        <f t="shared" si="1239"/>
        <v>M0</v>
      </c>
      <c r="AAL44" s="6" t="str">
        <f t="shared" si="1239"/>
        <v>M0</v>
      </c>
      <c r="AAM44" s="6" t="str">
        <f t="shared" si="1239"/>
        <v>M0</v>
      </c>
      <c r="AAN44" s="6" t="str">
        <f t="shared" si="1239"/>
        <v>M0</v>
      </c>
      <c r="AAO44" s="6" t="str">
        <f t="shared" si="1239"/>
        <v>M0</v>
      </c>
      <c r="AAP44" s="6" t="str">
        <f t="shared" si="1239"/>
        <v>M0</v>
      </c>
      <c r="AAQ44" s="6" t="str">
        <f t="shared" si="1239"/>
        <v>M0</v>
      </c>
      <c r="AAR44" s="6" t="str">
        <f t="shared" si="1239"/>
        <v>M0</v>
      </c>
      <c r="AAS44" s="6" t="str">
        <f t="shared" si="1239"/>
        <v>M0</v>
      </c>
      <c r="AAT44" s="6" t="str">
        <f t="shared" si="1239"/>
        <v>M0</v>
      </c>
      <c r="AAU44" s="6" t="str">
        <f t="shared" si="1239"/>
        <v>M0</v>
      </c>
      <c r="AAV44" s="6" t="str">
        <f t="shared" si="1239"/>
        <v/>
      </c>
      <c r="AAW44" s="6" t="str">
        <f t="shared" si="1239"/>
        <v/>
      </c>
      <c r="AAX44" s="6" t="str">
        <f t="shared" si="1239"/>
        <v/>
      </c>
      <c r="AAY44" s="6" t="str">
        <f t="shared" si="1239"/>
        <v/>
      </c>
      <c r="AAZ44" s="6" t="str">
        <f t="shared" si="1239"/>
        <v/>
      </c>
      <c r="ABA44" s="6" t="str">
        <f t="shared" si="1239"/>
        <v/>
      </c>
      <c r="ABB44" s="6" t="str">
        <f t="shared" si="1239"/>
        <v/>
      </c>
      <c r="ABC44" s="6" t="str">
        <f t="shared" si="1239"/>
        <v/>
      </c>
      <c r="ABD44" s="6" t="str">
        <f t="shared" si="1239"/>
        <v/>
      </c>
      <c r="ABE44" s="6" t="str">
        <f t="shared" si="1239"/>
        <v/>
      </c>
      <c r="ABF44" s="6" t="str">
        <f t="shared" si="1239"/>
        <v/>
      </c>
      <c r="ABG44" s="6" t="str">
        <f t="shared" si="1239"/>
        <v/>
      </c>
      <c r="ABH44" s="6" t="str">
        <f t="shared" si="1239"/>
        <v/>
      </c>
      <c r="ABI44" s="6" t="str">
        <f t="shared" si="1239"/>
        <v/>
      </c>
      <c r="ABJ44" s="6" t="str">
        <f t="shared" si="1239"/>
        <v/>
      </c>
      <c r="ABK44" s="6" t="str">
        <f t="shared" si="1239"/>
        <v/>
      </c>
      <c r="ABL44" s="6" t="str">
        <f t="shared" si="1239"/>
        <v/>
      </c>
      <c r="ABM44" s="6" t="str">
        <f t="shared" si="1239"/>
        <v/>
      </c>
      <c r="ABN44" s="6" t="str">
        <f t="shared" si="1239"/>
        <v/>
      </c>
      <c r="ABO44" s="6" t="str">
        <f t="shared" si="1239"/>
        <v/>
      </c>
      <c r="ABP44" s="6" t="str">
        <f t="shared" si="1239"/>
        <v/>
      </c>
      <c r="ABQ44" s="6" t="str">
        <f t="shared" si="1239"/>
        <v/>
      </c>
      <c r="ABR44" s="6" t="str">
        <f t="shared" si="1239"/>
        <v/>
      </c>
      <c r="ABS44" s="6" t="str">
        <f t="shared" si="1239"/>
        <v/>
      </c>
      <c r="ABT44" s="6" t="str">
        <f t="shared" si="1239"/>
        <v/>
      </c>
      <c r="ABU44" s="6" t="str">
        <f t="shared" si="1239"/>
        <v/>
      </c>
      <c r="ABV44" s="6" t="str">
        <f t="shared" si="1239"/>
        <v/>
      </c>
      <c r="ABW44" s="6" t="str">
        <f t="shared" si="1239"/>
        <v/>
      </c>
      <c r="ABX44" s="6" t="str">
        <f t="shared" si="1239"/>
        <v/>
      </c>
      <c r="ABY44" s="6" t="str">
        <f t="shared" si="1239"/>
        <v/>
      </c>
      <c r="ABZ44" s="6" t="str">
        <f t="shared" si="1239"/>
        <v/>
      </c>
      <c r="ACA44" s="6" t="str">
        <f t="shared" si="1239"/>
        <v/>
      </c>
      <c r="ACB44" s="6" t="str">
        <f t="shared" si="1239"/>
        <v/>
      </c>
      <c r="ACC44" s="6" t="str">
        <f t="shared" si="1239"/>
        <v/>
      </c>
      <c r="ACD44" s="6" t="str">
        <f t="shared" si="1239"/>
        <v/>
      </c>
      <c r="ACE44" s="6" t="str">
        <f t="shared" si="1239"/>
        <v/>
      </c>
      <c r="ACF44" s="6" t="str">
        <f t="shared" si="1239"/>
        <v/>
      </c>
      <c r="ACG44" s="6" t="str">
        <f t="shared" si="1239"/>
        <v/>
      </c>
      <c r="ACH44" s="6" t="str">
        <f t="shared" si="1239"/>
        <v/>
      </c>
      <c r="ACI44" s="6" t="str">
        <f t="shared" si="1239"/>
        <v/>
      </c>
      <c r="ACJ44" s="6" t="str">
        <f t="shared" si="1239"/>
        <v/>
      </c>
      <c r="ACK44" s="6" t="str">
        <f t="shared" si="1239"/>
        <v/>
      </c>
      <c r="ACL44" s="6" t="str">
        <f t="shared" si="1239"/>
        <v/>
      </c>
      <c r="ACM44" s="6" t="str">
        <f t="shared" si="1239"/>
        <v/>
      </c>
      <c r="ACN44" s="6" t="str">
        <f t="shared" si="1239"/>
        <v/>
      </c>
      <c r="ACO44" s="6" t="str">
        <f t="shared" si="1239"/>
        <v/>
      </c>
      <c r="ACP44" s="6" t="str">
        <f t="shared" si="1239"/>
        <v/>
      </c>
      <c r="ACQ44" s="6" t="str">
        <f t="shared" si="1239"/>
        <v/>
      </c>
      <c r="ACR44" s="6" t="str">
        <f t="shared" si="1239"/>
        <v/>
      </c>
      <c r="ACS44" s="6" t="str">
        <f t="shared" ref="ACS44:AFD44" si="1240">IF(OR(ACS$45="M1", ACS46="M2"),"", "M0")</f>
        <v/>
      </c>
      <c r="ACT44" s="6" t="str">
        <f t="shared" si="1240"/>
        <v/>
      </c>
      <c r="ACU44" s="6" t="str">
        <f t="shared" si="1240"/>
        <v/>
      </c>
      <c r="ACV44" s="6" t="str">
        <f t="shared" si="1240"/>
        <v/>
      </c>
      <c r="ACW44" s="6" t="str">
        <f t="shared" si="1240"/>
        <v/>
      </c>
      <c r="ACX44" s="6" t="str">
        <f t="shared" si="1240"/>
        <v/>
      </c>
      <c r="ACY44" s="6" t="str">
        <f t="shared" si="1240"/>
        <v/>
      </c>
      <c r="ACZ44" s="6" t="str">
        <f t="shared" si="1240"/>
        <v/>
      </c>
      <c r="ADA44" s="6" t="str">
        <f t="shared" si="1240"/>
        <v/>
      </c>
      <c r="ADB44" s="6" t="str">
        <f t="shared" si="1240"/>
        <v/>
      </c>
      <c r="ADC44" s="6" t="str">
        <f t="shared" si="1240"/>
        <v/>
      </c>
      <c r="ADD44" s="6" t="str">
        <f t="shared" si="1240"/>
        <v/>
      </c>
      <c r="ADE44" s="6" t="str">
        <f t="shared" si="1240"/>
        <v/>
      </c>
      <c r="ADF44" s="6" t="str">
        <f t="shared" si="1240"/>
        <v/>
      </c>
      <c r="ADG44" s="6" t="str">
        <f t="shared" si="1240"/>
        <v/>
      </c>
      <c r="ADH44" s="6" t="str">
        <f t="shared" si="1240"/>
        <v/>
      </c>
      <c r="ADI44" s="6" t="str">
        <f t="shared" si="1240"/>
        <v/>
      </c>
      <c r="ADJ44" s="6" t="str">
        <f t="shared" si="1240"/>
        <v/>
      </c>
      <c r="ADK44" s="6" t="str">
        <f t="shared" si="1240"/>
        <v/>
      </c>
      <c r="ADL44" s="6" t="str">
        <f t="shared" si="1240"/>
        <v/>
      </c>
      <c r="ADM44" s="6" t="str">
        <f t="shared" si="1240"/>
        <v/>
      </c>
      <c r="ADN44" s="6" t="str">
        <f t="shared" si="1240"/>
        <v/>
      </c>
      <c r="ADO44" s="6" t="str">
        <f t="shared" si="1240"/>
        <v/>
      </c>
      <c r="ADP44" s="6" t="str">
        <f t="shared" si="1240"/>
        <v/>
      </c>
      <c r="ADQ44" s="6" t="str">
        <f t="shared" si="1240"/>
        <v/>
      </c>
      <c r="ADR44" s="6" t="str">
        <f t="shared" si="1240"/>
        <v/>
      </c>
      <c r="ADS44" s="6" t="str">
        <f t="shared" si="1240"/>
        <v/>
      </c>
      <c r="ADT44" s="6" t="str">
        <f t="shared" si="1240"/>
        <v/>
      </c>
      <c r="ADU44" s="6" t="str">
        <f t="shared" si="1240"/>
        <v/>
      </c>
      <c r="ADV44" s="6" t="str">
        <f t="shared" si="1240"/>
        <v/>
      </c>
      <c r="ADW44" s="6" t="str">
        <f t="shared" si="1240"/>
        <v/>
      </c>
      <c r="ADX44" s="6" t="str">
        <f t="shared" si="1240"/>
        <v/>
      </c>
      <c r="ADY44" s="6" t="str">
        <f t="shared" si="1240"/>
        <v/>
      </c>
      <c r="ADZ44" s="6" t="str">
        <f t="shared" si="1240"/>
        <v/>
      </c>
      <c r="AEA44" s="6" t="str">
        <f t="shared" si="1240"/>
        <v/>
      </c>
      <c r="AEB44" s="6" t="str">
        <f t="shared" si="1240"/>
        <v/>
      </c>
      <c r="AEC44" s="6" t="str">
        <f t="shared" si="1240"/>
        <v/>
      </c>
      <c r="AED44" s="6" t="str">
        <f t="shared" si="1240"/>
        <v/>
      </c>
      <c r="AEE44" s="6" t="str">
        <f t="shared" si="1240"/>
        <v/>
      </c>
      <c r="AEF44" s="6" t="str">
        <f t="shared" si="1240"/>
        <v/>
      </c>
      <c r="AEG44" s="6" t="str">
        <f t="shared" si="1240"/>
        <v/>
      </c>
      <c r="AEH44" s="6" t="str">
        <f t="shared" si="1240"/>
        <v/>
      </c>
      <c r="AEI44" s="6" t="str">
        <f t="shared" si="1240"/>
        <v/>
      </c>
      <c r="AEJ44" s="6" t="str">
        <f t="shared" si="1240"/>
        <v/>
      </c>
      <c r="AEK44" s="6" t="str">
        <f t="shared" si="1240"/>
        <v/>
      </c>
      <c r="AEL44" s="6" t="str">
        <f t="shared" si="1240"/>
        <v/>
      </c>
      <c r="AEM44" s="6" t="str">
        <f t="shared" si="1240"/>
        <v/>
      </c>
      <c r="AEN44" s="6" t="str">
        <f t="shared" si="1240"/>
        <v/>
      </c>
      <c r="AEO44" s="6" t="str">
        <f t="shared" si="1240"/>
        <v/>
      </c>
      <c r="AEP44" s="6" t="str">
        <f t="shared" si="1240"/>
        <v/>
      </c>
      <c r="AEQ44" s="6" t="str">
        <f t="shared" si="1240"/>
        <v/>
      </c>
      <c r="AER44" s="6" t="str">
        <f t="shared" si="1240"/>
        <v/>
      </c>
      <c r="AES44" s="6" t="str">
        <f t="shared" si="1240"/>
        <v/>
      </c>
      <c r="AET44" s="6" t="str">
        <f t="shared" si="1240"/>
        <v/>
      </c>
      <c r="AEU44" s="6" t="str">
        <f t="shared" si="1240"/>
        <v/>
      </c>
      <c r="AEV44" s="6" t="str">
        <f t="shared" si="1240"/>
        <v/>
      </c>
      <c r="AEW44" s="6" t="str">
        <f t="shared" si="1240"/>
        <v/>
      </c>
      <c r="AEX44" s="6" t="str">
        <f t="shared" si="1240"/>
        <v/>
      </c>
      <c r="AEY44" s="6" t="str">
        <f t="shared" si="1240"/>
        <v/>
      </c>
      <c r="AEZ44" s="6" t="str">
        <f t="shared" si="1240"/>
        <v/>
      </c>
      <c r="AFA44" s="6" t="str">
        <f t="shared" si="1240"/>
        <v/>
      </c>
      <c r="AFB44" s="6" t="str">
        <f t="shared" si="1240"/>
        <v/>
      </c>
      <c r="AFC44" s="6" t="str">
        <f t="shared" si="1240"/>
        <v/>
      </c>
      <c r="AFD44" s="6" t="str">
        <f t="shared" si="1240"/>
        <v/>
      </c>
      <c r="AFE44" s="6" t="str">
        <f t="shared" ref="AFE44:AHP44" si="1241">IF(OR(AFE$45="M1", AFE46="M2"),"", "M0")</f>
        <v/>
      </c>
      <c r="AFF44" s="6" t="str">
        <f t="shared" si="1241"/>
        <v/>
      </c>
      <c r="AFG44" s="6" t="str">
        <f t="shared" si="1241"/>
        <v/>
      </c>
      <c r="AFH44" s="6" t="str">
        <f t="shared" si="1241"/>
        <v/>
      </c>
      <c r="AFI44" s="6" t="str">
        <f t="shared" si="1241"/>
        <v/>
      </c>
      <c r="AFJ44" s="6" t="str">
        <f t="shared" si="1241"/>
        <v/>
      </c>
      <c r="AFK44" s="6" t="str">
        <f t="shared" si="1241"/>
        <v/>
      </c>
      <c r="AFL44" s="6" t="str">
        <f t="shared" si="1241"/>
        <v/>
      </c>
      <c r="AFM44" s="6" t="str">
        <f t="shared" si="1241"/>
        <v/>
      </c>
      <c r="AFN44" s="6" t="str">
        <f t="shared" si="1241"/>
        <v/>
      </c>
      <c r="AFO44" s="6" t="str">
        <f t="shared" si="1241"/>
        <v/>
      </c>
      <c r="AFP44" s="6" t="str">
        <f t="shared" si="1241"/>
        <v/>
      </c>
      <c r="AFQ44" s="6" t="str">
        <f t="shared" si="1241"/>
        <v>M0</v>
      </c>
      <c r="AFR44" s="6" t="str">
        <f t="shared" si="1241"/>
        <v>M0</v>
      </c>
      <c r="AFS44" s="6" t="str">
        <f t="shared" si="1241"/>
        <v>M0</v>
      </c>
      <c r="AFT44" s="6" t="str">
        <f t="shared" si="1241"/>
        <v>M0</v>
      </c>
      <c r="AFU44" s="6" t="str">
        <f t="shared" si="1241"/>
        <v>M0</v>
      </c>
      <c r="AFV44" s="6" t="str">
        <f t="shared" si="1241"/>
        <v>M0</v>
      </c>
      <c r="AFW44" s="6" t="str">
        <f t="shared" si="1241"/>
        <v>M0</v>
      </c>
      <c r="AFX44" s="6" t="str">
        <f t="shared" si="1241"/>
        <v>M0</v>
      </c>
      <c r="AFY44" s="6" t="str">
        <f t="shared" si="1241"/>
        <v>M0</v>
      </c>
      <c r="AFZ44" s="6" t="str">
        <f t="shared" si="1241"/>
        <v>M0</v>
      </c>
      <c r="AGA44" s="6" t="str">
        <f t="shared" si="1241"/>
        <v>M0</v>
      </c>
      <c r="AGB44" s="6" t="str">
        <f t="shared" si="1241"/>
        <v>M0</v>
      </c>
      <c r="AGC44" s="6" t="str">
        <f t="shared" si="1241"/>
        <v>M0</v>
      </c>
      <c r="AGD44" s="6" t="str">
        <f t="shared" si="1241"/>
        <v>M0</v>
      </c>
      <c r="AGE44" s="6" t="str">
        <f t="shared" si="1241"/>
        <v>M0</v>
      </c>
      <c r="AGF44" s="6" t="str">
        <f t="shared" si="1241"/>
        <v>M0</v>
      </c>
      <c r="AGG44" s="6" t="str">
        <f t="shared" si="1241"/>
        <v>M0</v>
      </c>
      <c r="AGH44" s="6" t="str">
        <f t="shared" si="1241"/>
        <v>M0</v>
      </c>
      <c r="AGI44" s="6" t="str">
        <f t="shared" si="1241"/>
        <v>M0</v>
      </c>
      <c r="AGJ44" s="6" t="str">
        <f t="shared" si="1241"/>
        <v/>
      </c>
      <c r="AGK44" s="6" t="str">
        <f t="shared" si="1241"/>
        <v/>
      </c>
      <c r="AGL44" s="6" t="str">
        <f t="shared" si="1241"/>
        <v/>
      </c>
      <c r="AGM44" s="6" t="str">
        <f t="shared" si="1241"/>
        <v/>
      </c>
      <c r="AGN44" s="6" t="str">
        <f t="shared" si="1241"/>
        <v/>
      </c>
      <c r="AGO44" s="6" t="str">
        <f t="shared" si="1241"/>
        <v/>
      </c>
      <c r="AGP44" s="6" t="str">
        <f t="shared" si="1241"/>
        <v/>
      </c>
      <c r="AGQ44" s="6" t="str">
        <f t="shared" si="1241"/>
        <v/>
      </c>
      <c r="AGR44" s="6" t="str">
        <f t="shared" si="1241"/>
        <v/>
      </c>
      <c r="AGS44" s="6" t="str">
        <f t="shared" si="1241"/>
        <v/>
      </c>
      <c r="AGT44" s="6" t="str">
        <f t="shared" si="1241"/>
        <v/>
      </c>
      <c r="AGU44" s="6" t="str">
        <f t="shared" si="1241"/>
        <v/>
      </c>
      <c r="AGV44" s="6" t="str">
        <f t="shared" si="1241"/>
        <v/>
      </c>
      <c r="AGW44" s="6" t="str">
        <f t="shared" si="1241"/>
        <v/>
      </c>
      <c r="AGX44" s="6" t="str">
        <f t="shared" si="1241"/>
        <v/>
      </c>
      <c r="AGY44" s="6" t="str">
        <f t="shared" si="1241"/>
        <v/>
      </c>
      <c r="AGZ44" s="6" t="str">
        <f t="shared" si="1241"/>
        <v/>
      </c>
      <c r="AHA44" s="6" t="str">
        <f t="shared" si="1241"/>
        <v/>
      </c>
      <c r="AHB44" s="6" t="str">
        <f t="shared" si="1241"/>
        <v/>
      </c>
      <c r="AHC44" s="6" t="str">
        <f t="shared" si="1241"/>
        <v/>
      </c>
      <c r="AHD44" s="6" t="str">
        <f t="shared" si="1241"/>
        <v/>
      </c>
      <c r="AHE44" s="6" t="str">
        <f t="shared" si="1241"/>
        <v/>
      </c>
      <c r="AHF44" s="6" t="str">
        <f t="shared" si="1241"/>
        <v/>
      </c>
      <c r="AHG44" s="6" t="str">
        <f t="shared" si="1241"/>
        <v/>
      </c>
      <c r="AHH44" s="6" t="str">
        <f t="shared" si="1241"/>
        <v/>
      </c>
      <c r="AHI44" s="6" t="str">
        <f t="shared" si="1241"/>
        <v/>
      </c>
      <c r="AHJ44" s="6" t="str">
        <f t="shared" si="1241"/>
        <v/>
      </c>
      <c r="AHK44" s="6" t="str">
        <f t="shared" si="1241"/>
        <v/>
      </c>
      <c r="AHL44" s="6" t="str">
        <f t="shared" si="1241"/>
        <v/>
      </c>
      <c r="AHM44" s="6" t="str">
        <f t="shared" si="1241"/>
        <v/>
      </c>
      <c r="AHN44" s="6" t="str">
        <f t="shared" si="1241"/>
        <v/>
      </c>
      <c r="AHO44" s="6" t="str">
        <f t="shared" si="1241"/>
        <v/>
      </c>
      <c r="AHP44" s="6" t="str">
        <f t="shared" si="1241"/>
        <v/>
      </c>
      <c r="AHQ44" s="6" t="str">
        <f t="shared" ref="AHQ44:AKB44" si="1242">IF(OR(AHQ$45="M1", AHQ46="M2"),"", "M0")</f>
        <v/>
      </c>
      <c r="AHR44" s="6" t="str">
        <f t="shared" si="1242"/>
        <v/>
      </c>
      <c r="AHS44" s="6" t="str">
        <f t="shared" si="1242"/>
        <v/>
      </c>
      <c r="AHT44" s="6" t="str">
        <f t="shared" si="1242"/>
        <v/>
      </c>
      <c r="AHU44" s="6" t="str">
        <f t="shared" si="1242"/>
        <v/>
      </c>
      <c r="AHV44" s="6" t="str">
        <f t="shared" si="1242"/>
        <v/>
      </c>
      <c r="AHW44" s="6" t="str">
        <f t="shared" si="1242"/>
        <v/>
      </c>
      <c r="AHX44" s="6" t="str">
        <f t="shared" si="1242"/>
        <v/>
      </c>
      <c r="AHY44" s="6" t="str">
        <f t="shared" si="1242"/>
        <v/>
      </c>
      <c r="AHZ44" s="6" t="str">
        <f t="shared" si="1242"/>
        <v/>
      </c>
      <c r="AIA44" s="6" t="str">
        <f t="shared" si="1242"/>
        <v/>
      </c>
      <c r="AIB44" s="6" t="str">
        <f t="shared" si="1242"/>
        <v/>
      </c>
      <c r="AIC44" s="6" t="str">
        <f t="shared" si="1242"/>
        <v/>
      </c>
      <c r="AID44" s="6" t="str">
        <f t="shared" si="1242"/>
        <v/>
      </c>
      <c r="AIE44" s="6" t="str">
        <f t="shared" si="1242"/>
        <v/>
      </c>
      <c r="AIF44" s="6" t="str">
        <f t="shared" si="1242"/>
        <v/>
      </c>
      <c r="AIG44" s="6" t="str">
        <f t="shared" si="1242"/>
        <v/>
      </c>
      <c r="AIH44" s="6" t="str">
        <f t="shared" si="1242"/>
        <v/>
      </c>
      <c r="AII44" s="6" t="str">
        <f t="shared" si="1242"/>
        <v/>
      </c>
      <c r="AIJ44" s="6" t="str">
        <f t="shared" si="1242"/>
        <v/>
      </c>
      <c r="AIK44" s="6" t="str">
        <f t="shared" si="1242"/>
        <v/>
      </c>
      <c r="AIL44" s="6" t="str">
        <f t="shared" si="1242"/>
        <v/>
      </c>
      <c r="AIM44" s="6" t="str">
        <f t="shared" si="1242"/>
        <v/>
      </c>
      <c r="AIN44" s="6" t="str">
        <f t="shared" si="1242"/>
        <v/>
      </c>
      <c r="AIO44" s="6" t="str">
        <f t="shared" si="1242"/>
        <v/>
      </c>
      <c r="AIP44" s="6" t="str">
        <f t="shared" si="1242"/>
        <v/>
      </c>
      <c r="AIQ44" s="6" t="str">
        <f t="shared" si="1242"/>
        <v/>
      </c>
      <c r="AIR44" s="6" t="str">
        <f t="shared" si="1242"/>
        <v/>
      </c>
      <c r="AIS44" s="6" t="str">
        <f t="shared" si="1242"/>
        <v/>
      </c>
      <c r="AIT44" s="6" t="str">
        <f t="shared" si="1242"/>
        <v/>
      </c>
      <c r="AIU44" s="6" t="str">
        <f t="shared" si="1242"/>
        <v/>
      </c>
      <c r="AIV44" s="6" t="str">
        <f t="shared" si="1242"/>
        <v/>
      </c>
      <c r="AIW44" s="6" t="str">
        <f t="shared" si="1242"/>
        <v/>
      </c>
      <c r="AIX44" s="6" t="str">
        <f t="shared" si="1242"/>
        <v/>
      </c>
      <c r="AIY44" s="6" t="str">
        <f t="shared" si="1242"/>
        <v/>
      </c>
      <c r="AIZ44" s="6" t="str">
        <f t="shared" si="1242"/>
        <v/>
      </c>
      <c r="AJA44" s="6" t="str">
        <f t="shared" si="1242"/>
        <v/>
      </c>
      <c r="AJB44" s="6" t="str">
        <f t="shared" si="1242"/>
        <v/>
      </c>
      <c r="AJC44" s="6" t="str">
        <f t="shared" si="1242"/>
        <v/>
      </c>
      <c r="AJD44" s="6" t="str">
        <f t="shared" si="1242"/>
        <v/>
      </c>
      <c r="AJE44" s="6" t="str">
        <f t="shared" si="1242"/>
        <v/>
      </c>
      <c r="AJF44" s="6" t="str">
        <f t="shared" si="1242"/>
        <v/>
      </c>
      <c r="AJG44" s="6" t="str">
        <f t="shared" si="1242"/>
        <v/>
      </c>
      <c r="AJH44" s="6" t="str">
        <f t="shared" si="1242"/>
        <v/>
      </c>
      <c r="AJI44" s="6" t="str">
        <f t="shared" si="1242"/>
        <v/>
      </c>
      <c r="AJJ44" s="6" t="str">
        <f t="shared" si="1242"/>
        <v/>
      </c>
      <c r="AJK44" s="6" t="str">
        <f t="shared" si="1242"/>
        <v/>
      </c>
      <c r="AJL44" s="6" t="str">
        <f t="shared" si="1242"/>
        <v/>
      </c>
      <c r="AJM44" s="6" t="str">
        <f t="shared" si="1242"/>
        <v/>
      </c>
      <c r="AJN44" s="6" t="str">
        <f t="shared" si="1242"/>
        <v/>
      </c>
      <c r="AJO44" s="6" t="str">
        <f t="shared" si="1242"/>
        <v/>
      </c>
      <c r="AJP44" s="6" t="str">
        <f t="shared" si="1242"/>
        <v/>
      </c>
      <c r="AJQ44" s="6" t="str">
        <f t="shared" si="1242"/>
        <v/>
      </c>
      <c r="AJR44" s="6" t="str">
        <f t="shared" si="1242"/>
        <v/>
      </c>
      <c r="AJS44" s="6" t="str">
        <f t="shared" si="1242"/>
        <v/>
      </c>
      <c r="AJT44" s="6" t="str">
        <f t="shared" si="1242"/>
        <v/>
      </c>
      <c r="AJU44" s="6" t="str">
        <f t="shared" si="1242"/>
        <v/>
      </c>
      <c r="AJV44" s="6" t="str">
        <f t="shared" si="1242"/>
        <v/>
      </c>
      <c r="AJW44" s="6" t="str">
        <f t="shared" si="1242"/>
        <v/>
      </c>
      <c r="AJX44" s="6" t="str">
        <f t="shared" si="1242"/>
        <v/>
      </c>
      <c r="AJY44" s="6" t="str">
        <f t="shared" si="1242"/>
        <v/>
      </c>
      <c r="AJZ44" s="6" t="str">
        <f t="shared" si="1242"/>
        <v/>
      </c>
      <c r="AKA44" s="6" t="str">
        <f t="shared" si="1242"/>
        <v/>
      </c>
      <c r="AKB44" s="6" t="str">
        <f t="shared" si="1242"/>
        <v/>
      </c>
      <c r="AKC44" s="6" t="str">
        <f t="shared" ref="AKC44:ALW44" si="1243">IF(OR(AKC$45="M1", AKC46="M2"),"", "M0")</f>
        <v/>
      </c>
      <c r="AKD44" s="6" t="str">
        <f t="shared" si="1243"/>
        <v/>
      </c>
      <c r="AKE44" s="6" t="str">
        <f t="shared" si="1243"/>
        <v/>
      </c>
      <c r="AKF44" s="6" t="str">
        <f t="shared" si="1243"/>
        <v/>
      </c>
      <c r="AKG44" s="6" t="str">
        <f t="shared" si="1243"/>
        <v/>
      </c>
      <c r="AKH44" s="6" t="str">
        <f t="shared" si="1243"/>
        <v/>
      </c>
      <c r="AKI44" s="6" t="str">
        <f t="shared" si="1243"/>
        <v/>
      </c>
      <c r="AKJ44" s="6" t="str">
        <f t="shared" si="1243"/>
        <v/>
      </c>
      <c r="AKK44" s="6" t="str">
        <f t="shared" si="1243"/>
        <v/>
      </c>
      <c r="AKL44" s="6" t="str">
        <f t="shared" si="1243"/>
        <v/>
      </c>
      <c r="AKM44" s="6" t="str">
        <f t="shared" si="1243"/>
        <v/>
      </c>
      <c r="AKN44" s="6" t="str">
        <f t="shared" si="1243"/>
        <v/>
      </c>
      <c r="AKO44" s="6" t="str">
        <f t="shared" si="1243"/>
        <v/>
      </c>
      <c r="AKP44" s="6" t="str">
        <f t="shared" si="1243"/>
        <v/>
      </c>
      <c r="AKQ44" s="6" t="str">
        <f t="shared" si="1243"/>
        <v/>
      </c>
      <c r="AKR44" s="6" t="str">
        <f t="shared" si="1243"/>
        <v/>
      </c>
      <c r="AKS44" s="6" t="str">
        <f t="shared" si="1243"/>
        <v/>
      </c>
      <c r="AKT44" s="6" t="str">
        <f t="shared" si="1243"/>
        <v/>
      </c>
      <c r="AKU44" s="6" t="str">
        <f t="shared" si="1243"/>
        <v/>
      </c>
      <c r="AKV44" s="6" t="str">
        <f t="shared" si="1243"/>
        <v/>
      </c>
      <c r="AKW44" s="6" t="str">
        <f t="shared" si="1243"/>
        <v/>
      </c>
      <c r="AKX44" s="6" t="str">
        <f t="shared" si="1243"/>
        <v/>
      </c>
      <c r="AKY44" s="6" t="str">
        <f t="shared" si="1243"/>
        <v/>
      </c>
      <c r="AKZ44" s="6" t="str">
        <f t="shared" si="1243"/>
        <v/>
      </c>
      <c r="ALA44" s="6" t="str">
        <f t="shared" si="1243"/>
        <v/>
      </c>
      <c r="ALB44" s="6" t="str">
        <f t="shared" si="1243"/>
        <v/>
      </c>
      <c r="ALC44" s="6" t="str">
        <f t="shared" si="1243"/>
        <v/>
      </c>
      <c r="ALD44" s="6" t="str">
        <f t="shared" si="1243"/>
        <v/>
      </c>
      <c r="ALE44" s="6" t="str">
        <f t="shared" si="1243"/>
        <v>M0</v>
      </c>
      <c r="ALF44" s="6" t="str">
        <f t="shared" si="1243"/>
        <v>M0</v>
      </c>
      <c r="ALG44" s="6" t="str">
        <f t="shared" si="1243"/>
        <v>M0</v>
      </c>
      <c r="ALH44" s="6" t="str">
        <f t="shared" si="1243"/>
        <v>M0</v>
      </c>
      <c r="ALI44" s="6" t="str">
        <f t="shared" si="1243"/>
        <v>M0</v>
      </c>
      <c r="ALJ44" s="6" t="str">
        <f t="shared" si="1243"/>
        <v>M0</v>
      </c>
      <c r="ALK44" s="6" t="str">
        <f t="shared" si="1243"/>
        <v>M0</v>
      </c>
      <c r="ALL44" s="6" t="str">
        <f t="shared" si="1243"/>
        <v>M0</v>
      </c>
      <c r="ALM44" s="6" t="str">
        <f t="shared" si="1243"/>
        <v>M0</v>
      </c>
      <c r="ALN44" s="6" t="str">
        <f t="shared" si="1243"/>
        <v>M0</v>
      </c>
      <c r="ALO44" s="6" t="str">
        <f t="shared" si="1243"/>
        <v>M0</v>
      </c>
      <c r="ALP44" s="6" t="str">
        <f t="shared" si="1243"/>
        <v>M0</v>
      </c>
      <c r="ALQ44" s="6" t="str">
        <f t="shared" si="1243"/>
        <v>M0</v>
      </c>
      <c r="ALR44" s="6" t="str">
        <f t="shared" si="1243"/>
        <v>M0</v>
      </c>
      <c r="ALS44" s="6" t="str">
        <f t="shared" si="1243"/>
        <v>M0</v>
      </c>
      <c r="ALT44" s="6" t="str">
        <f t="shared" si="1243"/>
        <v>M0</v>
      </c>
      <c r="ALU44" s="6" t="str">
        <f t="shared" si="1243"/>
        <v>M0</v>
      </c>
      <c r="ALV44" s="6" t="str">
        <f t="shared" si="1243"/>
        <v>M0</v>
      </c>
      <c r="ALW44" s="6" t="str">
        <f t="shared" si="1243"/>
        <v>M0</v>
      </c>
    </row>
    <row r="45" spans="2:1011" outlineLevel="1" x14ac:dyDescent="0.25">
      <c r="C45" s="5" t="s">
        <v>4</v>
      </c>
      <c r="D45" s="6" t="s">
        <v>4</v>
      </c>
      <c r="E45" s="6" t="s">
        <v>4</v>
      </c>
      <c r="F45" s="6" t="s">
        <v>4</v>
      </c>
      <c r="G45" s="6" t="s">
        <v>4</v>
      </c>
      <c r="H45" s="6" t="s">
        <v>4</v>
      </c>
      <c r="I45" s="6" t="s">
        <v>4</v>
      </c>
      <c r="J45" s="6" t="s">
        <v>4</v>
      </c>
      <c r="K45" s="6" t="s">
        <v>4</v>
      </c>
      <c r="L45" s="6" t="s">
        <v>4</v>
      </c>
      <c r="M45" s="6" t="s">
        <v>4</v>
      </c>
      <c r="N45" s="6" t="s">
        <v>4</v>
      </c>
      <c r="O45" s="6" t="s">
        <v>4</v>
      </c>
      <c r="P45" s="6" t="s">
        <v>4</v>
      </c>
      <c r="Q45" s="6" t="s">
        <v>4</v>
      </c>
      <c r="R45" s="6" t="s">
        <v>4</v>
      </c>
      <c r="S45" s="6" t="s">
        <v>4</v>
      </c>
      <c r="T45" s="6" t="s">
        <v>4</v>
      </c>
      <c r="U45" s="6" t="s">
        <v>4</v>
      </c>
      <c r="V45" s="6" t="s">
        <v>4</v>
      </c>
      <c r="W45" s="6" t="s">
        <v>4</v>
      </c>
      <c r="X45" s="6" t="s">
        <v>4</v>
      </c>
      <c r="Y45" s="6" t="s">
        <v>4</v>
      </c>
      <c r="Z45" s="6" t="s">
        <v>4</v>
      </c>
      <c r="AA45" s="6" t="s">
        <v>4</v>
      </c>
      <c r="AB45" s="6" t="s">
        <v>4</v>
      </c>
      <c r="AC45" s="6" t="s">
        <v>4</v>
      </c>
      <c r="AD45" s="6" t="s">
        <v>4</v>
      </c>
      <c r="AE45" s="6" t="s">
        <v>4</v>
      </c>
      <c r="AF45" s="6" t="s">
        <v>4</v>
      </c>
      <c r="AG45" s="6" t="s">
        <v>4</v>
      </c>
      <c r="AH45" s="6" t="s">
        <v>4</v>
      </c>
      <c r="AI45" s="6" t="s">
        <v>4</v>
      </c>
      <c r="AJ45" s="6" t="s">
        <v>4</v>
      </c>
      <c r="AK45" s="6" t="s">
        <v>4</v>
      </c>
      <c r="AL45" s="6" t="s">
        <v>4</v>
      </c>
      <c r="AM45" s="6" t="s">
        <v>4</v>
      </c>
      <c r="AN45" s="6" t="s">
        <v>4</v>
      </c>
      <c r="AO45" s="6" t="s">
        <v>4</v>
      </c>
      <c r="AP45" s="6" t="s">
        <v>4</v>
      </c>
      <c r="AQ45" s="6" t="s">
        <v>4</v>
      </c>
      <c r="AR45" s="6" t="s">
        <v>4</v>
      </c>
      <c r="AS45" s="6" t="s">
        <v>4</v>
      </c>
      <c r="AT45" s="6" t="s">
        <v>4</v>
      </c>
      <c r="AU45" s="6" t="s">
        <v>4</v>
      </c>
      <c r="AV45" s="6" t="s">
        <v>4</v>
      </c>
      <c r="AW45" s="6" t="s">
        <v>4</v>
      </c>
      <c r="AX45" s="6" t="s">
        <v>4</v>
      </c>
      <c r="AY45" s="6" t="s">
        <v>4</v>
      </c>
      <c r="AZ45" s="6" t="s">
        <v>4</v>
      </c>
      <c r="BA45" s="6" t="s">
        <v>4</v>
      </c>
      <c r="BB45" s="6" t="s">
        <v>4</v>
      </c>
      <c r="BC45" s="6" t="s">
        <v>4</v>
      </c>
      <c r="BD45" s="6" t="s">
        <v>4</v>
      </c>
      <c r="BE45" s="6" t="s">
        <v>4</v>
      </c>
      <c r="BF45" s="6" t="s">
        <v>4</v>
      </c>
      <c r="BG45" s="6" t="s">
        <v>4</v>
      </c>
      <c r="BH45" s="6" t="s">
        <v>4</v>
      </c>
      <c r="BI45" s="6" t="s">
        <v>4</v>
      </c>
      <c r="BJ45" s="6" t="s">
        <v>4</v>
      </c>
      <c r="BK45" s="6" t="s">
        <v>4</v>
      </c>
      <c r="BL45" s="6" t="s">
        <v>4</v>
      </c>
      <c r="BM45" s="6" t="s">
        <v>4</v>
      </c>
      <c r="BN45" s="6" t="s">
        <v>4</v>
      </c>
      <c r="BO45" s="6" t="s">
        <v>4</v>
      </c>
      <c r="BP45" s="6" t="s">
        <v>4</v>
      </c>
      <c r="BQ45" s="6" t="s">
        <v>4</v>
      </c>
      <c r="BR45" s="6" t="s">
        <v>4</v>
      </c>
      <c r="BS45" s="6" t="s">
        <v>4</v>
      </c>
      <c r="BT45" s="6" t="s">
        <v>4</v>
      </c>
      <c r="BU45" s="6" t="s">
        <v>4</v>
      </c>
      <c r="BV45" s="6" t="s">
        <v>4</v>
      </c>
      <c r="BW45" s="6" t="s">
        <v>4</v>
      </c>
      <c r="BX45" s="6" t="s">
        <v>4</v>
      </c>
      <c r="BY45" s="6" t="s">
        <v>4</v>
      </c>
      <c r="BZ45" s="6" t="s">
        <v>4</v>
      </c>
      <c r="CA45" s="6" t="s">
        <v>4</v>
      </c>
      <c r="CB45" s="6" t="s">
        <v>4</v>
      </c>
      <c r="CC45" s="6" t="s">
        <v>4</v>
      </c>
      <c r="CD45" s="6" t="s">
        <v>4</v>
      </c>
      <c r="CE45" s="6" t="s">
        <v>4</v>
      </c>
      <c r="CF45" s="6" t="s">
        <v>4</v>
      </c>
      <c r="CG45" s="6" t="s">
        <v>4</v>
      </c>
      <c r="CH45" s="6" t="s">
        <v>4</v>
      </c>
      <c r="CI45" s="6" t="s">
        <v>4</v>
      </c>
      <c r="CJ45" s="6" t="s">
        <v>4</v>
      </c>
      <c r="CK45" s="6" t="s">
        <v>4</v>
      </c>
      <c r="CL45" s="6"/>
      <c r="CM45" s="6"/>
      <c r="CN45" s="6"/>
      <c r="CO45" s="6" t="s">
        <v>4</v>
      </c>
      <c r="CP45" s="6" t="s">
        <v>4</v>
      </c>
      <c r="CQ45" s="6" t="s">
        <v>4</v>
      </c>
      <c r="CR45" s="6" t="s">
        <v>4</v>
      </c>
      <c r="CS45" s="6" t="s">
        <v>4</v>
      </c>
      <c r="CT45" s="6" t="s">
        <v>4</v>
      </c>
      <c r="CU45" s="6" t="s">
        <v>4</v>
      </c>
      <c r="CV45" s="6" t="s">
        <v>4</v>
      </c>
      <c r="CW45" s="6" t="s">
        <v>4</v>
      </c>
      <c r="CX45" s="6" t="s">
        <v>4</v>
      </c>
      <c r="CY45" s="6" t="s">
        <v>4</v>
      </c>
      <c r="CZ45" s="6" t="s">
        <v>4</v>
      </c>
      <c r="DA45" s="6" t="s">
        <v>4</v>
      </c>
      <c r="DB45" s="6" t="s">
        <v>4</v>
      </c>
      <c r="DC45" s="6" t="s">
        <v>4</v>
      </c>
      <c r="DD45" s="6" t="s">
        <v>4</v>
      </c>
      <c r="DE45" s="6" t="s">
        <v>4</v>
      </c>
      <c r="DF45" s="6" t="s">
        <v>4</v>
      </c>
      <c r="DG45" s="6" t="s">
        <v>4</v>
      </c>
      <c r="DH45" s="6" t="s">
        <v>4</v>
      </c>
      <c r="DI45" s="6" t="s">
        <v>4</v>
      </c>
      <c r="DJ45" s="6" t="s">
        <v>4</v>
      </c>
      <c r="DK45" s="6" t="s">
        <v>4</v>
      </c>
      <c r="DL45" s="6" t="s">
        <v>4</v>
      </c>
      <c r="DM45" s="6" t="s">
        <v>4</v>
      </c>
      <c r="DN45" s="6" t="s">
        <v>4</v>
      </c>
      <c r="DO45" s="6" t="s">
        <v>4</v>
      </c>
      <c r="DP45" s="6" t="s">
        <v>4</v>
      </c>
      <c r="DQ45" s="6" t="s">
        <v>4</v>
      </c>
      <c r="DR45" s="6" t="s">
        <v>4</v>
      </c>
      <c r="DS45" s="6" t="s">
        <v>4</v>
      </c>
      <c r="DT45" s="6" t="s">
        <v>4</v>
      </c>
      <c r="DU45" s="6" t="s">
        <v>4</v>
      </c>
      <c r="DV45" s="6" t="s">
        <v>4</v>
      </c>
      <c r="DW45" s="6" t="s">
        <v>4</v>
      </c>
      <c r="DX45" s="6" t="s">
        <v>4</v>
      </c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IB45" s="6"/>
      <c r="IC45" s="6"/>
      <c r="ID45" s="6"/>
      <c r="IE45" s="6"/>
      <c r="IF45" s="6"/>
      <c r="IG45" s="6"/>
      <c r="IH45" s="6"/>
      <c r="II45" s="6"/>
      <c r="IJ45" s="6"/>
      <c r="IK45" s="6"/>
      <c r="IL45" s="6"/>
      <c r="IM45" s="6"/>
      <c r="IN45" s="6"/>
      <c r="IO45" s="6"/>
      <c r="IP45" s="6"/>
      <c r="IQ45" s="6"/>
      <c r="IR45" s="6"/>
      <c r="IS45" s="6"/>
      <c r="IT45" s="6"/>
      <c r="IU45" s="6"/>
      <c r="IV45" s="6"/>
      <c r="IW45" s="6"/>
      <c r="IX45" s="6"/>
      <c r="IY45" s="6"/>
      <c r="IZ45" s="6"/>
      <c r="JA45" s="6"/>
      <c r="JB45" s="6"/>
      <c r="JC45" s="6"/>
      <c r="JD45" s="6"/>
      <c r="JE45" s="6"/>
      <c r="JF45" s="6"/>
      <c r="JG45" s="6"/>
      <c r="JH45" s="6"/>
      <c r="JI45" s="6"/>
      <c r="JJ45" s="6"/>
      <c r="JK45" s="6"/>
      <c r="JL45" s="6"/>
      <c r="JM45" s="6"/>
      <c r="JN45" s="6"/>
      <c r="JO45" s="6"/>
      <c r="JP45" s="6"/>
      <c r="JQ45" s="6"/>
      <c r="JR45" s="6"/>
      <c r="JS45" s="6"/>
      <c r="JT45" s="6"/>
      <c r="JU45" s="6"/>
      <c r="JV45" s="6"/>
      <c r="JW45" s="6"/>
      <c r="JX45" s="6"/>
      <c r="JY45" s="6"/>
      <c r="JZ45" s="6"/>
      <c r="KA45" s="6"/>
      <c r="KB45" s="6"/>
      <c r="KC45" s="6"/>
      <c r="KD45" s="6"/>
      <c r="KE45" s="6"/>
      <c r="KF45" s="6" t="s">
        <v>4</v>
      </c>
      <c r="KG45" s="6" t="s">
        <v>4</v>
      </c>
      <c r="KH45" s="6" t="s">
        <v>4</v>
      </c>
      <c r="KI45" s="6" t="s">
        <v>4</v>
      </c>
      <c r="KJ45" s="6" t="s">
        <v>4</v>
      </c>
      <c r="KK45" s="6" t="s">
        <v>4</v>
      </c>
      <c r="KL45" s="6" t="s">
        <v>4</v>
      </c>
      <c r="KM45" s="6" t="s">
        <v>4</v>
      </c>
      <c r="KN45" s="6" t="s">
        <v>4</v>
      </c>
      <c r="KO45" s="6" t="s">
        <v>4</v>
      </c>
      <c r="KP45" s="6" t="s">
        <v>4</v>
      </c>
      <c r="KQ45" s="6" t="s">
        <v>4</v>
      </c>
      <c r="KR45" s="6" t="s">
        <v>4</v>
      </c>
      <c r="KS45" s="6" t="s">
        <v>4</v>
      </c>
      <c r="KT45" s="6" t="s">
        <v>4</v>
      </c>
      <c r="KU45" s="6" t="s">
        <v>4</v>
      </c>
      <c r="KV45" s="6" t="s">
        <v>4</v>
      </c>
      <c r="KW45" s="6" t="s">
        <v>4</v>
      </c>
      <c r="KX45" s="6" t="s">
        <v>4</v>
      </c>
      <c r="KY45" s="6" t="s">
        <v>4</v>
      </c>
      <c r="KZ45" s="6" t="s">
        <v>4</v>
      </c>
      <c r="LA45" s="6" t="s">
        <v>4</v>
      </c>
      <c r="LB45" s="6" t="s">
        <v>4</v>
      </c>
      <c r="LC45" s="6" t="s">
        <v>4</v>
      </c>
      <c r="LD45" s="6" t="s">
        <v>4</v>
      </c>
      <c r="LE45" s="6" t="s">
        <v>4</v>
      </c>
      <c r="LF45" s="6" t="s">
        <v>4</v>
      </c>
      <c r="LG45" s="6" t="s">
        <v>4</v>
      </c>
      <c r="LH45" s="6" t="s">
        <v>4</v>
      </c>
      <c r="LI45" s="6" t="s">
        <v>4</v>
      </c>
      <c r="LJ45" s="6" t="s">
        <v>4</v>
      </c>
      <c r="LK45" s="6" t="s">
        <v>4</v>
      </c>
      <c r="LL45" s="6" t="s">
        <v>4</v>
      </c>
      <c r="LM45" s="6" t="s">
        <v>4</v>
      </c>
      <c r="LN45" s="6" t="s">
        <v>4</v>
      </c>
      <c r="LO45" s="6" t="s">
        <v>4</v>
      </c>
      <c r="LP45" s="6" t="s">
        <v>4</v>
      </c>
      <c r="LQ45" s="6" t="s">
        <v>4</v>
      </c>
      <c r="LR45" s="6" t="s">
        <v>4</v>
      </c>
      <c r="LS45" s="6" t="s">
        <v>4</v>
      </c>
      <c r="LT45" s="6" t="s">
        <v>4</v>
      </c>
      <c r="LU45" s="6" t="s">
        <v>4</v>
      </c>
      <c r="LV45" s="6" t="s">
        <v>4</v>
      </c>
      <c r="LW45" s="6" t="s">
        <v>4</v>
      </c>
      <c r="LX45" s="6" t="s">
        <v>4</v>
      </c>
      <c r="LY45" s="6" t="s">
        <v>4</v>
      </c>
      <c r="LZ45" s="6" t="s">
        <v>4</v>
      </c>
      <c r="MA45" s="6" t="s">
        <v>4</v>
      </c>
      <c r="MB45" s="6" t="s">
        <v>4</v>
      </c>
      <c r="MC45" s="6" t="s">
        <v>4</v>
      </c>
      <c r="MD45" s="6" t="s">
        <v>4</v>
      </c>
      <c r="ME45" s="6" t="s">
        <v>4</v>
      </c>
      <c r="MF45" s="6" t="s">
        <v>4</v>
      </c>
      <c r="MG45" s="6" t="s">
        <v>4</v>
      </c>
      <c r="MH45" s="6" t="s">
        <v>4</v>
      </c>
      <c r="MI45" s="6" t="s">
        <v>4</v>
      </c>
      <c r="MJ45" s="6" t="s">
        <v>4</v>
      </c>
      <c r="MK45" s="6" t="s">
        <v>4</v>
      </c>
      <c r="ML45" s="6" t="s">
        <v>4</v>
      </c>
      <c r="MM45" s="6" t="s">
        <v>4</v>
      </c>
      <c r="MN45" s="6" t="s">
        <v>4</v>
      </c>
      <c r="MO45" s="6" t="s">
        <v>4</v>
      </c>
      <c r="MP45" s="6" t="s">
        <v>4</v>
      </c>
      <c r="MQ45" s="6" t="s">
        <v>4</v>
      </c>
      <c r="MR45" s="6" t="s">
        <v>4</v>
      </c>
      <c r="MS45" s="6" t="s">
        <v>4</v>
      </c>
      <c r="MT45" s="6" t="s">
        <v>4</v>
      </c>
      <c r="MU45" s="6" t="s">
        <v>4</v>
      </c>
      <c r="MV45" s="6" t="s">
        <v>4</v>
      </c>
      <c r="MW45" s="6" t="s">
        <v>4</v>
      </c>
      <c r="MX45" s="6" t="s">
        <v>4</v>
      </c>
      <c r="MY45" s="6" t="s">
        <v>4</v>
      </c>
      <c r="MZ45" s="6" t="s">
        <v>4</v>
      </c>
      <c r="NA45" s="6" t="s">
        <v>4</v>
      </c>
      <c r="NB45" s="6" t="s">
        <v>4</v>
      </c>
      <c r="NC45" s="6" t="s">
        <v>4</v>
      </c>
      <c r="ND45" s="6" t="s">
        <v>4</v>
      </c>
      <c r="NE45" s="6" t="s">
        <v>4</v>
      </c>
      <c r="NF45" s="6" t="s">
        <v>4</v>
      </c>
      <c r="NG45" s="6" t="s">
        <v>4</v>
      </c>
      <c r="NH45" s="6" t="s">
        <v>4</v>
      </c>
      <c r="NI45" s="6" t="s">
        <v>4</v>
      </c>
      <c r="NJ45" s="6" t="s">
        <v>4</v>
      </c>
      <c r="NK45" s="6" t="s">
        <v>4</v>
      </c>
      <c r="NL45" s="6" t="s">
        <v>4</v>
      </c>
      <c r="NM45" s="6" t="s">
        <v>4</v>
      </c>
      <c r="NN45" s="6"/>
      <c r="NO45" s="6"/>
      <c r="NP45" s="6"/>
      <c r="NQ45" s="6" t="s">
        <v>4</v>
      </c>
      <c r="NR45" s="6" t="s">
        <v>4</v>
      </c>
      <c r="NS45" s="6" t="s">
        <v>4</v>
      </c>
      <c r="NT45" s="6" t="s">
        <v>4</v>
      </c>
      <c r="NU45" s="6" t="s">
        <v>4</v>
      </c>
      <c r="NV45" s="6" t="s">
        <v>4</v>
      </c>
      <c r="NW45" s="6" t="s">
        <v>4</v>
      </c>
      <c r="NX45" s="6" t="s">
        <v>4</v>
      </c>
      <c r="NY45" s="6" t="s">
        <v>4</v>
      </c>
      <c r="NZ45" s="6" t="s">
        <v>4</v>
      </c>
      <c r="OA45" s="6" t="s">
        <v>4</v>
      </c>
      <c r="OB45" s="6" t="s">
        <v>4</v>
      </c>
      <c r="OC45" s="6" t="s">
        <v>4</v>
      </c>
      <c r="OD45" s="6" t="s">
        <v>4</v>
      </c>
      <c r="OE45" s="6" t="s">
        <v>4</v>
      </c>
      <c r="OF45" s="6" t="s">
        <v>4</v>
      </c>
      <c r="OG45" s="6" t="s">
        <v>4</v>
      </c>
      <c r="OH45" s="6" t="s">
        <v>4</v>
      </c>
      <c r="OI45" s="6" t="s">
        <v>4</v>
      </c>
      <c r="OJ45" s="6" t="s">
        <v>4</v>
      </c>
      <c r="OK45" s="6" t="s">
        <v>4</v>
      </c>
      <c r="OL45" s="6" t="s">
        <v>4</v>
      </c>
      <c r="OM45" s="6" t="s">
        <v>4</v>
      </c>
      <c r="ON45" s="6" t="s">
        <v>4</v>
      </c>
      <c r="OO45" s="6" t="s">
        <v>4</v>
      </c>
      <c r="OP45" s="6" t="s">
        <v>4</v>
      </c>
      <c r="OQ45" s="6" t="s">
        <v>4</v>
      </c>
      <c r="OR45" s="6" t="s">
        <v>4</v>
      </c>
      <c r="OS45" s="6" t="s">
        <v>4</v>
      </c>
      <c r="OT45" s="6" t="s">
        <v>4</v>
      </c>
      <c r="OU45" s="6" t="s">
        <v>4</v>
      </c>
      <c r="OV45" s="6" t="s">
        <v>4</v>
      </c>
      <c r="OW45" s="6" t="s">
        <v>4</v>
      </c>
      <c r="OX45" s="6" t="s">
        <v>4</v>
      </c>
      <c r="OY45" s="6" t="s">
        <v>4</v>
      </c>
      <c r="OZ45" s="6" t="s">
        <v>4</v>
      </c>
      <c r="PA45" s="6"/>
      <c r="PB45" s="6"/>
      <c r="PC45" s="6"/>
      <c r="PD45" s="6"/>
      <c r="PE45" s="6"/>
      <c r="PF45" s="6"/>
      <c r="PG45" s="6"/>
      <c r="PH45" s="6"/>
      <c r="PI45" s="6"/>
      <c r="PJ45" s="6"/>
      <c r="PK45" s="6"/>
      <c r="PL45" s="6"/>
      <c r="PM45" s="6"/>
      <c r="PN45" s="6"/>
      <c r="PO45" s="6"/>
      <c r="PP45" s="6"/>
      <c r="PQ45" s="6"/>
      <c r="PR45" s="6"/>
      <c r="PS45" s="6"/>
      <c r="PT45" s="6" t="s">
        <v>4</v>
      </c>
      <c r="PU45" s="6" t="s">
        <v>4</v>
      </c>
      <c r="PV45" s="6" t="s">
        <v>4</v>
      </c>
      <c r="PW45" s="6" t="s">
        <v>4</v>
      </c>
      <c r="PX45" s="6" t="s">
        <v>4</v>
      </c>
      <c r="PY45" s="6" t="s">
        <v>4</v>
      </c>
      <c r="PZ45" s="6" t="s">
        <v>4</v>
      </c>
      <c r="QA45" s="6" t="s">
        <v>4</v>
      </c>
      <c r="QB45" s="6" t="s">
        <v>4</v>
      </c>
      <c r="QC45" s="6" t="s">
        <v>4</v>
      </c>
      <c r="QD45" s="6" t="s">
        <v>4</v>
      </c>
      <c r="QE45" s="6" t="s">
        <v>4</v>
      </c>
      <c r="QF45" s="6" t="s">
        <v>4</v>
      </c>
      <c r="QG45" s="6" t="s">
        <v>4</v>
      </c>
      <c r="QH45" s="6" t="s">
        <v>4</v>
      </c>
      <c r="QI45" s="6" t="s">
        <v>4</v>
      </c>
      <c r="QJ45" s="6" t="s">
        <v>4</v>
      </c>
      <c r="QK45" s="6" t="s">
        <v>4</v>
      </c>
      <c r="QL45" s="6" t="s">
        <v>4</v>
      </c>
      <c r="QM45" s="6" t="s">
        <v>4</v>
      </c>
      <c r="QN45" s="6" t="s">
        <v>4</v>
      </c>
      <c r="QO45" s="6" t="s">
        <v>4</v>
      </c>
      <c r="QP45" s="6" t="s">
        <v>4</v>
      </c>
      <c r="QQ45" s="6" t="s">
        <v>4</v>
      </c>
      <c r="QR45" s="6" t="s">
        <v>4</v>
      </c>
      <c r="QS45" s="6" t="s">
        <v>4</v>
      </c>
      <c r="QT45" s="6" t="s">
        <v>4</v>
      </c>
      <c r="QU45" s="6" t="s">
        <v>4</v>
      </c>
      <c r="QV45" s="6" t="s">
        <v>4</v>
      </c>
      <c r="QW45" s="6" t="s">
        <v>4</v>
      </c>
      <c r="QX45" s="6" t="s">
        <v>4</v>
      </c>
      <c r="QY45" s="6" t="s">
        <v>4</v>
      </c>
      <c r="QZ45" s="6" t="s">
        <v>4</v>
      </c>
      <c r="RA45" s="6" t="s">
        <v>4</v>
      </c>
      <c r="RB45" s="6" t="s">
        <v>4</v>
      </c>
      <c r="RC45" s="6" t="s">
        <v>4</v>
      </c>
      <c r="RD45" s="6" t="s">
        <v>4</v>
      </c>
      <c r="RE45" s="6" t="s">
        <v>4</v>
      </c>
      <c r="RF45" s="6" t="s">
        <v>4</v>
      </c>
      <c r="RG45" s="6" t="s">
        <v>4</v>
      </c>
      <c r="RH45" s="6" t="s">
        <v>4</v>
      </c>
      <c r="RI45" s="6" t="s">
        <v>4</v>
      </c>
      <c r="RJ45" s="6" t="s">
        <v>4</v>
      </c>
      <c r="RK45" s="6" t="s">
        <v>4</v>
      </c>
      <c r="RL45" s="6" t="s">
        <v>4</v>
      </c>
      <c r="RM45" s="6" t="s">
        <v>4</v>
      </c>
      <c r="RN45" s="6" t="s">
        <v>4</v>
      </c>
      <c r="RO45" s="6" t="s">
        <v>4</v>
      </c>
      <c r="RP45" s="6" t="s">
        <v>4</v>
      </c>
      <c r="RQ45" s="6" t="s">
        <v>4</v>
      </c>
      <c r="RR45" s="6" t="s">
        <v>4</v>
      </c>
      <c r="RS45" s="6" t="s">
        <v>4</v>
      </c>
      <c r="RT45" s="6" t="s">
        <v>4</v>
      </c>
      <c r="RU45" s="6" t="s">
        <v>4</v>
      </c>
      <c r="RV45" s="6" t="s">
        <v>4</v>
      </c>
      <c r="RW45" s="6" t="s">
        <v>4</v>
      </c>
      <c r="RX45" s="6" t="s">
        <v>4</v>
      </c>
      <c r="RY45" s="6" t="s">
        <v>4</v>
      </c>
      <c r="RZ45" s="6" t="s">
        <v>4</v>
      </c>
      <c r="SA45" s="6" t="s">
        <v>4</v>
      </c>
      <c r="SB45" s="6" t="s">
        <v>4</v>
      </c>
      <c r="SC45" s="6" t="s">
        <v>4</v>
      </c>
      <c r="SD45" s="6" t="s">
        <v>4</v>
      </c>
      <c r="SE45" s="6" t="s">
        <v>4</v>
      </c>
      <c r="SF45" s="6" t="s">
        <v>4</v>
      </c>
      <c r="SG45" s="6" t="s">
        <v>4</v>
      </c>
      <c r="SH45" s="6" t="s">
        <v>4</v>
      </c>
      <c r="SI45" s="6" t="s">
        <v>4</v>
      </c>
      <c r="SJ45" s="6" t="s">
        <v>4</v>
      </c>
      <c r="SK45" s="6" t="s">
        <v>4</v>
      </c>
      <c r="SL45" s="6" t="s">
        <v>4</v>
      </c>
      <c r="SM45" s="6" t="s">
        <v>4</v>
      </c>
      <c r="SN45" s="6" t="s">
        <v>4</v>
      </c>
      <c r="SO45" s="6" t="s">
        <v>4</v>
      </c>
      <c r="SP45" s="6" t="s">
        <v>4</v>
      </c>
      <c r="SQ45" s="6" t="s">
        <v>4</v>
      </c>
      <c r="SR45" s="6" t="s">
        <v>4</v>
      </c>
      <c r="SS45" s="6" t="s">
        <v>4</v>
      </c>
      <c r="ST45" s="6" t="s">
        <v>4</v>
      </c>
      <c r="SU45" s="6" t="s">
        <v>4</v>
      </c>
      <c r="SV45" s="6" t="s">
        <v>4</v>
      </c>
      <c r="SW45" s="6" t="s">
        <v>4</v>
      </c>
      <c r="SX45" s="6" t="s">
        <v>4</v>
      </c>
      <c r="SY45" s="6" t="s">
        <v>4</v>
      </c>
      <c r="SZ45" s="6" t="s">
        <v>4</v>
      </c>
      <c r="TA45" s="6" t="s">
        <v>4</v>
      </c>
      <c r="TB45" s="6"/>
      <c r="TC45" s="6"/>
      <c r="TD45" s="6"/>
      <c r="TE45" s="6" t="s">
        <v>4</v>
      </c>
      <c r="TF45" s="6" t="s">
        <v>4</v>
      </c>
      <c r="TG45" s="6" t="s">
        <v>4</v>
      </c>
      <c r="TH45" s="6" t="s">
        <v>4</v>
      </c>
      <c r="TI45" s="6" t="s">
        <v>4</v>
      </c>
      <c r="TJ45" s="6" t="s">
        <v>4</v>
      </c>
      <c r="TK45" s="6" t="s">
        <v>4</v>
      </c>
      <c r="TL45" s="6" t="s">
        <v>4</v>
      </c>
      <c r="TM45" s="6" t="s">
        <v>4</v>
      </c>
      <c r="TN45" s="6" t="s">
        <v>4</v>
      </c>
      <c r="TO45" s="6" t="s">
        <v>4</v>
      </c>
      <c r="TP45" s="6" t="s">
        <v>4</v>
      </c>
      <c r="TQ45" s="6" t="s">
        <v>4</v>
      </c>
      <c r="TR45" s="6" t="s">
        <v>4</v>
      </c>
      <c r="TS45" s="6" t="s">
        <v>4</v>
      </c>
      <c r="TT45" s="6" t="s">
        <v>4</v>
      </c>
      <c r="TU45" s="6" t="s">
        <v>4</v>
      </c>
      <c r="TV45" s="6" t="s">
        <v>4</v>
      </c>
      <c r="TW45" s="6" t="s">
        <v>4</v>
      </c>
      <c r="TX45" s="6" t="s">
        <v>4</v>
      </c>
      <c r="TY45" s="6" t="s">
        <v>4</v>
      </c>
      <c r="TZ45" s="6" t="s">
        <v>4</v>
      </c>
      <c r="UA45" s="6" t="s">
        <v>4</v>
      </c>
      <c r="UB45" s="6" t="s">
        <v>4</v>
      </c>
      <c r="UC45" s="6" t="s">
        <v>4</v>
      </c>
      <c r="UD45" s="6" t="s">
        <v>4</v>
      </c>
      <c r="UE45" s="6" t="s">
        <v>4</v>
      </c>
      <c r="UF45" s="6" t="s">
        <v>4</v>
      </c>
      <c r="UG45" s="6" t="s">
        <v>4</v>
      </c>
      <c r="UH45" s="6" t="s">
        <v>4</v>
      </c>
      <c r="UI45" s="6" t="s">
        <v>4</v>
      </c>
      <c r="UJ45" s="6" t="s">
        <v>4</v>
      </c>
      <c r="UK45" s="6" t="s">
        <v>4</v>
      </c>
      <c r="UL45" s="6" t="s">
        <v>4</v>
      </c>
      <c r="UM45" s="6" t="s">
        <v>4</v>
      </c>
      <c r="UN45" s="6" t="s">
        <v>4</v>
      </c>
      <c r="UO45" s="6"/>
      <c r="UP45" s="6"/>
      <c r="UQ45" s="6"/>
      <c r="UR45" s="6"/>
      <c r="US45" s="6"/>
      <c r="UT45" s="6"/>
      <c r="UU45" s="6"/>
      <c r="UV45" s="6"/>
      <c r="UW45" s="6"/>
      <c r="UX45" s="6"/>
      <c r="UY45" s="6"/>
      <c r="UZ45" s="6"/>
      <c r="VA45" s="6"/>
      <c r="VB45" s="6"/>
      <c r="VC45" s="6"/>
      <c r="VD45" s="6"/>
      <c r="VE45" s="6"/>
      <c r="VF45" s="6"/>
      <c r="VG45" s="6"/>
      <c r="VH45" s="6" t="s">
        <v>4</v>
      </c>
      <c r="VI45" s="6" t="s">
        <v>4</v>
      </c>
      <c r="VJ45" s="6" t="s">
        <v>4</v>
      </c>
      <c r="VK45" s="6" t="s">
        <v>4</v>
      </c>
      <c r="VL45" s="6" t="s">
        <v>4</v>
      </c>
      <c r="VM45" s="6" t="s">
        <v>4</v>
      </c>
      <c r="VN45" s="6" t="s">
        <v>4</v>
      </c>
      <c r="VO45" s="6" t="s">
        <v>4</v>
      </c>
      <c r="VP45" s="6" t="s">
        <v>4</v>
      </c>
      <c r="VQ45" s="6" t="s">
        <v>4</v>
      </c>
      <c r="VR45" s="6" t="s">
        <v>4</v>
      </c>
      <c r="VS45" s="6" t="s">
        <v>4</v>
      </c>
      <c r="VT45" s="6" t="s">
        <v>4</v>
      </c>
      <c r="VU45" s="6" t="s">
        <v>4</v>
      </c>
      <c r="VV45" s="6" t="s">
        <v>4</v>
      </c>
      <c r="VW45" s="6" t="s">
        <v>4</v>
      </c>
      <c r="VX45" s="6" t="s">
        <v>4</v>
      </c>
      <c r="VY45" s="6" t="s">
        <v>4</v>
      </c>
      <c r="VZ45" s="6" t="s">
        <v>4</v>
      </c>
      <c r="WA45" s="6" t="s">
        <v>4</v>
      </c>
      <c r="WB45" s="6" t="s">
        <v>4</v>
      </c>
      <c r="WC45" s="6" t="s">
        <v>4</v>
      </c>
      <c r="WD45" s="6" t="s">
        <v>4</v>
      </c>
      <c r="WE45" s="6" t="s">
        <v>4</v>
      </c>
      <c r="WF45" s="6" t="s">
        <v>4</v>
      </c>
      <c r="WG45" s="6" t="s">
        <v>4</v>
      </c>
      <c r="WH45" s="6" t="s">
        <v>4</v>
      </c>
      <c r="WI45" s="6" t="s">
        <v>4</v>
      </c>
      <c r="WJ45" s="6" t="s">
        <v>4</v>
      </c>
      <c r="WK45" s="6" t="s">
        <v>4</v>
      </c>
      <c r="WL45" s="6" t="s">
        <v>4</v>
      </c>
      <c r="WM45" s="6" t="s">
        <v>4</v>
      </c>
      <c r="WN45" s="6" t="s">
        <v>4</v>
      </c>
      <c r="WO45" s="6" t="s">
        <v>4</v>
      </c>
      <c r="WP45" s="6" t="s">
        <v>4</v>
      </c>
      <c r="WQ45" s="6" t="s">
        <v>4</v>
      </c>
      <c r="WR45" s="6" t="s">
        <v>4</v>
      </c>
      <c r="WS45" s="6" t="s">
        <v>4</v>
      </c>
      <c r="WT45" s="6" t="s">
        <v>4</v>
      </c>
      <c r="WU45" s="6" t="s">
        <v>4</v>
      </c>
      <c r="WV45" s="6" t="s">
        <v>4</v>
      </c>
      <c r="WW45" s="6" t="s">
        <v>4</v>
      </c>
      <c r="WX45" s="6" t="s">
        <v>4</v>
      </c>
      <c r="WY45" s="6" t="s">
        <v>4</v>
      </c>
      <c r="WZ45" s="6" t="s">
        <v>4</v>
      </c>
      <c r="XA45" s="6" t="s">
        <v>4</v>
      </c>
      <c r="XB45" s="6" t="s">
        <v>4</v>
      </c>
      <c r="XC45" s="6" t="s">
        <v>4</v>
      </c>
      <c r="XD45" s="6" t="s">
        <v>4</v>
      </c>
      <c r="XE45" s="6" t="s">
        <v>4</v>
      </c>
      <c r="XF45" s="6" t="s">
        <v>4</v>
      </c>
      <c r="XG45" s="6" t="s">
        <v>4</v>
      </c>
      <c r="XH45" s="6" t="s">
        <v>4</v>
      </c>
      <c r="XI45" s="6" t="s">
        <v>4</v>
      </c>
      <c r="XJ45" s="6" t="s">
        <v>4</v>
      </c>
      <c r="XK45" s="6" t="s">
        <v>4</v>
      </c>
      <c r="XL45" s="6" t="s">
        <v>4</v>
      </c>
      <c r="XM45" s="6" t="s">
        <v>4</v>
      </c>
      <c r="XN45" s="6" t="s">
        <v>4</v>
      </c>
      <c r="XO45" s="6" t="s">
        <v>4</v>
      </c>
      <c r="XP45" s="6" t="s">
        <v>4</v>
      </c>
      <c r="XQ45" s="6" t="s">
        <v>4</v>
      </c>
      <c r="XR45" s="6" t="s">
        <v>4</v>
      </c>
      <c r="XS45" s="6" t="s">
        <v>4</v>
      </c>
      <c r="XT45" s="6" t="s">
        <v>4</v>
      </c>
      <c r="XU45" s="6" t="s">
        <v>4</v>
      </c>
      <c r="XV45" s="6" t="s">
        <v>4</v>
      </c>
      <c r="XW45" s="6" t="s">
        <v>4</v>
      </c>
      <c r="XX45" s="6" t="s">
        <v>4</v>
      </c>
      <c r="XY45" s="6" t="s">
        <v>4</v>
      </c>
      <c r="XZ45" s="6" t="s">
        <v>4</v>
      </c>
      <c r="YA45" s="6" t="s">
        <v>4</v>
      </c>
      <c r="YB45" s="6" t="s">
        <v>4</v>
      </c>
      <c r="YC45" s="6" t="s">
        <v>4</v>
      </c>
      <c r="YD45" s="6" t="s">
        <v>4</v>
      </c>
      <c r="YE45" s="6" t="s">
        <v>4</v>
      </c>
      <c r="YF45" s="6" t="s">
        <v>4</v>
      </c>
      <c r="YG45" s="6" t="s">
        <v>4</v>
      </c>
      <c r="YH45" s="6" t="s">
        <v>4</v>
      </c>
      <c r="YI45" s="6" t="s">
        <v>4</v>
      </c>
      <c r="YJ45" s="6" t="s">
        <v>4</v>
      </c>
      <c r="YK45" s="6" t="s">
        <v>4</v>
      </c>
      <c r="YL45" s="6" t="s">
        <v>4</v>
      </c>
      <c r="YM45" s="6" t="s">
        <v>4</v>
      </c>
      <c r="YN45" s="6" t="s">
        <v>4</v>
      </c>
      <c r="YO45" s="6" t="s">
        <v>4</v>
      </c>
      <c r="YP45" s="6"/>
      <c r="YQ45" s="6"/>
      <c r="YR45" s="6"/>
      <c r="YS45" s="6" t="s">
        <v>4</v>
      </c>
      <c r="YT45" s="6" t="s">
        <v>4</v>
      </c>
      <c r="YU45" s="6" t="s">
        <v>4</v>
      </c>
      <c r="YV45" s="6" t="s">
        <v>4</v>
      </c>
      <c r="YW45" s="6" t="s">
        <v>4</v>
      </c>
      <c r="YX45" s="6" t="s">
        <v>4</v>
      </c>
      <c r="YY45" s="6" t="s">
        <v>4</v>
      </c>
      <c r="YZ45" s="6" t="s">
        <v>4</v>
      </c>
      <c r="ZA45" s="6" t="s">
        <v>4</v>
      </c>
      <c r="ZB45" s="6" t="s">
        <v>4</v>
      </c>
      <c r="ZC45" s="6" t="s">
        <v>4</v>
      </c>
      <c r="ZD45" s="6" t="s">
        <v>4</v>
      </c>
      <c r="ZE45" s="6" t="s">
        <v>4</v>
      </c>
      <c r="ZF45" s="6" t="s">
        <v>4</v>
      </c>
      <c r="ZG45" s="6" t="s">
        <v>4</v>
      </c>
      <c r="ZH45" s="6" t="s">
        <v>4</v>
      </c>
      <c r="ZI45" s="6" t="s">
        <v>4</v>
      </c>
      <c r="ZJ45" s="6" t="s">
        <v>4</v>
      </c>
      <c r="ZK45" s="6" t="s">
        <v>4</v>
      </c>
      <c r="ZL45" s="6" t="s">
        <v>4</v>
      </c>
      <c r="ZM45" s="6" t="s">
        <v>4</v>
      </c>
      <c r="ZN45" s="6" t="s">
        <v>4</v>
      </c>
      <c r="ZO45" s="6" t="s">
        <v>4</v>
      </c>
      <c r="ZP45" s="6" t="s">
        <v>4</v>
      </c>
      <c r="ZQ45" s="6" t="s">
        <v>4</v>
      </c>
      <c r="ZR45" s="6" t="s">
        <v>4</v>
      </c>
      <c r="ZS45" s="6" t="s">
        <v>4</v>
      </c>
      <c r="ZT45" s="6" t="s">
        <v>4</v>
      </c>
      <c r="ZU45" s="6" t="s">
        <v>4</v>
      </c>
      <c r="ZV45" s="6" t="s">
        <v>4</v>
      </c>
      <c r="ZW45" s="6" t="s">
        <v>4</v>
      </c>
      <c r="ZX45" s="6" t="s">
        <v>4</v>
      </c>
      <c r="ZY45" s="6" t="s">
        <v>4</v>
      </c>
      <c r="ZZ45" s="6" t="s">
        <v>4</v>
      </c>
      <c r="AAA45" s="6" t="s">
        <v>4</v>
      </c>
      <c r="AAB45" s="6" t="s">
        <v>4</v>
      </c>
      <c r="AAC45" s="6"/>
      <c r="AAD45" s="6"/>
      <c r="AAE45" s="6"/>
      <c r="AAF45" s="6"/>
      <c r="AAG45" s="6"/>
      <c r="AAH45" s="6"/>
      <c r="AAI45" s="6"/>
      <c r="AAJ45" s="6"/>
      <c r="AAK45" s="6"/>
      <c r="AAL45" s="6"/>
      <c r="AAM45" s="6"/>
      <c r="AAN45" s="6"/>
      <c r="AAO45" s="6"/>
      <c r="AAP45" s="6"/>
      <c r="AAQ45" s="6"/>
      <c r="AAR45" s="6"/>
      <c r="AAS45" s="6"/>
      <c r="AAT45" s="6"/>
      <c r="AAU45" s="6"/>
      <c r="AAV45" s="6" t="s">
        <v>4</v>
      </c>
      <c r="AAW45" s="6" t="s">
        <v>4</v>
      </c>
      <c r="AAX45" s="6" t="s">
        <v>4</v>
      </c>
      <c r="AAY45" s="6" t="s">
        <v>4</v>
      </c>
      <c r="AAZ45" s="6" t="s">
        <v>4</v>
      </c>
      <c r="ABA45" s="6" t="s">
        <v>4</v>
      </c>
      <c r="ABB45" s="6" t="s">
        <v>4</v>
      </c>
      <c r="ABC45" s="6" t="s">
        <v>4</v>
      </c>
      <c r="ABD45" s="6" t="s">
        <v>4</v>
      </c>
      <c r="ABE45" s="6" t="s">
        <v>4</v>
      </c>
      <c r="ABF45" s="6" t="s">
        <v>4</v>
      </c>
      <c r="ABG45" s="6" t="s">
        <v>4</v>
      </c>
      <c r="ABH45" s="6" t="s">
        <v>4</v>
      </c>
      <c r="ABI45" s="6" t="s">
        <v>4</v>
      </c>
      <c r="ABJ45" s="6" t="s">
        <v>4</v>
      </c>
      <c r="ABK45" s="6" t="s">
        <v>4</v>
      </c>
      <c r="ABL45" s="6" t="s">
        <v>4</v>
      </c>
      <c r="ABM45" s="6" t="s">
        <v>4</v>
      </c>
      <c r="ABN45" s="6" t="s">
        <v>4</v>
      </c>
      <c r="ABO45" s="6" t="s">
        <v>4</v>
      </c>
      <c r="ABP45" s="6" t="s">
        <v>4</v>
      </c>
      <c r="ABQ45" s="6" t="s">
        <v>4</v>
      </c>
      <c r="ABR45" s="6" t="s">
        <v>4</v>
      </c>
      <c r="ABS45" s="6" t="s">
        <v>4</v>
      </c>
      <c r="ABT45" s="6" t="s">
        <v>4</v>
      </c>
      <c r="ABU45" s="6" t="s">
        <v>4</v>
      </c>
      <c r="ABV45" s="6" t="s">
        <v>4</v>
      </c>
      <c r="ABW45" s="6" t="s">
        <v>4</v>
      </c>
      <c r="ABX45" s="6" t="s">
        <v>4</v>
      </c>
      <c r="ABY45" s="6" t="s">
        <v>4</v>
      </c>
      <c r="ABZ45" s="6" t="s">
        <v>4</v>
      </c>
      <c r="ACA45" s="6" t="s">
        <v>4</v>
      </c>
      <c r="ACB45" s="6" t="s">
        <v>4</v>
      </c>
      <c r="ACC45" s="6" t="s">
        <v>4</v>
      </c>
      <c r="ACD45" s="6" t="s">
        <v>4</v>
      </c>
      <c r="ACE45" s="6" t="s">
        <v>4</v>
      </c>
      <c r="ACF45" s="6" t="s">
        <v>4</v>
      </c>
      <c r="ACG45" s="6" t="s">
        <v>4</v>
      </c>
      <c r="ACH45" s="6" t="s">
        <v>4</v>
      </c>
      <c r="ACI45" s="6" t="s">
        <v>4</v>
      </c>
      <c r="ACJ45" s="6" t="s">
        <v>4</v>
      </c>
      <c r="ACK45" s="6" t="s">
        <v>4</v>
      </c>
      <c r="ACL45" s="6" t="s">
        <v>4</v>
      </c>
      <c r="ACM45" s="6" t="s">
        <v>4</v>
      </c>
      <c r="ACN45" s="6" t="s">
        <v>4</v>
      </c>
      <c r="ACO45" s="6" t="s">
        <v>4</v>
      </c>
      <c r="ACP45" s="6" t="s">
        <v>4</v>
      </c>
      <c r="ACQ45" s="6" t="s">
        <v>4</v>
      </c>
      <c r="ACR45" s="6" t="s">
        <v>4</v>
      </c>
      <c r="ACS45" s="6" t="s">
        <v>4</v>
      </c>
      <c r="ACT45" s="6" t="s">
        <v>4</v>
      </c>
      <c r="ACU45" s="6" t="s">
        <v>4</v>
      </c>
      <c r="ACV45" s="6" t="s">
        <v>4</v>
      </c>
      <c r="ACW45" s="6" t="s">
        <v>4</v>
      </c>
      <c r="ACX45" s="6" t="s">
        <v>4</v>
      </c>
      <c r="ACY45" s="6" t="s">
        <v>4</v>
      </c>
      <c r="ACZ45" s="6" t="s">
        <v>4</v>
      </c>
      <c r="ADA45" s="6" t="s">
        <v>4</v>
      </c>
      <c r="ADB45" s="6" t="s">
        <v>4</v>
      </c>
      <c r="ADC45" s="6" t="s">
        <v>4</v>
      </c>
      <c r="ADD45" s="6" t="s">
        <v>4</v>
      </c>
      <c r="ADE45" s="6" t="s">
        <v>4</v>
      </c>
      <c r="ADF45" s="6" t="s">
        <v>4</v>
      </c>
      <c r="ADG45" s="6" t="s">
        <v>4</v>
      </c>
      <c r="ADH45" s="6" t="s">
        <v>4</v>
      </c>
      <c r="ADI45" s="6" t="s">
        <v>4</v>
      </c>
      <c r="ADJ45" s="6" t="s">
        <v>4</v>
      </c>
      <c r="ADK45" s="6" t="s">
        <v>4</v>
      </c>
      <c r="ADL45" s="6" t="s">
        <v>4</v>
      </c>
      <c r="ADM45" s="6" t="s">
        <v>4</v>
      </c>
      <c r="ADN45" s="6" t="s">
        <v>4</v>
      </c>
      <c r="ADO45" s="6" t="s">
        <v>4</v>
      </c>
      <c r="ADP45" s="6" t="s">
        <v>4</v>
      </c>
      <c r="ADQ45" s="6" t="s">
        <v>4</v>
      </c>
      <c r="ADR45" s="6" t="s">
        <v>4</v>
      </c>
      <c r="ADS45" s="6" t="s">
        <v>4</v>
      </c>
      <c r="ADT45" s="6" t="s">
        <v>4</v>
      </c>
      <c r="ADU45" s="6" t="s">
        <v>4</v>
      </c>
      <c r="ADV45" s="6" t="s">
        <v>4</v>
      </c>
      <c r="ADW45" s="6" t="s">
        <v>4</v>
      </c>
      <c r="ADX45" s="6" t="s">
        <v>4</v>
      </c>
      <c r="ADY45" s="6" t="s">
        <v>4</v>
      </c>
      <c r="ADZ45" s="6" t="s">
        <v>4</v>
      </c>
      <c r="AEA45" s="6" t="s">
        <v>4</v>
      </c>
      <c r="AEB45" s="6" t="s">
        <v>4</v>
      </c>
      <c r="AEC45" s="6" t="s">
        <v>4</v>
      </c>
      <c r="AED45" s="6"/>
      <c r="AEE45" s="6"/>
      <c r="AEF45" s="6"/>
      <c r="AEG45" s="6" t="s">
        <v>4</v>
      </c>
      <c r="AEH45" s="6" t="s">
        <v>4</v>
      </c>
      <c r="AEI45" s="6" t="s">
        <v>4</v>
      </c>
      <c r="AEJ45" s="6" t="s">
        <v>4</v>
      </c>
      <c r="AEK45" s="6" t="s">
        <v>4</v>
      </c>
      <c r="AEL45" s="6" t="s">
        <v>4</v>
      </c>
      <c r="AEM45" s="6" t="s">
        <v>4</v>
      </c>
      <c r="AEN45" s="6" t="s">
        <v>4</v>
      </c>
      <c r="AEO45" s="6" t="s">
        <v>4</v>
      </c>
      <c r="AEP45" s="6" t="s">
        <v>4</v>
      </c>
      <c r="AEQ45" s="6" t="s">
        <v>4</v>
      </c>
      <c r="AER45" s="6" t="s">
        <v>4</v>
      </c>
      <c r="AES45" s="6" t="s">
        <v>4</v>
      </c>
      <c r="AET45" s="6" t="s">
        <v>4</v>
      </c>
      <c r="AEU45" s="6" t="s">
        <v>4</v>
      </c>
      <c r="AEV45" s="6" t="s">
        <v>4</v>
      </c>
      <c r="AEW45" s="6" t="s">
        <v>4</v>
      </c>
      <c r="AEX45" s="6" t="s">
        <v>4</v>
      </c>
      <c r="AEY45" s="6" t="s">
        <v>4</v>
      </c>
      <c r="AEZ45" s="6" t="s">
        <v>4</v>
      </c>
      <c r="AFA45" s="6" t="s">
        <v>4</v>
      </c>
      <c r="AFB45" s="6" t="s">
        <v>4</v>
      </c>
      <c r="AFC45" s="6" t="s">
        <v>4</v>
      </c>
      <c r="AFD45" s="6" t="s">
        <v>4</v>
      </c>
      <c r="AFE45" s="6" t="s">
        <v>4</v>
      </c>
      <c r="AFF45" s="6" t="s">
        <v>4</v>
      </c>
      <c r="AFG45" s="6" t="s">
        <v>4</v>
      </c>
      <c r="AFH45" s="6" t="s">
        <v>4</v>
      </c>
      <c r="AFI45" s="6" t="s">
        <v>4</v>
      </c>
      <c r="AFJ45" s="6" t="s">
        <v>4</v>
      </c>
      <c r="AFK45" s="6" t="s">
        <v>4</v>
      </c>
      <c r="AFL45" s="6" t="s">
        <v>4</v>
      </c>
      <c r="AFM45" s="6" t="s">
        <v>4</v>
      </c>
      <c r="AFN45" s="6" t="s">
        <v>4</v>
      </c>
      <c r="AFO45" s="6" t="s">
        <v>4</v>
      </c>
      <c r="AFP45" s="6" t="s">
        <v>4</v>
      </c>
      <c r="AFQ45" s="6"/>
      <c r="AFR45" s="6"/>
      <c r="AFS45" s="6"/>
      <c r="AFT45" s="6"/>
      <c r="AFU45" s="6"/>
      <c r="AFV45" s="6"/>
      <c r="AFW45" s="6"/>
      <c r="AFX45" s="6"/>
      <c r="AFY45" s="6"/>
      <c r="AFZ45" s="6"/>
      <c r="AGA45" s="6"/>
      <c r="AGB45" s="6"/>
      <c r="AGC45" s="6"/>
      <c r="AGD45" s="6"/>
      <c r="AGE45" s="6"/>
      <c r="AGF45" s="6"/>
      <c r="AGG45" s="6"/>
      <c r="AGH45" s="6"/>
      <c r="AGI45" s="6"/>
      <c r="AGJ45" s="6" t="s">
        <v>4</v>
      </c>
      <c r="AGK45" s="6" t="s">
        <v>4</v>
      </c>
      <c r="AGL45" s="6" t="s">
        <v>4</v>
      </c>
      <c r="AGM45" s="6" t="s">
        <v>4</v>
      </c>
      <c r="AGN45" s="6" t="s">
        <v>4</v>
      </c>
      <c r="AGO45" s="6" t="s">
        <v>4</v>
      </c>
      <c r="AGP45" s="6" t="s">
        <v>4</v>
      </c>
      <c r="AGQ45" s="6" t="s">
        <v>4</v>
      </c>
      <c r="AGR45" s="6" t="s">
        <v>4</v>
      </c>
      <c r="AGS45" s="6" t="s">
        <v>4</v>
      </c>
      <c r="AGT45" s="6" t="s">
        <v>4</v>
      </c>
      <c r="AGU45" s="6" t="s">
        <v>4</v>
      </c>
      <c r="AGV45" s="6" t="s">
        <v>4</v>
      </c>
      <c r="AGW45" s="6" t="s">
        <v>4</v>
      </c>
      <c r="AGX45" s="6" t="s">
        <v>4</v>
      </c>
      <c r="AGY45" s="6" t="s">
        <v>4</v>
      </c>
      <c r="AGZ45" s="6" t="s">
        <v>4</v>
      </c>
      <c r="AHA45" s="6" t="s">
        <v>4</v>
      </c>
      <c r="AHB45" s="6" t="s">
        <v>4</v>
      </c>
      <c r="AHC45" s="6" t="s">
        <v>4</v>
      </c>
      <c r="AHD45" s="6" t="s">
        <v>4</v>
      </c>
      <c r="AHE45" s="6" t="s">
        <v>4</v>
      </c>
      <c r="AHF45" s="6" t="s">
        <v>4</v>
      </c>
      <c r="AHG45" s="6" t="s">
        <v>4</v>
      </c>
      <c r="AHH45" s="6" t="s">
        <v>4</v>
      </c>
      <c r="AHI45" s="6" t="s">
        <v>4</v>
      </c>
      <c r="AHJ45" s="6" t="s">
        <v>4</v>
      </c>
      <c r="AHK45" s="6" t="s">
        <v>4</v>
      </c>
      <c r="AHL45" s="6" t="s">
        <v>4</v>
      </c>
      <c r="AHM45" s="6" t="s">
        <v>4</v>
      </c>
      <c r="AHN45" s="6" t="s">
        <v>4</v>
      </c>
      <c r="AHO45" s="6" t="s">
        <v>4</v>
      </c>
      <c r="AHP45" s="6" t="s">
        <v>4</v>
      </c>
      <c r="AHQ45" s="6" t="s">
        <v>4</v>
      </c>
      <c r="AHR45" s="6" t="s">
        <v>4</v>
      </c>
      <c r="AHS45" s="6" t="s">
        <v>4</v>
      </c>
      <c r="AHT45" s="6" t="s">
        <v>4</v>
      </c>
      <c r="AHU45" s="6" t="s">
        <v>4</v>
      </c>
      <c r="AHV45" s="6" t="s">
        <v>4</v>
      </c>
      <c r="AHW45" s="6" t="s">
        <v>4</v>
      </c>
      <c r="AHX45" s="6" t="s">
        <v>4</v>
      </c>
      <c r="AHY45" s="6" t="s">
        <v>4</v>
      </c>
      <c r="AHZ45" s="6" t="s">
        <v>4</v>
      </c>
      <c r="AIA45" s="6" t="s">
        <v>4</v>
      </c>
      <c r="AIB45" s="6" t="s">
        <v>4</v>
      </c>
      <c r="AIC45" s="6" t="s">
        <v>4</v>
      </c>
      <c r="AID45" s="6" t="s">
        <v>4</v>
      </c>
      <c r="AIE45" s="6" t="s">
        <v>4</v>
      </c>
      <c r="AIF45" s="6" t="s">
        <v>4</v>
      </c>
      <c r="AIG45" s="6" t="s">
        <v>4</v>
      </c>
      <c r="AIH45" s="6" t="s">
        <v>4</v>
      </c>
      <c r="AII45" s="6" t="s">
        <v>4</v>
      </c>
      <c r="AIJ45" s="6" t="s">
        <v>4</v>
      </c>
      <c r="AIK45" s="6" t="s">
        <v>4</v>
      </c>
      <c r="AIL45" s="6" t="s">
        <v>4</v>
      </c>
      <c r="AIM45" s="6" t="s">
        <v>4</v>
      </c>
      <c r="AIN45" s="6" t="s">
        <v>4</v>
      </c>
      <c r="AIO45" s="6" t="s">
        <v>4</v>
      </c>
      <c r="AIP45" s="6" t="s">
        <v>4</v>
      </c>
      <c r="AIQ45" s="6" t="s">
        <v>4</v>
      </c>
      <c r="AIR45" s="6" t="s">
        <v>4</v>
      </c>
      <c r="AIS45" s="6" t="s">
        <v>4</v>
      </c>
      <c r="AIT45" s="6" t="s">
        <v>4</v>
      </c>
      <c r="AIU45" s="6" t="s">
        <v>4</v>
      </c>
      <c r="AIV45" s="6" t="s">
        <v>4</v>
      </c>
      <c r="AIW45" s="6" t="s">
        <v>4</v>
      </c>
      <c r="AIX45" s="6" t="s">
        <v>4</v>
      </c>
      <c r="AIY45" s="6" t="s">
        <v>4</v>
      </c>
      <c r="AIZ45" s="6" t="s">
        <v>4</v>
      </c>
      <c r="AJA45" s="6" t="s">
        <v>4</v>
      </c>
      <c r="AJB45" s="6" t="s">
        <v>4</v>
      </c>
      <c r="AJC45" s="6" t="s">
        <v>4</v>
      </c>
      <c r="AJD45" s="6" t="s">
        <v>4</v>
      </c>
      <c r="AJE45" s="6" t="s">
        <v>4</v>
      </c>
      <c r="AJF45" s="6" t="s">
        <v>4</v>
      </c>
      <c r="AJG45" s="6" t="s">
        <v>4</v>
      </c>
      <c r="AJH45" s="6" t="s">
        <v>4</v>
      </c>
      <c r="AJI45" s="6" t="s">
        <v>4</v>
      </c>
      <c r="AJJ45" s="6" t="s">
        <v>4</v>
      </c>
      <c r="AJK45" s="6" t="s">
        <v>4</v>
      </c>
      <c r="AJL45" s="6" t="s">
        <v>4</v>
      </c>
      <c r="AJM45" s="6" t="s">
        <v>4</v>
      </c>
      <c r="AJN45" s="6" t="s">
        <v>4</v>
      </c>
      <c r="AJO45" s="6" t="s">
        <v>4</v>
      </c>
      <c r="AJP45" s="6" t="s">
        <v>4</v>
      </c>
      <c r="AJQ45" s="6" t="s">
        <v>4</v>
      </c>
      <c r="AJR45" s="6"/>
      <c r="AJS45" s="6"/>
      <c r="AJT45" s="6"/>
      <c r="AJU45" s="6" t="s">
        <v>4</v>
      </c>
      <c r="AJV45" s="6" t="s">
        <v>4</v>
      </c>
      <c r="AJW45" s="6" t="s">
        <v>4</v>
      </c>
      <c r="AJX45" s="6" t="s">
        <v>4</v>
      </c>
      <c r="AJY45" s="6" t="s">
        <v>4</v>
      </c>
      <c r="AJZ45" s="6" t="s">
        <v>4</v>
      </c>
      <c r="AKA45" s="6" t="s">
        <v>4</v>
      </c>
      <c r="AKB45" s="6" t="s">
        <v>4</v>
      </c>
      <c r="AKC45" s="6" t="s">
        <v>4</v>
      </c>
      <c r="AKD45" s="6" t="s">
        <v>4</v>
      </c>
      <c r="AKE45" s="6" t="s">
        <v>4</v>
      </c>
      <c r="AKF45" s="6" t="s">
        <v>4</v>
      </c>
      <c r="AKG45" s="6" t="s">
        <v>4</v>
      </c>
      <c r="AKH45" s="6" t="s">
        <v>4</v>
      </c>
      <c r="AKI45" s="6" t="s">
        <v>4</v>
      </c>
      <c r="AKJ45" s="6" t="s">
        <v>4</v>
      </c>
      <c r="AKK45" s="6" t="s">
        <v>4</v>
      </c>
      <c r="AKL45" s="6" t="s">
        <v>4</v>
      </c>
      <c r="AKM45" s="6" t="s">
        <v>4</v>
      </c>
      <c r="AKN45" s="6" t="s">
        <v>4</v>
      </c>
      <c r="AKO45" s="6" t="s">
        <v>4</v>
      </c>
      <c r="AKP45" s="6" t="s">
        <v>4</v>
      </c>
      <c r="AKQ45" s="6" t="s">
        <v>4</v>
      </c>
      <c r="AKR45" s="6" t="s">
        <v>4</v>
      </c>
      <c r="AKS45" s="6" t="s">
        <v>4</v>
      </c>
      <c r="AKT45" s="6" t="s">
        <v>4</v>
      </c>
      <c r="AKU45" s="6" t="s">
        <v>4</v>
      </c>
      <c r="AKV45" s="6" t="s">
        <v>4</v>
      </c>
      <c r="AKW45" s="6" t="s">
        <v>4</v>
      </c>
      <c r="AKX45" s="6" t="s">
        <v>4</v>
      </c>
      <c r="AKY45" s="6" t="s">
        <v>4</v>
      </c>
      <c r="AKZ45" s="6" t="s">
        <v>4</v>
      </c>
      <c r="ALA45" s="6" t="s">
        <v>4</v>
      </c>
      <c r="ALB45" s="6" t="s">
        <v>4</v>
      </c>
      <c r="ALC45" s="6" t="s">
        <v>4</v>
      </c>
      <c r="ALD45" s="6" t="s">
        <v>4</v>
      </c>
      <c r="ALE45" s="6"/>
      <c r="ALF45" s="6"/>
      <c r="ALG45" s="6"/>
      <c r="ALH45" s="6"/>
      <c r="ALI45" s="6"/>
      <c r="ALJ45" s="6"/>
      <c r="ALK45" s="6"/>
      <c r="ALL45" s="6"/>
      <c r="ALM45" s="6"/>
      <c r="ALN45" s="6"/>
      <c r="ALO45" s="6"/>
      <c r="ALP45" s="6"/>
      <c r="ALQ45" s="6"/>
      <c r="ALR45" s="6"/>
      <c r="ALS45" s="6"/>
      <c r="ALT45" s="6"/>
      <c r="ALU45" s="6"/>
      <c r="ALV45" s="6"/>
      <c r="ALW45" s="6"/>
    </row>
    <row r="46" spans="2:1011" outlineLevel="1" x14ac:dyDescent="0.25">
      <c r="C46" s="9" t="s">
        <v>12</v>
      </c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 t="s">
        <v>12</v>
      </c>
      <c r="CM46" s="17" t="s">
        <v>12</v>
      </c>
      <c r="CN46" s="17" t="s">
        <v>12</v>
      </c>
      <c r="CO46" s="17"/>
      <c r="CP46" s="17"/>
      <c r="CQ46" s="17"/>
      <c r="CR46" s="17"/>
      <c r="CS46" s="17"/>
      <c r="CT46" s="17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17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17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17"/>
      <c r="EQ46" s="17"/>
      <c r="ER46" s="17"/>
      <c r="ES46" s="17"/>
      <c r="ET46" s="17"/>
      <c r="EU46" s="17"/>
      <c r="EV46" s="17"/>
      <c r="EW46" s="17"/>
      <c r="EX46" s="17"/>
      <c r="EY46" s="17"/>
      <c r="EZ46" s="17"/>
      <c r="FA46" s="17"/>
      <c r="FB46" s="17"/>
      <c r="FC46" s="17"/>
      <c r="FD46" s="17"/>
      <c r="FE46" s="17"/>
      <c r="FF46" s="17"/>
      <c r="FG46" s="17"/>
      <c r="FH46" s="17"/>
      <c r="FI46" s="17"/>
      <c r="FJ46" s="17"/>
      <c r="FK46" s="17"/>
      <c r="FL46" s="17"/>
      <c r="FM46" s="17"/>
      <c r="FN46" s="17"/>
      <c r="FO46" s="17"/>
      <c r="FP46" s="17"/>
      <c r="FQ46" s="17"/>
      <c r="FR46" s="17"/>
      <c r="FS46" s="17"/>
      <c r="FT46" s="17"/>
      <c r="FU46" s="17"/>
      <c r="FV46" s="17"/>
      <c r="FW46" s="17"/>
      <c r="FX46" s="17"/>
      <c r="FY46" s="17"/>
      <c r="FZ46" s="17"/>
      <c r="GA46" s="17"/>
      <c r="GB46" s="17"/>
      <c r="GC46" s="17"/>
      <c r="GD46" s="17"/>
      <c r="GE46" s="17"/>
      <c r="GF46" s="17"/>
      <c r="GG46" s="17"/>
      <c r="GH46" s="17"/>
      <c r="GI46" s="17"/>
      <c r="GJ46" s="17"/>
      <c r="GK46" s="17"/>
      <c r="GL46" s="17"/>
      <c r="GM46" s="17"/>
      <c r="GN46" s="17"/>
      <c r="GO46" s="17"/>
      <c r="GP46" s="17"/>
      <c r="GQ46" s="17"/>
      <c r="GR46" s="17"/>
      <c r="GS46" s="17"/>
      <c r="GT46" s="17"/>
      <c r="GU46" s="17"/>
      <c r="GV46" s="17"/>
      <c r="GW46" s="17"/>
      <c r="GX46" s="17"/>
      <c r="GY46" s="17"/>
      <c r="GZ46" s="17"/>
      <c r="HA46" s="17"/>
      <c r="HB46" s="17"/>
      <c r="HC46" s="17"/>
      <c r="HD46" s="17"/>
      <c r="HE46" s="17"/>
      <c r="HF46" s="17"/>
      <c r="HG46" s="17"/>
      <c r="HH46" s="17"/>
      <c r="HI46" s="17"/>
      <c r="HJ46" s="17"/>
      <c r="HK46" s="17"/>
      <c r="HL46" s="17"/>
      <c r="HM46" s="17"/>
      <c r="HN46" s="17"/>
      <c r="HO46" s="17"/>
      <c r="HP46" s="17"/>
      <c r="HQ46" s="17"/>
      <c r="HR46" s="17"/>
      <c r="HS46" s="17"/>
      <c r="HT46" s="17"/>
      <c r="HU46" s="17"/>
      <c r="HV46" s="17"/>
      <c r="HW46" s="17"/>
      <c r="HX46" s="17"/>
      <c r="HY46" s="17"/>
      <c r="HZ46" s="17"/>
      <c r="IA46" s="17"/>
      <c r="IB46" s="17"/>
      <c r="IC46" s="17"/>
      <c r="ID46" s="17"/>
      <c r="IE46" s="17"/>
      <c r="IF46" s="17"/>
      <c r="IG46" s="17"/>
      <c r="IH46" s="17"/>
      <c r="II46" s="17"/>
      <c r="IJ46" s="17"/>
      <c r="IK46" s="17"/>
      <c r="IL46" s="17"/>
      <c r="IM46" s="17"/>
      <c r="IN46" s="17"/>
      <c r="IO46" s="17"/>
      <c r="IP46" s="17"/>
      <c r="IQ46" s="17"/>
      <c r="IR46" s="17"/>
      <c r="IS46" s="17"/>
      <c r="IT46" s="17"/>
      <c r="IU46" s="17"/>
      <c r="IV46" s="17"/>
      <c r="IW46" s="17"/>
      <c r="IX46" s="17"/>
      <c r="IY46" s="17"/>
      <c r="IZ46" s="17"/>
      <c r="JA46" s="17"/>
      <c r="JB46" s="17"/>
      <c r="JC46" s="17"/>
      <c r="JD46" s="17"/>
      <c r="JE46" s="17"/>
      <c r="JF46" s="17"/>
      <c r="JG46" s="17"/>
      <c r="JH46" s="17"/>
      <c r="JI46" s="17"/>
      <c r="JJ46" s="17"/>
      <c r="JK46" s="17"/>
      <c r="JL46" s="17"/>
      <c r="JM46" s="17"/>
      <c r="JN46" s="17"/>
      <c r="JO46" s="17"/>
      <c r="JP46" s="17"/>
      <c r="JQ46" s="17"/>
      <c r="JR46" s="17"/>
      <c r="JS46" s="17"/>
      <c r="JT46" s="17"/>
      <c r="JU46" s="17"/>
      <c r="JV46" s="17"/>
      <c r="JW46" s="17"/>
      <c r="JX46" s="17"/>
      <c r="JY46" s="17"/>
      <c r="JZ46" s="17"/>
      <c r="KA46" s="17"/>
      <c r="KB46" s="17"/>
      <c r="KC46" s="17"/>
      <c r="KD46" s="17"/>
      <c r="KE46" s="17"/>
      <c r="KF46" s="17"/>
      <c r="KG46" s="17"/>
      <c r="KH46" s="17"/>
      <c r="KI46" s="17"/>
      <c r="KJ46" s="17"/>
      <c r="KK46" s="17"/>
      <c r="KL46" s="17"/>
      <c r="KM46" s="17"/>
      <c r="KN46" s="17"/>
      <c r="KO46" s="17"/>
      <c r="KP46" s="17"/>
      <c r="KQ46" s="17"/>
      <c r="KR46" s="17"/>
      <c r="KS46" s="17"/>
      <c r="KT46" s="17"/>
      <c r="KU46" s="17"/>
      <c r="KV46" s="17"/>
      <c r="KW46" s="17"/>
      <c r="KX46" s="17"/>
      <c r="KY46" s="17"/>
      <c r="KZ46" s="17"/>
      <c r="LA46" s="17"/>
      <c r="LB46" s="17"/>
      <c r="LC46" s="17"/>
      <c r="LD46" s="17"/>
      <c r="LE46" s="17"/>
      <c r="LF46" s="17"/>
      <c r="LG46" s="17"/>
      <c r="LH46" s="17"/>
      <c r="LI46" s="17"/>
      <c r="LJ46" s="17"/>
      <c r="LK46" s="17"/>
      <c r="LL46" s="17"/>
      <c r="LM46" s="17"/>
      <c r="LN46" s="17"/>
      <c r="LO46" s="17"/>
      <c r="LP46" s="17"/>
      <c r="LQ46" s="17"/>
      <c r="LR46" s="17"/>
      <c r="LS46" s="17"/>
      <c r="LT46" s="17"/>
      <c r="LU46" s="17"/>
      <c r="LV46" s="17"/>
      <c r="LW46" s="17"/>
      <c r="LX46" s="17"/>
      <c r="LY46" s="17"/>
      <c r="LZ46" s="17"/>
      <c r="MA46" s="17"/>
      <c r="MB46" s="17"/>
      <c r="MC46" s="17"/>
      <c r="MD46" s="17"/>
      <c r="ME46" s="17"/>
      <c r="MF46" s="17"/>
      <c r="MG46" s="17"/>
      <c r="MH46" s="17"/>
      <c r="MI46" s="17"/>
      <c r="MJ46" s="17"/>
      <c r="MK46" s="17"/>
      <c r="ML46" s="17"/>
      <c r="MM46" s="17"/>
      <c r="MN46" s="17"/>
      <c r="MO46" s="17"/>
      <c r="MP46" s="17"/>
      <c r="MQ46" s="17"/>
      <c r="MR46" s="17"/>
      <c r="MS46" s="17"/>
      <c r="MT46" s="17"/>
      <c r="MU46" s="17"/>
      <c r="MV46" s="17"/>
      <c r="MW46" s="17"/>
      <c r="MX46" s="17"/>
      <c r="MY46" s="17"/>
      <c r="MZ46" s="17"/>
      <c r="NA46" s="17"/>
      <c r="NB46" s="17"/>
      <c r="NC46" s="17"/>
      <c r="ND46" s="17"/>
      <c r="NE46" s="17"/>
      <c r="NF46" s="17"/>
      <c r="NG46" s="17"/>
      <c r="NH46" s="17"/>
      <c r="NI46" s="17"/>
      <c r="NJ46" s="17"/>
      <c r="NK46" s="17"/>
      <c r="NL46" s="17"/>
      <c r="NM46" s="17"/>
      <c r="NN46" s="17" t="s">
        <v>12</v>
      </c>
      <c r="NO46" s="17" t="s">
        <v>12</v>
      </c>
      <c r="NP46" s="17" t="s">
        <v>12</v>
      </c>
      <c r="NQ46" s="17"/>
      <c r="NR46" s="17"/>
      <c r="NS46" s="17"/>
      <c r="NT46" s="17"/>
      <c r="NU46" s="17"/>
      <c r="NV46" s="17"/>
      <c r="NW46" s="17"/>
      <c r="NX46" s="17"/>
      <c r="NY46" s="17"/>
      <c r="NZ46" s="17"/>
      <c r="OA46" s="17"/>
      <c r="OB46" s="17"/>
      <c r="OC46" s="17"/>
      <c r="OD46" s="17"/>
      <c r="OE46" s="17"/>
      <c r="OF46" s="17"/>
      <c r="OG46" s="17"/>
      <c r="OH46" s="17"/>
      <c r="OI46" s="17"/>
      <c r="OJ46" s="17"/>
      <c r="OK46" s="17"/>
      <c r="OL46" s="17"/>
      <c r="OM46" s="17"/>
      <c r="ON46" s="17"/>
      <c r="OO46" s="17"/>
      <c r="OP46" s="17"/>
      <c r="OQ46" s="17"/>
      <c r="OR46" s="17"/>
      <c r="OS46" s="17"/>
      <c r="OT46" s="17"/>
      <c r="OU46" s="17"/>
      <c r="OV46" s="17"/>
      <c r="OW46" s="17"/>
      <c r="OX46" s="17"/>
      <c r="OY46" s="17"/>
      <c r="OZ46" s="17"/>
      <c r="PA46" s="17"/>
      <c r="PB46" s="17"/>
      <c r="PC46" s="17"/>
      <c r="PD46" s="17"/>
      <c r="PE46" s="17"/>
      <c r="PF46" s="17"/>
      <c r="PG46" s="17"/>
      <c r="PH46" s="17"/>
      <c r="PI46" s="17"/>
      <c r="PJ46" s="17"/>
      <c r="PK46" s="17"/>
      <c r="PL46" s="17"/>
      <c r="PM46" s="17"/>
      <c r="PN46" s="17"/>
      <c r="PO46" s="17"/>
      <c r="PP46" s="17"/>
      <c r="PQ46" s="17"/>
      <c r="PR46" s="17"/>
      <c r="PS46" s="17"/>
      <c r="PT46" s="17"/>
      <c r="PU46" s="17"/>
      <c r="PV46" s="17"/>
      <c r="PW46" s="17"/>
      <c r="PX46" s="17"/>
      <c r="PY46" s="17"/>
      <c r="PZ46" s="17"/>
      <c r="QA46" s="17"/>
      <c r="QB46" s="17"/>
      <c r="QC46" s="17"/>
      <c r="QD46" s="17"/>
      <c r="QE46" s="17"/>
      <c r="QF46" s="17"/>
      <c r="QG46" s="17"/>
      <c r="QH46" s="17"/>
      <c r="QI46" s="17"/>
      <c r="QJ46" s="17"/>
      <c r="QK46" s="17"/>
      <c r="QL46" s="17"/>
      <c r="QM46" s="17"/>
      <c r="QN46" s="17"/>
      <c r="QO46" s="17"/>
      <c r="QP46" s="17"/>
      <c r="QQ46" s="17"/>
      <c r="QR46" s="17"/>
      <c r="QS46" s="17"/>
      <c r="QT46" s="17"/>
      <c r="QU46" s="17"/>
      <c r="QV46" s="17"/>
      <c r="QW46" s="17"/>
      <c r="QX46" s="17"/>
      <c r="QY46" s="17"/>
      <c r="QZ46" s="17"/>
      <c r="RA46" s="17"/>
      <c r="RB46" s="17"/>
      <c r="RC46" s="17"/>
      <c r="RD46" s="17"/>
      <c r="RE46" s="17"/>
      <c r="RF46" s="17"/>
      <c r="RG46" s="17"/>
      <c r="RH46" s="17"/>
      <c r="RI46" s="17"/>
      <c r="RJ46" s="17"/>
      <c r="RK46" s="17"/>
      <c r="RL46" s="17"/>
      <c r="RM46" s="17"/>
      <c r="RN46" s="17"/>
      <c r="RO46" s="17"/>
      <c r="RP46" s="17"/>
      <c r="RQ46" s="17"/>
      <c r="RR46" s="17"/>
      <c r="RS46" s="17"/>
      <c r="RT46" s="17"/>
      <c r="RU46" s="17"/>
      <c r="RV46" s="17"/>
      <c r="RW46" s="17"/>
      <c r="RX46" s="17"/>
      <c r="RY46" s="17"/>
      <c r="RZ46" s="17"/>
      <c r="SA46" s="17"/>
      <c r="SB46" s="17"/>
      <c r="SC46" s="17"/>
      <c r="SD46" s="17"/>
      <c r="SE46" s="17"/>
      <c r="SF46" s="17"/>
      <c r="SG46" s="17"/>
      <c r="SH46" s="17"/>
      <c r="SI46" s="17"/>
      <c r="SJ46" s="17"/>
      <c r="SK46" s="17"/>
      <c r="SL46" s="17"/>
      <c r="SM46" s="17"/>
      <c r="SN46" s="17"/>
      <c r="SO46" s="17"/>
      <c r="SP46" s="17"/>
      <c r="SQ46" s="17"/>
      <c r="SR46" s="17"/>
      <c r="SS46" s="17"/>
      <c r="ST46" s="17"/>
      <c r="SU46" s="17"/>
      <c r="SV46" s="17"/>
      <c r="SW46" s="17"/>
      <c r="SX46" s="17"/>
      <c r="SY46" s="17"/>
      <c r="SZ46" s="17"/>
      <c r="TA46" s="17"/>
      <c r="TB46" s="17" t="s">
        <v>12</v>
      </c>
      <c r="TC46" s="17" t="s">
        <v>12</v>
      </c>
      <c r="TD46" s="17" t="s">
        <v>12</v>
      </c>
      <c r="TE46" s="17"/>
      <c r="TF46" s="17"/>
      <c r="TG46" s="17"/>
      <c r="TH46" s="17"/>
      <c r="TI46" s="17"/>
      <c r="TJ46" s="17"/>
      <c r="TK46" s="17"/>
      <c r="TL46" s="17"/>
      <c r="TM46" s="17"/>
      <c r="TN46" s="17"/>
      <c r="TO46" s="17"/>
      <c r="TP46" s="17"/>
      <c r="TQ46" s="17"/>
      <c r="TR46" s="17"/>
      <c r="TS46" s="17"/>
      <c r="TT46" s="17"/>
      <c r="TU46" s="17"/>
      <c r="TV46" s="17"/>
      <c r="TW46" s="17"/>
      <c r="TX46" s="17"/>
      <c r="TY46" s="17"/>
      <c r="TZ46" s="17"/>
      <c r="UA46" s="17"/>
      <c r="UB46" s="17"/>
      <c r="UC46" s="17"/>
      <c r="UD46" s="17"/>
      <c r="UE46" s="17"/>
      <c r="UF46" s="17"/>
      <c r="UG46" s="17"/>
      <c r="UH46" s="17"/>
      <c r="UI46" s="17"/>
      <c r="UJ46" s="17"/>
      <c r="UK46" s="17"/>
      <c r="UL46" s="17"/>
      <c r="UM46" s="17"/>
      <c r="UN46" s="17"/>
      <c r="UO46" s="17"/>
      <c r="UP46" s="17"/>
      <c r="UQ46" s="17"/>
      <c r="UR46" s="17"/>
      <c r="US46" s="17"/>
      <c r="UT46" s="17"/>
      <c r="UU46" s="17"/>
      <c r="UV46" s="17"/>
      <c r="UW46" s="17"/>
      <c r="UX46" s="17"/>
      <c r="UY46" s="17"/>
      <c r="UZ46" s="17"/>
      <c r="VA46" s="17"/>
      <c r="VB46" s="17"/>
      <c r="VC46" s="17"/>
      <c r="VD46" s="17"/>
      <c r="VE46" s="17"/>
      <c r="VF46" s="17"/>
      <c r="VG46" s="17"/>
      <c r="VH46" s="17"/>
      <c r="VI46" s="17"/>
      <c r="VJ46" s="17"/>
      <c r="VK46" s="17"/>
      <c r="VL46" s="17"/>
      <c r="VM46" s="17"/>
      <c r="VN46" s="17"/>
      <c r="VO46" s="17"/>
      <c r="VP46" s="17"/>
      <c r="VQ46" s="17"/>
      <c r="VR46" s="17"/>
      <c r="VS46" s="17"/>
      <c r="VT46" s="17"/>
      <c r="VU46" s="17"/>
      <c r="VV46" s="17"/>
      <c r="VW46" s="17"/>
      <c r="VX46" s="17"/>
      <c r="VY46" s="17"/>
      <c r="VZ46" s="17"/>
      <c r="WA46" s="17"/>
      <c r="WB46" s="17"/>
      <c r="WC46" s="17"/>
      <c r="WD46" s="17"/>
      <c r="WE46" s="17"/>
      <c r="WF46" s="17"/>
      <c r="WG46" s="17"/>
      <c r="WH46" s="17"/>
      <c r="WI46" s="17"/>
      <c r="WJ46" s="17"/>
      <c r="WK46" s="17"/>
      <c r="WL46" s="17"/>
      <c r="WM46" s="17"/>
      <c r="WN46" s="17"/>
      <c r="WO46" s="17"/>
      <c r="WP46" s="17"/>
      <c r="WQ46" s="17"/>
      <c r="WR46" s="17"/>
      <c r="WS46" s="17"/>
      <c r="WT46" s="17"/>
      <c r="WU46" s="17"/>
      <c r="WV46" s="17"/>
      <c r="WW46" s="17"/>
      <c r="WX46" s="17"/>
      <c r="WY46" s="17"/>
      <c r="WZ46" s="17"/>
      <c r="XA46" s="17"/>
      <c r="XB46" s="17"/>
      <c r="XC46" s="17"/>
      <c r="XD46" s="17"/>
      <c r="XE46" s="17"/>
      <c r="XF46" s="17"/>
      <c r="XG46" s="17"/>
      <c r="XH46" s="17"/>
      <c r="XI46" s="17"/>
      <c r="XJ46" s="17"/>
      <c r="XK46" s="17"/>
      <c r="XL46" s="17"/>
      <c r="XM46" s="17"/>
      <c r="XN46" s="17"/>
      <c r="XO46" s="17"/>
      <c r="XP46" s="17"/>
      <c r="XQ46" s="17"/>
      <c r="XR46" s="17"/>
      <c r="XS46" s="17"/>
      <c r="XT46" s="17"/>
      <c r="XU46" s="17"/>
      <c r="XV46" s="17"/>
      <c r="XW46" s="17"/>
      <c r="XX46" s="17"/>
      <c r="XY46" s="17"/>
      <c r="XZ46" s="17"/>
      <c r="YA46" s="17"/>
      <c r="YB46" s="17"/>
      <c r="YC46" s="17"/>
      <c r="YD46" s="17"/>
      <c r="YE46" s="17"/>
      <c r="YF46" s="17"/>
      <c r="YG46" s="17"/>
      <c r="YH46" s="17"/>
      <c r="YI46" s="17"/>
      <c r="YJ46" s="17"/>
      <c r="YK46" s="17"/>
      <c r="YL46" s="17"/>
      <c r="YM46" s="17"/>
      <c r="YN46" s="17"/>
      <c r="YO46" s="17"/>
      <c r="YP46" s="17" t="s">
        <v>12</v>
      </c>
      <c r="YQ46" s="17" t="s">
        <v>12</v>
      </c>
      <c r="YR46" s="17" t="s">
        <v>12</v>
      </c>
      <c r="YS46" s="17"/>
      <c r="YT46" s="17"/>
      <c r="YU46" s="17"/>
      <c r="YV46" s="17"/>
      <c r="YW46" s="17"/>
      <c r="YX46" s="17"/>
      <c r="YY46" s="17"/>
      <c r="YZ46" s="17"/>
      <c r="ZA46" s="17"/>
      <c r="ZB46" s="17"/>
      <c r="ZC46" s="17"/>
      <c r="ZD46" s="17"/>
      <c r="ZE46" s="17"/>
      <c r="ZF46" s="17"/>
      <c r="ZG46" s="17"/>
      <c r="ZH46" s="17"/>
      <c r="ZI46" s="17"/>
      <c r="ZJ46" s="17"/>
      <c r="ZK46" s="17"/>
      <c r="ZL46" s="17"/>
      <c r="ZM46" s="17"/>
      <c r="ZN46" s="17"/>
      <c r="ZO46" s="17"/>
      <c r="ZP46" s="17"/>
      <c r="ZQ46" s="17"/>
      <c r="ZR46" s="17"/>
      <c r="ZS46" s="17"/>
      <c r="ZT46" s="17"/>
      <c r="ZU46" s="17"/>
      <c r="ZV46" s="17"/>
      <c r="ZW46" s="17"/>
      <c r="ZX46" s="17"/>
      <c r="ZY46" s="17"/>
      <c r="ZZ46" s="17"/>
      <c r="AAA46" s="17"/>
      <c r="AAB46" s="17"/>
      <c r="AAC46" s="17"/>
      <c r="AAD46" s="17"/>
      <c r="AAE46" s="17"/>
      <c r="AAF46" s="17"/>
      <c r="AAG46" s="17"/>
      <c r="AAH46" s="17"/>
      <c r="AAI46" s="17"/>
      <c r="AAJ46" s="17"/>
      <c r="AAK46" s="17"/>
      <c r="AAL46" s="17"/>
      <c r="AAM46" s="17"/>
      <c r="AAN46" s="17"/>
      <c r="AAO46" s="17"/>
      <c r="AAP46" s="17"/>
      <c r="AAQ46" s="17"/>
      <c r="AAR46" s="17"/>
      <c r="AAS46" s="17"/>
      <c r="AAT46" s="17"/>
      <c r="AAU46" s="17"/>
      <c r="AAV46" s="17"/>
      <c r="AAW46" s="17"/>
      <c r="AAX46" s="17"/>
      <c r="AAY46" s="17"/>
      <c r="AAZ46" s="17"/>
      <c r="ABA46" s="17"/>
      <c r="ABB46" s="17"/>
      <c r="ABC46" s="17"/>
      <c r="ABD46" s="17"/>
      <c r="ABE46" s="17"/>
      <c r="ABF46" s="17"/>
      <c r="ABG46" s="17"/>
      <c r="ABH46" s="17"/>
      <c r="ABI46" s="17"/>
      <c r="ABJ46" s="17"/>
      <c r="ABK46" s="17"/>
      <c r="ABL46" s="17"/>
      <c r="ABM46" s="17"/>
      <c r="ABN46" s="17"/>
      <c r="ABO46" s="17"/>
      <c r="ABP46" s="17"/>
      <c r="ABQ46" s="17"/>
      <c r="ABR46" s="17"/>
      <c r="ABS46" s="17"/>
      <c r="ABT46" s="17"/>
      <c r="ABU46" s="17"/>
      <c r="ABV46" s="17"/>
      <c r="ABW46" s="17"/>
      <c r="ABX46" s="17"/>
      <c r="ABY46" s="17"/>
      <c r="ABZ46" s="17"/>
      <c r="ACA46" s="17"/>
      <c r="ACB46" s="17"/>
      <c r="ACC46" s="17"/>
      <c r="ACD46" s="17"/>
      <c r="ACE46" s="17"/>
      <c r="ACF46" s="17"/>
      <c r="ACG46" s="17"/>
      <c r="ACH46" s="17"/>
      <c r="ACI46" s="17"/>
      <c r="ACJ46" s="17"/>
      <c r="ACK46" s="17"/>
      <c r="ACL46" s="17"/>
      <c r="ACM46" s="17"/>
      <c r="ACN46" s="17"/>
      <c r="ACO46" s="17"/>
      <c r="ACP46" s="17"/>
      <c r="ACQ46" s="17"/>
      <c r="ACR46" s="17"/>
      <c r="ACS46" s="17"/>
      <c r="ACT46" s="17"/>
      <c r="ACU46" s="17"/>
      <c r="ACV46" s="17"/>
      <c r="ACW46" s="17"/>
      <c r="ACX46" s="17"/>
      <c r="ACY46" s="17"/>
      <c r="ACZ46" s="17"/>
      <c r="ADA46" s="17"/>
      <c r="ADB46" s="17"/>
      <c r="ADC46" s="17"/>
      <c r="ADD46" s="17"/>
      <c r="ADE46" s="17"/>
      <c r="ADF46" s="17"/>
      <c r="ADG46" s="17"/>
      <c r="ADH46" s="17"/>
      <c r="ADI46" s="17"/>
      <c r="ADJ46" s="17"/>
      <c r="ADK46" s="17"/>
      <c r="ADL46" s="17"/>
      <c r="ADM46" s="17"/>
      <c r="ADN46" s="17"/>
      <c r="ADO46" s="17"/>
      <c r="ADP46" s="17"/>
      <c r="ADQ46" s="17"/>
      <c r="ADR46" s="17"/>
      <c r="ADS46" s="17"/>
      <c r="ADT46" s="17"/>
      <c r="ADU46" s="17"/>
      <c r="ADV46" s="17"/>
      <c r="ADW46" s="17"/>
      <c r="ADX46" s="17"/>
      <c r="ADY46" s="17"/>
      <c r="ADZ46" s="17"/>
      <c r="AEA46" s="17"/>
      <c r="AEB46" s="17"/>
      <c r="AEC46" s="17"/>
      <c r="AED46" s="17" t="s">
        <v>12</v>
      </c>
      <c r="AEE46" s="17" t="s">
        <v>12</v>
      </c>
      <c r="AEF46" s="17" t="s">
        <v>12</v>
      </c>
      <c r="AEG46" s="17"/>
      <c r="AEH46" s="17"/>
      <c r="AEI46" s="17"/>
      <c r="AEJ46" s="17"/>
      <c r="AEK46" s="17"/>
      <c r="AEL46" s="17"/>
      <c r="AEM46" s="17"/>
      <c r="AEN46" s="17"/>
      <c r="AEO46" s="17"/>
      <c r="AEP46" s="17"/>
      <c r="AEQ46" s="17"/>
      <c r="AER46" s="17"/>
      <c r="AES46" s="17"/>
      <c r="AET46" s="17"/>
      <c r="AEU46" s="17"/>
      <c r="AEV46" s="17"/>
      <c r="AEW46" s="17"/>
      <c r="AEX46" s="17"/>
      <c r="AEY46" s="17"/>
      <c r="AEZ46" s="17"/>
      <c r="AFA46" s="17"/>
      <c r="AFB46" s="17"/>
      <c r="AFC46" s="17"/>
      <c r="AFD46" s="17"/>
      <c r="AFE46" s="17"/>
      <c r="AFF46" s="17"/>
      <c r="AFG46" s="17"/>
      <c r="AFH46" s="17"/>
      <c r="AFI46" s="17"/>
      <c r="AFJ46" s="17"/>
      <c r="AFK46" s="17"/>
      <c r="AFL46" s="17"/>
      <c r="AFM46" s="17"/>
      <c r="AFN46" s="17"/>
      <c r="AFO46" s="17"/>
      <c r="AFP46" s="17"/>
      <c r="AFQ46" s="17"/>
      <c r="AFR46" s="17"/>
      <c r="AFS46" s="17"/>
      <c r="AFT46" s="17"/>
      <c r="AFU46" s="17"/>
      <c r="AFV46" s="17"/>
      <c r="AFW46" s="17"/>
      <c r="AFX46" s="17"/>
      <c r="AFY46" s="17"/>
      <c r="AFZ46" s="17"/>
      <c r="AGA46" s="17"/>
      <c r="AGB46" s="17"/>
      <c r="AGC46" s="17"/>
      <c r="AGD46" s="17"/>
      <c r="AGE46" s="17"/>
      <c r="AGF46" s="17"/>
      <c r="AGG46" s="17"/>
      <c r="AGH46" s="17"/>
      <c r="AGI46" s="17"/>
      <c r="AGJ46" s="17"/>
      <c r="AGK46" s="17"/>
      <c r="AGL46" s="17"/>
      <c r="AGM46" s="17"/>
      <c r="AGN46" s="17"/>
      <c r="AGO46" s="17"/>
      <c r="AGP46" s="17"/>
      <c r="AGQ46" s="17"/>
      <c r="AGR46" s="17"/>
      <c r="AGS46" s="17"/>
      <c r="AGT46" s="17"/>
      <c r="AGU46" s="17"/>
      <c r="AGV46" s="17"/>
      <c r="AGW46" s="17"/>
      <c r="AGX46" s="17"/>
      <c r="AGY46" s="17"/>
      <c r="AGZ46" s="17"/>
      <c r="AHA46" s="17"/>
      <c r="AHB46" s="17"/>
      <c r="AHC46" s="17"/>
      <c r="AHD46" s="17"/>
      <c r="AHE46" s="17"/>
      <c r="AHF46" s="17"/>
      <c r="AHG46" s="17"/>
      <c r="AHH46" s="17"/>
      <c r="AHI46" s="17"/>
      <c r="AHJ46" s="17"/>
      <c r="AHK46" s="17"/>
      <c r="AHL46" s="17"/>
      <c r="AHM46" s="17"/>
      <c r="AHN46" s="17"/>
      <c r="AHO46" s="17"/>
      <c r="AHP46" s="17"/>
      <c r="AHQ46" s="17"/>
      <c r="AHR46" s="17"/>
      <c r="AHS46" s="17"/>
      <c r="AHT46" s="17"/>
      <c r="AHU46" s="17"/>
      <c r="AHV46" s="17"/>
      <c r="AHW46" s="17"/>
      <c r="AHX46" s="17"/>
      <c r="AHY46" s="17"/>
      <c r="AHZ46" s="17"/>
      <c r="AIA46" s="17"/>
      <c r="AIB46" s="17"/>
      <c r="AIC46" s="17"/>
      <c r="AID46" s="17"/>
      <c r="AIE46" s="17"/>
      <c r="AIF46" s="17"/>
      <c r="AIG46" s="17"/>
      <c r="AIH46" s="17"/>
      <c r="AII46" s="17"/>
      <c r="AIJ46" s="17"/>
      <c r="AIK46" s="17"/>
      <c r="AIL46" s="17"/>
      <c r="AIM46" s="17"/>
      <c r="AIN46" s="17"/>
      <c r="AIO46" s="17"/>
      <c r="AIP46" s="17"/>
      <c r="AIQ46" s="17"/>
      <c r="AIR46" s="17"/>
      <c r="AIS46" s="17"/>
      <c r="AIT46" s="17"/>
      <c r="AIU46" s="17"/>
      <c r="AIV46" s="17"/>
      <c r="AIW46" s="17"/>
      <c r="AIX46" s="17"/>
      <c r="AIY46" s="17"/>
      <c r="AIZ46" s="17"/>
      <c r="AJA46" s="17"/>
      <c r="AJB46" s="17"/>
      <c r="AJC46" s="17"/>
      <c r="AJD46" s="17"/>
      <c r="AJE46" s="17"/>
      <c r="AJF46" s="17"/>
      <c r="AJG46" s="17"/>
      <c r="AJH46" s="17"/>
      <c r="AJI46" s="17"/>
      <c r="AJJ46" s="17"/>
      <c r="AJK46" s="17"/>
      <c r="AJL46" s="17"/>
      <c r="AJM46" s="17"/>
      <c r="AJN46" s="17"/>
      <c r="AJO46" s="17"/>
      <c r="AJP46" s="17"/>
      <c r="AJQ46" s="17"/>
      <c r="AJR46" s="17" t="s">
        <v>12</v>
      </c>
      <c r="AJS46" s="17" t="s">
        <v>12</v>
      </c>
      <c r="AJT46" s="17" t="s">
        <v>12</v>
      </c>
      <c r="AJU46" s="17"/>
      <c r="AJV46" s="17"/>
      <c r="AJW46" s="17"/>
      <c r="AJX46" s="17"/>
      <c r="AJY46" s="17"/>
      <c r="AJZ46" s="17"/>
      <c r="AKA46" s="17"/>
      <c r="AKB46" s="17"/>
      <c r="AKC46" s="17"/>
      <c r="AKD46" s="17"/>
      <c r="AKE46" s="17"/>
      <c r="AKF46" s="17"/>
      <c r="AKG46" s="17"/>
      <c r="AKH46" s="17"/>
      <c r="AKI46" s="17"/>
      <c r="AKJ46" s="17"/>
      <c r="AKK46" s="17"/>
      <c r="AKL46" s="17"/>
      <c r="AKM46" s="17"/>
      <c r="AKN46" s="17"/>
      <c r="AKO46" s="17"/>
      <c r="AKP46" s="17"/>
      <c r="AKQ46" s="17"/>
      <c r="AKR46" s="17"/>
      <c r="AKS46" s="17"/>
      <c r="AKT46" s="17"/>
      <c r="AKU46" s="17"/>
      <c r="AKV46" s="17"/>
      <c r="AKW46" s="17"/>
      <c r="AKX46" s="17"/>
      <c r="AKY46" s="17"/>
      <c r="AKZ46" s="17"/>
      <c r="ALA46" s="17"/>
      <c r="ALB46" s="17"/>
      <c r="ALC46" s="17"/>
      <c r="ALD46" s="17"/>
      <c r="ALE46" s="17"/>
      <c r="ALF46" s="17"/>
      <c r="ALG46" s="17"/>
      <c r="ALH46" s="17"/>
      <c r="ALI46" s="17"/>
      <c r="ALJ46" s="17"/>
      <c r="ALK46" s="17"/>
      <c r="ALL46" s="17"/>
      <c r="ALM46" s="17"/>
      <c r="ALN46" s="17"/>
      <c r="ALO46" s="17"/>
      <c r="ALP46" s="17"/>
      <c r="ALQ46" s="17"/>
      <c r="ALR46" s="17"/>
      <c r="ALS46" s="17"/>
      <c r="ALT46" s="17"/>
      <c r="ALU46" s="17"/>
      <c r="ALV46" s="17"/>
      <c r="ALW46" s="17"/>
    </row>
    <row r="47" spans="2:1011" x14ac:dyDescent="0.25"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19"/>
      <c r="CA47" s="19"/>
      <c r="CB47" s="19"/>
      <c r="CC47" s="19"/>
      <c r="CD47" s="19"/>
      <c r="CE47" s="19"/>
      <c r="CF47" s="19"/>
      <c r="CG47" s="19"/>
      <c r="CH47" s="19"/>
      <c r="CI47" s="19"/>
      <c r="CJ47" s="19"/>
      <c r="CK47" s="19"/>
      <c r="CL47" s="19"/>
      <c r="CM47" s="19"/>
      <c r="CN47" s="19"/>
      <c r="CO47" s="19"/>
      <c r="CP47" s="19"/>
      <c r="CQ47" s="19"/>
      <c r="CR47" s="19"/>
      <c r="CS47" s="19"/>
      <c r="CT47" s="19"/>
      <c r="CU47" s="19"/>
      <c r="CV47" s="19"/>
      <c r="CW47" s="19"/>
      <c r="CX47" s="19"/>
      <c r="CY47" s="19"/>
      <c r="CZ47" s="19"/>
      <c r="DA47" s="19"/>
      <c r="DB47" s="19"/>
      <c r="DC47" s="19"/>
      <c r="DD47" s="19"/>
      <c r="DE47" s="19"/>
      <c r="DF47" s="19"/>
      <c r="DG47" s="19"/>
      <c r="DH47" s="19"/>
      <c r="DI47" s="19"/>
      <c r="DJ47" s="19"/>
      <c r="DK47" s="19"/>
      <c r="DL47" s="19"/>
      <c r="DM47" s="19"/>
      <c r="DN47" s="19"/>
      <c r="DO47" s="19"/>
      <c r="DP47" s="19"/>
      <c r="DQ47" s="19"/>
      <c r="DR47" s="19"/>
      <c r="DS47" s="19"/>
      <c r="DT47" s="19"/>
      <c r="DU47" s="19"/>
      <c r="DV47" s="19"/>
      <c r="DW47" s="19"/>
      <c r="DX47" s="19"/>
      <c r="DY47" s="19"/>
      <c r="DZ47" s="19"/>
      <c r="EA47" s="19"/>
      <c r="EB47" s="19"/>
      <c r="EC47" s="19"/>
      <c r="ED47" s="19"/>
      <c r="EE47" s="19"/>
      <c r="EF47" s="19"/>
      <c r="EG47" s="19"/>
      <c r="EH47" s="19"/>
      <c r="EI47" s="19"/>
      <c r="EJ47" s="19"/>
      <c r="EK47" s="19"/>
      <c r="EL47" s="19"/>
      <c r="EM47" s="19"/>
      <c r="EN47" s="19"/>
      <c r="EO47" s="19"/>
      <c r="EP47" s="19"/>
      <c r="EQ47" s="19"/>
      <c r="ER47" s="19"/>
      <c r="ES47" s="19"/>
      <c r="ET47" s="19"/>
      <c r="EU47" s="19"/>
      <c r="EV47" s="19"/>
      <c r="EW47" s="19"/>
      <c r="EX47" s="19"/>
      <c r="EY47" s="19"/>
      <c r="EZ47" s="19"/>
      <c r="FA47" s="19"/>
      <c r="FB47" s="19"/>
      <c r="FC47" s="19"/>
      <c r="FD47" s="19"/>
      <c r="FE47" s="19"/>
      <c r="FF47" s="19"/>
      <c r="FG47" s="19"/>
      <c r="FH47" s="19"/>
      <c r="FI47" s="19"/>
      <c r="FJ47" s="19"/>
      <c r="FK47" s="19"/>
      <c r="FL47" s="19"/>
      <c r="FM47" s="19"/>
      <c r="FN47" s="19"/>
      <c r="FO47" s="19"/>
      <c r="FP47" s="19"/>
      <c r="FQ47" s="19"/>
      <c r="FR47" s="19"/>
      <c r="FS47" s="19"/>
      <c r="FT47" s="19"/>
      <c r="FU47" s="19"/>
      <c r="FV47" s="19"/>
      <c r="FW47" s="19"/>
      <c r="FX47" s="19"/>
      <c r="FY47" s="19"/>
      <c r="FZ47" s="19"/>
      <c r="GA47" s="19"/>
      <c r="GB47" s="19"/>
      <c r="GC47" s="19"/>
      <c r="GD47" s="19"/>
      <c r="GE47" s="19"/>
      <c r="GF47" s="19"/>
      <c r="GG47" s="19"/>
      <c r="GH47" s="19"/>
      <c r="GI47" s="19"/>
      <c r="GJ47" s="19"/>
      <c r="GK47" s="19"/>
      <c r="GL47" s="19"/>
      <c r="GM47" s="19"/>
      <c r="GN47" s="19"/>
      <c r="GO47" s="19"/>
      <c r="GP47" s="19"/>
      <c r="GQ47" s="19"/>
      <c r="GR47" s="19"/>
      <c r="GS47" s="19"/>
      <c r="GT47" s="19"/>
      <c r="GU47" s="19"/>
      <c r="GV47" s="19"/>
      <c r="GW47" s="19"/>
      <c r="GX47" s="19"/>
      <c r="GY47" s="19"/>
      <c r="GZ47" s="19"/>
      <c r="HA47" s="19"/>
      <c r="HB47" s="19"/>
      <c r="HC47" s="19"/>
      <c r="HD47" s="19"/>
      <c r="HE47" s="19"/>
      <c r="HF47" s="19"/>
      <c r="HG47" s="19"/>
      <c r="HH47" s="19"/>
      <c r="HI47" s="19"/>
      <c r="HJ47" s="19"/>
      <c r="HK47" s="19"/>
      <c r="HL47" s="19"/>
      <c r="HM47" s="19"/>
      <c r="HN47" s="19"/>
      <c r="HO47" s="19"/>
      <c r="HP47" s="19"/>
      <c r="HQ47" s="19"/>
      <c r="HR47" s="19"/>
      <c r="HS47" s="19"/>
      <c r="HT47" s="19"/>
      <c r="HU47" s="19"/>
      <c r="HV47" s="19"/>
      <c r="HW47" s="19"/>
      <c r="HX47" s="19"/>
      <c r="HY47" s="19"/>
      <c r="HZ47" s="19"/>
      <c r="IA47" s="19"/>
      <c r="IB47" s="19"/>
      <c r="IC47" s="19"/>
      <c r="ID47" s="19"/>
      <c r="IE47" s="19"/>
      <c r="IF47" s="19"/>
      <c r="IG47" s="19"/>
      <c r="IH47" s="19"/>
      <c r="II47" s="19"/>
      <c r="IJ47" s="19"/>
      <c r="IK47" s="19"/>
      <c r="IL47" s="19"/>
      <c r="IM47" s="19"/>
      <c r="IN47" s="19"/>
      <c r="IO47" s="19"/>
      <c r="IP47" s="19"/>
      <c r="IQ47" s="19"/>
      <c r="IR47" s="19"/>
      <c r="IS47" s="19"/>
      <c r="IT47" s="19"/>
      <c r="IU47" s="19"/>
      <c r="IV47" s="19"/>
      <c r="IW47" s="19"/>
      <c r="IX47" s="19"/>
      <c r="IY47" s="19"/>
      <c r="IZ47" s="19"/>
      <c r="JA47" s="19"/>
      <c r="JB47" s="19"/>
      <c r="JC47" s="19"/>
      <c r="JD47" s="19"/>
      <c r="JE47" s="19"/>
      <c r="JF47" s="19"/>
      <c r="JG47" s="19"/>
      <c r="JH47" s="19"/>
      <c r="JI47" s="19"/>
      <c r="JJ47" s="19"/>
      <c r="JK47" s="19"/>
      <c r="JL47" s="19"/>
      <c r="JM47" s="19"/>
      <c r="JN47" s="19"/>
      <c r="JO47" s="19"/>
      <c r="JP47" s="19"/>
      <c r="JQ47" s="19"/>
      <c r="JR47" s="19"/>
      <c r="JS47" s="19"/>
      <c r="JT47" s="19"/>
      <c r="JU47" s="19"/>
      <c r="JV47" s="19"/>
      <c r="JW47" s="19"/>
      <c r="JX47" s="19"/>
      <c r="JY47" s="19"/>
      <c r="JZ47" s="19"/>
      <c r="KA47" s="19"/>
      <c r="KB47" s="19"/>
      <c r="KC47" s="19"/>
      <c r="KD47" s="19"/>
      <c r="KE47" s="19"/>
      <c r="KF47" s="19"/>
      <c r="KG47" s="19"/>
      <c r="KH47" s="19"/>
      <c r="KI47" s="19"/>
      <c r="KJ47" s="19"/>
      <c r="KK47" s="19"/>
      <c r="KL47" s="19"/>
      <c r="KM47" s="19"/>
      <c r="KN47" s="19"/>
      <c r="KO47" s="19"/>
      <c r="KP47" s="19"/>
      <c r="KQ47" s="19"/>
      <c r="KR47" s="19"/>
      <c r="KS47" s="19"/>
      <c r="KT47" s="19"/>
      <c r="KU47" s="19"/>
      <c r="KV47" s="19"/>
      <c r="KW47" s="19"/>
      <c r="KX47" s="19"/>
      <c r="KY47" s="19"/>
      <c r="KZ47" s="19"/>
      <c r="LA47" s="19"/>
      <c r="LB47" s="19"/>
      <c r="LC47" s="19"/>
      <c r="LD47" s="19"/>
      <c r="LE47" s="19"/>
      <c r="LF47" s="19"/>
      <c r="LG47" s="19"/>
      <c r="LH47" s="19"/>
      <c r="LI47" s="19"/>
      <c r="LJ47" s="19"/>
      <c r="LK47" s="19"/>
      <c r="LL47" s="19"/>
      <c r="LM47" s="19"/>
      <c r="LN47" s="19"/>
      <c r="LO47" s="19"/>
      <c r="LP47" s="19"/>
      <c r="LQ47" s="19"/>
      <c r="LR47" s="19"/>
      <c r="LS47" s="19"/>
      <c r="LT47" s="19"/>
      <c r="LU47" s="19"/>
      <c r="LV47" s="19"/>
      <c r="LW47" s="19"/>
      <c r="LX47" s="19"/>
      <c r="LY47" s="19"/>
      <c r="LZ47" s="19"/>
      <c r="MA47" s="19"/>
      <c r="MB47" s="19"/>
      <c r="MC47" s="19"/>
      <c r="MD47" s="19"/>
      <c r="ME47" s="19"/>
      <c r="MF47" s="19"/>
      <c r="MG47" s="19"/>
      <c r="MH47" s="19"/>
      <c r="MI47" s="19"/>
      <c r="MJ47" s="19"/>
      <c r="MK47" s="19"/>
      <c r="ML47" s="19"/>
      <c r="MM47" s="19"/>
      <c r="MN47" s="19"/>
      <c r="MO47" s="19"/>
      <c r="MP47" s="19"/>
      <c r="MQ47" s="19"/>
      <c r="MR47" s="19"/>
      <c r="MS47" s="19"/>
      <c r="MT47" s="19"/>
      <c r="MU47" s="19"/>
      <c r="MV47" s="19"/>
      <c r="MW47" s="19"/>
      <c r="MX47" s="19"/>
      <c r="MY47" s="19"/>
      <c r="MZ47" s="19"/>
      <c r="NA47" s="19"/>
      <c r="NB47" s="19"/>
      <c r="NC47" s="19"/>
      <c r="ND47" s="19"/>
      <c r="NE47" s="19"/>
      <c r="NF47" s="19"/>
      <c r="NG47" s="19"/>
      <c r="NH47" s="19"/>
      <c r="NI47" s="19"/>
      <c r="NJ47" s="19"/>
      <c r="NK47" s="19"/>
      <c r="NL47" s="19"/>
      <c r="NM47" s="19"/>
      <c r="NN47" s="19"/>
      <c r="NO47" s="19"/>
      <c r="NP47" s="19"/>
      <c r="NQ47" s="19"/>
      <c r="NR47" s="19"/>
      <c r="NS47" s="19"/>
      <c r="NT47" s="19"/>
      <c r="NU47" s="19"/>
      <c r="NV47" s="19"/>
      <c r="NW47" s="19"/>
      <c r="NX47" s="19"/>
      <c r="NY47" s="19"/>
      <c r="NZ47" s="19"/>
      <c r="OA47" s="19"/>
      <c r="OB47" s="19"/>
      <c r="OC47" s="19"/>
      <c r="OD47" s="19"/>
      <c r="OE47" s="19"/>
      <c r="OF47" s="19"/>
      <c r="OG47" s="19"/>
      <c r="OH47" s="19"/>
      <c r="OI47" s="19"/>
      <c r="OJ47" s="19"/>
      <c r="OK47" s="19"/>
      <c r="OL47" s="19"/>
      <c r="OM47" s="19"/>
      <c r="ON47" s="19"/>
      <c r="OO47" s="19"/>
      <c r="OP47" s="19"/>
      <c r="OQ47" s="19"/>
      <c r="OR47" s="19"/>
      <c r="OS47" s="19"/>
      <c r="OT47" s="19"/>
      <c r="OU47" s="19"/>
      <c r="OV47" s="19"/>
      <c r="OW47" s="19"/>
      <c r="OX47" s="19"/>
      <c r="OY47" s="19"/>
      <c r="OZ47" s="19"/>
      <c r="PA47" s="19"/>
      <c r="PB47" s="19"/>
      <c r="PC47" s="19"/>
      <c r="PD47" s="19"/>
      <c r="PE47" s="19"/>
      <c r="PF47" s="19"/>
      <c r="PG47" s="19"/>
      <c r="PH47" s="19"/>
      <c r="PI47" s="19"/>
      <c r="PJ47" s="19"/>
      <c r="PK47" s="19"/>
      <c r="PL47" s="19"/>
      <c r="PM47" s="19"/>
      <c r="PN47" s="19"/>
      <c r="PO47" s="19"/>
      <c r="PP47" s="19"/>
      <c r="PQ47" s="19"/>
      <c r="PR47" s="19"/>
      <c r="PS47" s="19"/>
      <c r="PT47" s="19"/>
      <c r="PU47" s="19"/>
      <c r="PV47" s="19"/>
      <c r="PW47" s="19"/>
      <c r="PX47" s="19"/>
      <c r="PY47" s="19"/>
      <c r="PZ47" s="19"/>
      <c r="QA47" s="19"/>
      <c r="QB47" s="19"/>
      <c r="QC47" s="19"/>
      <c r="QD47" s="19"/>
      <c r="QE47" s="19"/>
      <c r="QF47" s="19"/>
      <c r="QG47" s="19"/>
      <c r="QH47" s="19"/>
      <c r="QI47" s="19"/>
      <c r="QJ47" s="19"/>
      <c r="QK47" s="19"/>
      <c r="QL47" s="19"/>
      <c r="QM47" s="19"/>
      <c r="QN47" s="19"/>
      <c r="QO47" s="19"/>
      <c r="QP47" s="19"/>
      <c r="QQ47" s="19"/>
      <c r="QR47" s="19"/>
      <c r="QS47" s="19"/>
      <c r="QT47" s="19"/>
      <c r="QU47" s="19"/>
      <c r="QV47" s="19"/>
      <c r="QW47" s="19"/>
      <c r="QX47" s="19"/>
      <c r="QY47" s="19"/>
      <c r="QZ47" s="19"/>
      <c r="RA47" s="19"/>
      <c r="RB47" s="19"/>
      <c r="RC47" s="19"/>
      <c r="RD47" s="19"/>
      <c r="RE47" s="19"/>
      <c r="RF47" s="19"/>
      <c r="RG47" s="19"/>
      <c r="RH47" s="19"/>
      <c r="RI47" s="19"/>
      <c r="RJ47" s="19"/>
      <c r="RK47" s="19"/>
      <c r="RL47" s="19"/>
      <c r="RM47" s="19"/>
      <c r="RN47" s="19"/>
      <c r="RO47" s="19"/>
      <c r="RP47" s="19"/>
      <c r="RQ47" s="19"/>
      <c r="RR47" s="19"/>
      <c r="RS47" s="19"/>
      <c r="RT47" s="19"/>
      <c r="RU47" s="19"/>
      <c r="RV47" s="19"/>
      <c r="RW47" s="19"/>
      <c r="RX47" s="19"/>
      <c r="RY47" s="19"/>
      <c r="RZ47" s="19"/>
      <c r="SA47" s="19"/>
      <c r="SB47" s="19"/>
      <c r="SC47" s="19"/>
      <c r="SD47" s="19"/>
      <c r="SE47" s="19"/>
      <c r="SF47" s="19"/>
      <c r="SG47" s="19"/>
      <c r="SH47" s="19"/>
      <c r="SI47" s="19"/>
      <c r="SJ47" s="19"/>
      <c r="SK47" s="19"/>
      <c r="SL47" s="19"/>
      <c r="SM47" s="19"/>
      <c r="SN47" s="19"/>
      <c r="SO47" s="19"/>
      <c r="SP47" s="19"/>
      <c r="SQ47" s="19"/>
      <c r="SR47" s="19"/>
      <c r="SS47" s="19"/>
      <c r="ST47" s="19"/>
      <c r="SU47" s="19"/>
      <c r="SV47" s="19"/>
      <c r="SW47" s="19"/>
      <c r="SX47" s="19"/>
      <c r="SY47" s="19"/>
      <c r="SZ47" s="19"/>
      <c r="TA47" s="19"/>
      <c r="TB47" s="19"/>
      <c r="TC47" s="19"/>
      <c r="TD47" s="19"/>
      <c r="TE47" s="19"/>
      <c r="TF47" s="19"/>
      <c r="TG47" s="19"/>
      <c r="TH47" s="19"/>
      <c r="TI47" s="19"/>
      <c r="TJ47" s="19"/>
      <c r="TK47" s="19"/>
      <c r="TL47" s="19"/>
      <c r="TM47" s="19"/>
      <c r="TN47" s="19"/>
      <c r="TO47" s="19"/>
      <c r="TP47" s="19"/>
      <c r="TQ47" s="19"/>
      <c r="TR47" s="19"/>
      <c r="TS47" s="19"/>
      <c r="TT47" s="19"/>
      <c r="TU47" s="19"/>
      <c r="TV47" s="19"/>
      <c r="TW47" s="19"/>
      <c r="TX47" s="19"/>
      <c r="TY47" s="19"/>
      <c r="TZ47" s="19"/>
      <c r="UA47" s="19"/>
      <c r="UB47" s="19"/>
      <c r="UC47" s="19"/>
      <c r="UD47" s="19"/>
      <c r="UE47" s="19"/>
      <c r="UF47" s="19"/>
      <c r="UG47" s="19"/>
      <c r="UH47" s="19"/>
      <c r="UI47" s="19"/>
      <c r="UJ47" s="19"/>
      <c r="UK47" s="19"/>
      <c r="UL47" s="19"/>
      <c r="UM47" s="19"/>
      <c r="UN47" s="19"/>
      <c r="UO47" s="19"/>
      <c r="UP47" s="19"/>
      <c r="UQ47" s="19"/>
      <c r="UR47" s="19"/>
      <c r="US47" s="19"/>
      <c r="UT47" s="19"/>
      <c r="UU47" s="19"/>
      <c r="UV47" s="19"/>
      <c r="UW47" s="19"/>
      <c r="UX47" s="19"/>
      <c r="UY47" s="19"/>
      <c r="UZ47" s="19"/>
      <c r="VA47" s="19"/>
      <c r="VB47" s="19"/>
      <c r="VC47" s="19"/>
      <c r="VD47" s="19"/>
      <c r="VE47" s="19"/>
      <c r="VF47" s="19"/>
      <c r="VG47" s="19"/>
      <c r="VH47" s="19"/>
      <c r="VI47" s="19"/>
      <c r="VJ47" s="19"/>
      <c r="VK47" s="19"/>
      <c r="VL47" s="19"/>
      <c r="VM47" s="19"/>
      <c r="VN47" s="19"/>
      <c r="VO47" s="19"/>
      <c r="VP47" s="19"/>
      <c r="VQ47" s="19"/>
      <c r="VR47" s="19"/>
      <c r="VS47" s="19"/>
      <c r="VT47" s="19"/>
      <c r="VU47" s="19"/>
      <c r="VV47" s="19"/>
      <c r="VW47" s="19"/>
      <c r="VX47" s="19"/>
      <c r="VY47" s="19"/>
      <c r="VZ47" s="19"/>
      <c r="WA47" s="19"/>
      <c r="WB47" s="19"/>
      <c r="WC47" s="19"/>
      <c r="WD47" s="19"/>
      <c r="WE47" s="19"/>
      <c r="WF47" s="19"/>
      <c r="WG47" s="19"/>
      <c r="WH47" s="19"/>
      <c r="WI47" s="19"/>
      <c r="WJ47" s="19"/>
      <c r="WK47" s="19"/>
      <c r="WL47" s="19"/>
      <c r="WM47" s="19"/>
      <c r="WN47" s="19"/>
      <c r="WO47" s="19"/>
      <c r="WP47" s="19"/>
      <c r="WQ47" s="19"/>
      <c r="WR47" s="19"/>
      <c r="WS47" s="19"/>
      <c r="WT47" s="19"/>
      <c r="WU47" s="19"/>
      <c r="WV47" s="19"/>
      <c r="WW47" s="19"/>
      <c r="WX47" s="19"/>
      <c r="WY47" s="19"/>
      <c r="WZ47" s="19"/>
      <c r="XA47" s="19"/>
      <c r="XB47" s="19"/>
      <c r="XC47" s="19"/>
      <c r="XD47" s="19"/>
      <c r="XE47" s="19"/>
      <c r="XF47" s="19"/>
      <c r="XG47" s="19"/>
      <c r="XH47" s="19"/>
      <c r="XI47" s="19"/>
      <c r="XJ47" s="19"/>
      <c r="XK47" s="19"/>
      <c r="XL47" s="19"/>
      <c r="XM47" s="19"/>
      <c r="XN47" s="19"/>
      <c r="XO47" s="19"/>
      <c r="XP47" s="19"/>
      <c r="XQ47" s="19"/>
      <c r="XR47" s="19"/>
      <c r="XS47" s="19"/>
      <c r="XT47" s="19"/>
      <c r="XU47" s="19"/>
      <c r="XV47" s="19"/>
      <c r="XW47" s="19"/>
      <c r="XX47" s="19"/>
      <c r="XY47" s="19"/>
      <c r="XZ47" s="19"/>
      <c r="YA47" s="19"/>
      <c r="YB47" s="19"/>
      <c r="YC47" s="19"/>
      <c r="YD47" s="19"/>
      <c r="YE47" s="19"/>
      <c r="YF47" s="19"/>
      <c r="YG47" s="19"/>
      <c r="YH47" s="19"/>
      <c r="YI47" s="19"/>
      <c r="YJ47" s="19"/>
      <c r="YK47" s="19"/>
      <c r="YL47" s="19"/>
      <c r="YM47" s="19"/>
      <c r="YN47" s="19"/>
      <c r="YO47" s="19"/>
      <c r="YP47" s="19"/>
      <c r="YQ47" s="19"/>
      <c r="YR47" s="19"/>
      <c r="YS47" s="19"/>
      <c r="YT47" s="19"/>
      <c r="YU47" s="19"/>
      <c r="YV47" s="19"/>
      <c r="YW47" s="19"/>
      <c r="YX47" s="19"/>
      <c r="YY47" s="19"/>
      <c r="YZ47" s="19"/>
      <c r="ZA47" s="19"/>
      <c r="ZB47" s="19"/>
      <c r="ZC47" s="19"/>
      <c r="ZD47" s="19"/>
      <c r="ZE47" s="19"/>
      <c r="ZF47" s="19"/>
      <c r="ZG47" s="19"/>
      <c r="ZH47" s="19"/>
      <c r="ZI47" s="19"/>
      <c r="ZJ47" s="19"/>
      <c r="ZK47" s="19"/>
      <c r="ZL47" s="19"/>
      <c r="ZM47" s="19"/>
      <c r="ZN47" s="19"/>
      <c r="ZO47" s="19"/>
      <c r="ZP47" s="19"/>
      <c r="ZQ47" s="19"/>
      <c r="ZR47" s="19"/>
      <c r="ZS47" s="19"/>
      <c r="ZT47" s="19"/>
      <c r="ZU47" s="19"/>
      <c r="ZV47" s="19"/>
      <c r="ZW47" s="19"/>
      <c r="ZX47" s="19"/>
      <c r="ZY47" s="19"/>
      <c r="ZZ47" s="19"/>
      <c r="AAA47" s="19"/>
      <c r="AAB47" s="19"/>
      <c r="AAC47" s="19"/>
      <c r="AAD47" s="19"/>
      <c r="AAE47" s="19"/>
      <c r="AAF47" s="19"/>
      <c r="AAG47" s="19"/>
      <c r="AAH47" s="19"/>
      <c r="AAI47" s="19"/>
      <c r="AAJ47" s="19"/>
      <c r="AAK47" s="19"/>
      <c r="AAL47" s="19"/>
      <c r="AAM47" s="19"/>
      <c r="AAN47" s="19"/>
      <c r="AAO47" s="19"/>
      <c r="AAP47" s="19"/>
      <c r="AAQ47" s="19"/>
      <c r="AAR47" s="19"/>
      <c r="AAS47" s="19"/>
      <c r="AAT47" s="19"/>
      <c r="AAU47" s="19"/>
      <c r="AAV47" s="19"/>
      <c r="AAW47" s="19"/>
      <c r="AAX47" s="19"/>
      <c r="AAY47" s="19"/>
      <c r="AAZ47" s="19"/>
      <c r="ABA47" s="19"/>
      <c r="ABB47" s="19"/>
      <c r="ABC47" s="19"/>
      <c r="ABD47" s="19"/>
      <c r="ABE47" s="19"/>
      <c r="ABF47" s="19"/>
      <c r="ABG47" s="19"/>
      <c r="ABH47" s="19"/>
      <c r="ABI47" s="19"/>
      <c r="ABJ47" s="19"/>
      <c r="ABK47" s="19"/>
      <c r="ABL47" s="19"/>
      <c r="ABM47" s="19"/>
      <c r="ABN47" s="19"/>
      <c r="ABO47" s="19"/>
      <c r="ABP47" s="19"/>
      <c r="ABQ47" s="19"/>
      <c r="ABR47" s="19"/>
      <c r="ABS47" s="19"/>
      <c r="ABT47" s="19"/>
      <c r="ABU47" s="19"/>
      <c r="ABV47" s="19"/>
      <c r="ABW47" s="19"/>
      <c r="ABX47" s="19"/>
      <c r="ABY47" s="19"/>
      <c r="ABZ47" s="19"/>
      <c r="ACA47" s="19"/>
      <c r="ACB47" s="19"/>
      <c r="ACC47" s="19"/>
      <c r="ACD47" s="19"/>
      <c r="ACE47" s="19"/>
      <c r="ACF47" s="19"/>
      <c r="ACG47" s="19"/>
      <c r="ACH47" s="19"/>
      <c r="ACI47" s="19"/>
      <c r="ACJ47" s="19"/>
      <c r="ACK47" s="19"/>
      <c r="ACL47" s="19"/>
      <c r="ACM47" s="19"/>
      <c r="ACN47" s="19"/>
      <c r="ACO47" s="19"/>
      <c r="ACP47" s="19"/>
      <c r="ACQ47" s="19"/>
      <c r="ACR47" s="19"/>
      <c r="ACS47" s="19"/>
      <c r="ACT47" s="19"/>
      <c r="ACU47" s="19"/>
      <c r="ACV47" s="19"/>
      <c r="ACW47" s="19"/>
      <c r="ACX47" s="19"/>
      <c r="ACY47" s="19"/>
      <c r="ACZ47" s="19"/>
      <c r="ADA47" s="19"/>
      <c r="ADB47" s="19"/>
      <c r="ADC47" s="19"/>
      <c r="ADD47" s="19"/>
      <c r="ADE47" s="19"/>
      <c r="ADF47" s="19"/>
      <c r="ADG47" s="19"/>
      <c r="ADH47" s="19"/>
      <c r="ADI47" s="19"/>
      <c r="ADJ47" s="19"/>
      <c r="ADK47" s="19"/>
      <c r="ADL47" s="19"/>
      <c r="ADM47" s="19"/>
      <c r="ADN47" s="19"/>
      <c r="ADO47" s="19"/>
      <c r="ADP47" s="19"/>
      <c r="ADQ47" s="19"/>
      <c r="ADR47" s="19"/>
      <c r="ADS47" s="19"/>
      <c r="ADT47" s="19"/>
      <c r="ADU47" s="19"/>
      <c r="ADV47" s="19"/>
      <c r="ADW47" s="19"/>
      <c r="ADX47" s="19"/>
      <c r="ADY47" s="19"/>
      <c r="ADZ47" s="19"/>
      <c r="AEA47" s="19"/>
      <c r="AEB47" s="19"/>
      <c r="AEC47" s="19"/>
      <c r="AED47" s="19"/>
      <c r="AEE47" s="19"/>
      <c r="AEF47" s="19"/>
      <c r="AEG47" s="19"/>
      <c r="AEH47" s="19"/>
      <c r="AEI47" s="19"/>
      <c r="AEJ47" s="19"/>
      <c r="AEK47" s="19"/>
      <c r="AEL47" s="19"/>
      <c r="AEM47" s="19"/>
      <c r="AEN47" s="19"/>
      <c r="AEO47" s="19"/>
      <c r="AEP47" s="19"/>
      <c r="AEQ47" s="19"/>
      <c r="AER47" s="19"/>
      <c r="AES47" s="19"/>
      <c r="AET47" s="19"/>
      <c r="AEU47" s="19"/>
      <c r="AEV47" s="19"/>
      <c r="AEW47" s="19"/>
      <c r="AEX47" s="19"/>
      <c r="AEY47" s="19"/>
      <c r="AEZ47" s="19"/>
      <c r="AFA47" s="19"/>
      <c r="AFB47" s="19"/>
      <c r="AFC47" s="19"/>
      <c r="AFD47" s="19"/>
      <c r="AFE47" s="19"/>
      <c r="AFF47" s="19"/>
      <c r="AFG47" s="19"/>
      <c r="AFH47" s="19"/>
      <c r="AFI47" s="19"/>
      <c r="AFJ47" s="19"/>
      <c r="AFK47" s="19"/>
      <c r="AFL47" s="19"/>
      <c r="AFM47" s="19"/>
      <c r="AFN47" s="19"/>
      <c r="AFO47" s="19"/>
      <c r="AFP47" s="19"/>
      <c r="AFQ47" s="19"/>
      <c r="AFR47" s="19"/>
      <c r="AFS47" s="19"/>
      <c r="AFT47" s="19"/>
      <c r="AFU47" s="19"/>
      <c r="AFV47" s="19"/>
      <c r="AFW47" s="19"/>
      <c r="AFX47" s="19"/>
      <c r="AFY47" s="19"/>
      <c r="AFZ47" s="19"/>
      <c r="AGA47" s="19"/>
      <c r="AGB47" s="19"/>
      <c r="AGC47" s="19"/>
      <c r="AGD47" s="19"/>
      <c r="AGE47" s="19"/>
      <c r="AGF47" s="19"/>
      <c r="AGG47" s="19"/>
      <c r="AGH47" s="19"/>
      <c r="AGI47" s="19"/>
      <c r="AGJ47" s="19"/>
      <c r="AGK47" s="19"/>
      <c r="AGL47" s="19"/>
      <c r="AGM47" s="19"/>
      <c r="AGN47" s="19"/>
      <c r="AGO47" s="19"/>
      <c r="AGP47" s="19"/>
      <c r="AGQ47" s="19"/>
      <c r="AGR47" s="19"/>
      <c r="AGS47" s="19"/>
      <c r="AGT47" s="19"/>
      <c r="AGU47" s="19"/>
      <c r="AGV47" s="19"/>
      <c r="AGW47" s="19"/>
      <c r="AGX47" s="19"/>
      <c r="AGY47" s="19"/>
      <c r="AGZ47" s="19"/>
      <c r="AHA47" s="19"/>
      <c r="AHB47" s="19"/>
      <c r="AHC47" s="19"/>
      <c r="AHD47" s="19"/>
      <c r="AHE47" s="19"/>
      <c r="AHF47" s="19"/>
      <c r="AHG47" s="19"/>
      <c r="AHH47" s="19"/>
      <c r="AHI47" s="19"/>
      <c r="AHJ47" s="19"/>
      <c r="AHK47" s="19"/>
      <c r="AHL47" s="19"/>
      <c r="AHM47" s="19"/>
      <c r="AHN47" s="19"/>
      <c r="AHO47" s="19"/>
      <c r="AHP47" s="19"/>
      <c r="AHQ47" s="19"/>
      <c r="AHR47" s="19"/>
      <c r="AHS47" s="19"/>
      <c r="AHT47" s="19"/>
      <c r="AHU47" s="19"/>
      <c r="AHV47" s="19"/>
      <c r="AHW47" s="19"/>
      <c r="AHX47" s="19"/>
      <c r="AHY47" s="19"/>
      <c r="AHZ47" s="19"/>
      <c r="AIA47" s="19"/>
      <c r="AIB47" s="19"/>
      <c r="AIC47" s="19"/>
      <c r="AID47" s="19"/>
      <c r="AIE47" s="19"/>
      <c r="AIF47" s="19"/>
      <c r="AIG47" s="19"/>
      <c r="AIH47" s="19"/>
      <c r="AII47" s="19"/>
      <c r="AIJ47" s="19"/>
      <c r="AIK47" s="19"/>
      <c r="AIL47" s="19"/>
      <c r="AIM47" s="19"/>
      <c r="AIN47" s="19"/>
      <c r="AIO47" s="19"/>
      <c r="AIP47" s="19"/>
      <c r="AIQ47" s="19"/>
      <c r="AIR47" s="19"/>
      <c r="AIS47" s="19"/>
      <c r="AIT47" s="19"/>
      <c r="AIU47" s="19"/>
      <c r="AIV47" s="19"/>
      <c r="AIW47" s="19"/>
      <c r="AIX47" s="19"/>
      <c r="AIY47" s="19"/>
      <c r="AIZ47" s="19"/>
      <c r="AJA47" s="19"/>
      <c r="AJB47" s="19"/>
      <c r="AJC47" s="19"/>
      <c r="AJD47" s="19"/>
      <c r="AJE47" s="19"/>
      <c r="AJF47" s="19"/>
      <c r="AJG47" s="19"/>
      <c r="AJH47" s="19"/>
      <c r="AJI47" s="19"/>
      <c r="AJJ47" s="19"/>
      <c r="AJK47" s="19"/>
      <c r="AJL47" s="19"/>
      <c r="AJM47" s="19"/>
      <c r="AJN47" s="19"/>
      <c r="AJO47" s="19"/>
      <c r="AJP47" s="19"/>
      <c r="AJQ47" s="19"/>
      <c r="AJR47" s="19"/>
      <c r="AJS47" s="19"/>
      <c r="AJT47" s="19"/>
      <c r="AJU47" s="19"/>
      <c r="AJV47" s="19"/>
      <c r="AJW47" s="19"/>
      <c r="AJX47" s="19"/>
      <c r="AJY47" s="19"/>
      <c r="AJZ47" s="19"/>
      <c r="AKA47" s="19"/>
      <c r="AKB47" s="19"/>
      <c r="AKC47" s="19"/>
      <c r="AKD47" s="19"/>
      <c r="AKE47" s="19"/>
      <c r="AKF47" s="19"/>
      <c r="AKG47" s="19"/>
      <c r="AKH47" s="19"/>
      <c r="AKI47" s="19"/>
      <c r="AKJ47" s="19"/>
      <c r="AKK47" s="19"/>
      <c r="AKL47" s="19"/>
      <c r="AKM47" s="19"/>
      <c r="AKN47" s="19"/>
      <c r="AKO47" s="19"/>
      <c r="AKP47" s="19"/>
      <c r="AKQ47" s="19"/>
      <c r="AKR47" s="19"/>
      <c r="AKS47" s="19"/>
      <c r="AKT47" s="19"/>
      <c r="AKU47" s="19"/>
      <c r="AKV47" s="19"/>
      <c r="AKW47" s="19"/>
      <c r="AKX47" s="19"/>
      <c r="AKY47" s="19"/>
      <c r="AKZ47" s="19"/>
      <c r="ALA47" s="19"/>
      <c r="ALB47" s="19"/>
      <c r="ALC47" s="19"/>
      <c r="ALD47" s="19"/>
      <c r="ALE47" s="19"/>
      <c r="ALF47" s="19"/>
      <c r="ALG47" s="19"/>
      <c r="ALH47" s="19"/>
      <c r="ALI47" s="19"/>
      <c r="ALJ47" s="19"/>
      <c r="ALK47" s="19"/>
      <c r="ALL47" s="19"/>
      <c r="ALM47" s="19"/>
      <c r="ALN47" s="19"/>
      <c r="ALO47" s="19"/>
      <c r="ALP47" s="19"/>
      <c r="ALQ47" s="19"/>
      <c r="ALR47" s="19"/>
      <c r="ALS47" s="19"/>
      <c r="ALT47" s="19"/>
      <c r="ALU47" s="19"/>
      <c r="ALV47" s="19"/>
      <c r="ALW47" s="19"/>
    </row>
    <row r="48" spans="2:1011" x14ac:dyDescent="0.25">
      <c r="B48" s="9" t="s">
        <v>70</v>
      </c>
      <c r="C48" s="5"/>
      <c r="D48" s="6" t="str">
        <f>IF(D$49="M0","M0", IF(D$50="M1","M1", IF(D$51="M2","M2", IF(D$52="M3","M3", IF(D$53="M4","M4", "!")))))</f>
        <v>M0</v>
      </c>
      <c r="E48" s="6" t="str">
        <f t="shared" ref="E48:BP48" si="1244">IF(E$49="M0","M0", IF(E$50="M1","M1", IF(E$51="M2","M2", IF(E$52="M3","M3", IF(E$53="M4","M4", "!")))))</f>
        <v>M0</v>
      </c>
      <c r="F48" s="6" t="str">
        <f t="shared" si="1244"/>
        <v>M0</v>
      </c>
      <c r="G48" s="6" t="str">
        <f t="shared" si="1244"/>
        <v>M0</v>
      </c>
      <c r="H48" s="6" t="str">
        <f t="shared" si="1244"/>
        <v>M0</v>
      </c>
      <c r="I48" s="6" t="str">
        <f t="shared" si="1244"/>
        <v>M0</v>
      </c>
      <c r="J48" s="6" t="str">
        <f t="shared" si="1244"/>
        <v>M0</v>
      </c>
      <c r="K48" s="6" t="str">
        <f t="shared" si="1244"/>
        <v>M0</v>
      </c>
      <c r="L48" s="6" t="str">
        <f t="shared" si="1244"/>
        <v>M0</v>
      </c>
      <c r="M48" s="6" t="str">
        <f t="shared" si="1244"/>
        <v>M0</v>
      </c>
      <c r="N48" s="6" t="str">
        <f t="shared" si="1244"/>
        <v>M0</v>
      </c>
      <c r="O48" s="6" t="str">
        <f t="shared" si="1244"/>
        <v>M0</v>
      </c>
      <c r="P48" s="6" t="str">
        <f t="shared" si="1244"/>
        <v>M0</v>
      </c>
      <c r="Q48" s="6" t="str">
        <f t="shared" si="1244"/>
        <v>M0</v>
      </c>
      <c r="R48" s="6" t="str">
        <f t="shared" si="1244"/>
        <v>M0</v>
      </c>
      <c r="S48" s="6" t="str">
        <f t="shared" si="1244"/>
        <v>M0</v>
      </c>
      <c r="T48" s="6" t="str">
        <f t="shared" si="1244"/>
        <v>M0</v>
      </c>
      <c r="U48" s="6" t="str">
        <f t="shared" si="1244"/>
        <v>M0</v>
      </c>
      <c r="V48" s="6" t="str">
        <f t="shared" si="1244"/>
        <v>M0</v>
      </c>
      <c r="W48" s="6" t="str">
        <f t="shared" si="1244"/>
        <v>M0</v>
      </c>
      <c r="X48" s="6" t="str">
        <f t="shared" si="1244"/>
        <v>M0</v>
      </c>
      <c r="Y48" s="6" t="str">
        <f t="shared" si="1244"/>
        <v>M0</v>
      </c>
      <c r="Z48" s="6" t="str">
        <f t="shared" si="1244"/>
        <v>M0</v>
      </c>
      <c r="AA48" s="6" t="str">
        <f t="shared" si="1244"/>
        <v>M0</v>
      </c>
      <c r="AB48" s="6" t="str">
        <f t="shared" si="1244"/>
        <v>M0</v>
      </c>
      <c r="AC48" s="6" t="str">
        <f t="shared" si="1244"/>
        <v>M0</v>
      </c>
      <c r="AD48" s="6" t="str">
        <f t="shared" si="1244"/>
        <v>M0</v>
      </c>
      <c r="AE48" s="6" t="str">
        <f t="shared" si="1244"/>
        <v>M0</v>
      </c>
      <c r="AF48" s="6" t="str">
        <f t="shared" si="1244"/>
        <v>M0</v>
      </c>
      <c r="AG48" s="6" t="str">
        <f t="shared" si="1244"/>
        <v>M0</v>
      </c>
      <c r="AH48" s="6" t="str">
        <f t="shared" si="1244"/>
        <v>M0</v>
      </c>
      <c r="AI48" s="6" t="str">
        <f t="shared" si="1244"/>
        <v>M0</v>
      </c>
      <c r="AJ48" s="6" t="str">
        <f t="shared" si="1244"/>
        <v>M0</v>
      </c>
      <c r="AK48" s="6" t="str">
        <f t="shared" si="1244"/>
        <v>M0</v>
      </c>
      <c r="AL48" s="6" t="str">
        <f t="shared" si="1244"/>
        <v>M0</v>
      </c>
      <c r="AM48" s="6" t="str">
        <f t="shared" si="1244"/>
        <v>M0</v>
      </c>
      <c r="AN48" s="6" t="str">
        <f t="shared" si="1244"/>
        <v>M0</v>
      </c>
      <c r="AO48" s="6" t="str">
        <f t="shared" si="1244"/>
        <v>M0</v>
      </c>
      <c r="AP48" s="6" t="str">
        <f t="shared" si="1244"/>
        <v>M0</v>
      </c>
      <c r="AQ48" s="6" t="str">
        <f t="shared" si="1244"/>
        <v>M0</v>
      </c>
      <c r="AR48" s="6" t="str">
        <f t="shared" si="1244"/>
        <v>M0</v>
      </c>
      <c r="AS48" s="6" t="str">
        <f t="shared" si="1244"/>
        <v>M0</v>
      </c>
      <c r="AT48" s="6" t="str">
        <f t="shared" si="1244"/>
        <v>M0</v>
      </c>
      <c r="AU48" s="6" t="str">
        <f t="shared" si="1244"/>
        <v>M0</v>
      </c>
      <c r="AV48" s="6" t="str">
        <f t="shared" si="1244"/>
        <v>M0</v>
      </c>
      <c r="AW48" s="6" t="str">
        <f t="shared" si="1244"/>
        <v>M1</v>
      </c>
      <c r="AX48" s="6" t="str">
        <f t="shared" si="1244"/>
        <v>M1</v>
      </c>
      <c r="AY48" s="6" t="str">
        <f t="shared" si="1244"/>
        <v>M1</v>
      </c>
      <c r="AZ48" s="6" t="str">
        <f t="shared" si="1244"/>
        <v>M1</v>
      </c>
      <c r="BA48" s="6" t="str">
        <f t="shared" si="1244"/>
        <v>M1</v>
      </c>
      <c r="BB48" s="6" t="str">
        <f t="shared" si="1244"/>
        <v>M1</v>
      </c>
      <c r="BC48" s="6" t="str">
        <f t="shared" si="1244"/>
        <v>M1</v>
      </c>
      <c r="BD48" s="6" t="str">
        <f t="shared" si="1244"/>
        <v>M1</v>
      </c>
      <c r="BE48" s="6" t="str">
        <f t="shared" si="1244"/>
        <v>M1</v>
      </c>
      <c r="BF48" s="6" t="str">
        <f t="shared" si="1244"/>
        <v>M1</v>
      </c>
      <c r="BG48" s="6" t="str">
        <f t="shared" si="1244"/>
        <v>M0</v>
      </c>
      <c r="BH48" s="6" t="str">
        <f t="shared" si="1244"/>
        <v>M0</v>
      </c>
      <c r="BI48" s="6" t="str">
        <f t="shared" si="1244"/>
        <v>M0</v>
      </c>
      <c r="BJ48" s="6" t="str">
        <f t="shared" si="1244"/>
        <v>M0</v>
      </c>
      <c r="BK48" s="6" t="str">
        <f t="shared" si="1244"/>
        <v>M0</v>
      </c>
      <c r="BL48" s="6" t="str">
        <f t="shared" si="1244"/>
        <v>M0</v>
      </c>
      <c r="BM48" s="6" t="str">
        <f t="shared" si="1244"/>
        <v>M0</v>
      </c>
      <c r="BN48" s="6" t="str">
        <f t="shared" si="1244"/>
        <v>M0</v>
      </c>
      <c r="BO48" s="6" t="str">
        <f t="shared" si="1244"/>
        <v>M0</v>
      </c>
      <c r="BP48" s="6" t="str">
        <f t="shared" si="1244"/>
        <v>M0</v>
      </c>
      <c r="BQ48" s="6" t="str">
        <f t="shared" ref="BQ48:EB48" si="1245">IF(BQ$49="M0","M0", IF(BQ$50="M1","M1", IF(BQ$51="M2","M2", IF(BQ$52="M3","M3", IF(BQ$53="M4","M4", "!")))))</f>
        <v>M0</v>
      </c>
      <c r="BR48" s="6" t="str">
        <f t="shared" si="1245"/>
        <v>M0</v>
      </c>
      <c r="BS48" s="6" t="str">
        <f t="shared" si="1245"/>
        <v>M0</v>
      </c>
      <c r="BT48" s="6" t="str">
        <f t="shared" si="1245"/>
        <v>M0</v>
      </c>
      <c r="BU48" s="6" t="str">
        <f t="shared" si="1245"/>
        <v>M0</v>
      </c>
      <c r="BV48" s="6" t="str">
        <f t="shared" si="1245"/>
        <v>M0</v>
      </c>
      <c r="BW48" s="6" t="str">
        <f t="shared" si="1245"/>
        <v>M0</v>
      </c>
      <c r="BX48" s="6" t="str">
        <f t="shared" si="1245"/>
        <v>M0</v>
      </c>
      <c r="BY48" s="6" t="str">
        <f t="shared" si="1245"/>
        <v>M0</v>
      </c>
      <c r="BZ48" s="6" t="str">
        <f t="shared" si="1245"/>
        <v>M0</v>
      </c>
      <c r="CA48" s="6" t="str">
        <f t="shared" si="1245"/>
        <v>M0</v>
      </c>
      <c r="CB48" s="6" t="str">
        <f t="shared" si="1245"/>
        <v>M0</v>
      </c>
      <c r="CC48" s="6" t="str">
        <f t="shared" si="1245"/>
        <v>M0</v>
      </c>
      <c r="CD48" s="6" t="str">
        <f t="shared" si="1245"/>
        <v>M0</v>
      </c>
      <c r="CE48" s="6" t="str">
        <f t="shared" si="1245"/>
        <v>M0</v>
      </c>
      <c r="CF48" s="6" t="str">
        <f t="shared" si="1245"/>
        <v>M0</v>
      </c>
      <c r="CG48" s="6" t="str">
        <f t="shared" si="1245"/>
        <v>M0</v>
      </c>
      <c r="CH48" s="6" t="str">
        <f t="shared" si="1245"/>
        <v>M0</v>
      </c>
      <c r="CI48" s="6" t="str">
        <f t="shared" si="1245"/>
        <v>M0</v>
      </c>
      <c r="CJ48" s="6" t="str">
        <f t="shared" si="1245"/>
        <v>M0</v>
      </c>
      <c r="CK48" s="6" t="str">
        <f t="shared" si="1245"/>
        <v>M0</v>
      </c>
      <c r="CL48" s="6" t="str">
        <f t="shared" si="1245"/>
        <v>M0</v>
      </c>
      <c r="CM48" s="6" t="str">
        <f t="shared" si="1245"/>
        <v>M0</v>
      </c>
      <c r="CN48" s="6" t="str">
        <f t="shared" si="1245"/>
        <v>M0</v>
      </c>
      <c r="CO48" s="6" t="str">
        <f t="shared" si="1245"/>
        <v>M0</v>
      </c>
      <c r="CP48" s="6" t="str">
        <f t="shared" si="1245"/>
        <v>M0</v>
      </c>
      <c r="CQ48" s="6" t="str">
        <f t="shared" si="1245"/>
        <v>M0</v>
      </c>
      <c r="CR48" s="6" t="str">
        <f t="shared" si="1245"/>
        <v>M0</v>
      </c>
      <c r="CS48" s="6" t="str">
        <f t="shared" si="1245"/>
        <v>M0</v>
      </c>
      <c r="CT48" s="6" t="str">
        <f t="shared" si="1245"/>
        <v>M0</v>
      </c>
      <c r="CU48" s="6" t="str">
        <f t="shared" si="1245"/>
        <v>M0</v>
      </c>
      <c r="CV48" s="6" t="str">
        <f t="shared" si="1245"/>
        <v>M0</v>
      </c>
      <c r="CW48" s="6" t="str">
        <f t="shared" si="1245"/>
        <v>M0</v>
      </c>
      <c r="CX48" s="6" t="str">
        <f t="shared" si="1245"/>
        <v>M0</v>
      </c>
      <c r="CY48" s="6" t="str">
        <f t="shared" si="1245"/>
        <v>M0</v>
      </c>
      <c r="CZ48" s="6" t="str">
        <f t="shared" si="1245"/>
        <v>M0</v>
      </c>
      <c r="DA48" s="6" t="str">
        <f t="shared" si="1245"/>
        <v>M0</v>
      </c>
      <c r="DB48" s="6" t="str">
        <f t="shared" si="1245"/>
        <v>M0</v>
      </c>
      <c r="DC48" s="6" t="str">
        <f t="shared" si="1245"/>
        <v>M0</v>
      </c>
      <c r="DD48" s="6" t="str">
        <f t="shared" si="1245"/>
        <v>M0</v>
      </c>
      <c r="DE48" s="6" t="str">
        <f t="shared" si="1245"/>
        <v>M0</v>
      </c>
      <c r="DF48" s="6" t="str">
        <f t="shared" si="1245"/>
        <v>M0</v>
      </c>
      <c r="DG48" s="6" t="str">
        <f t="shared" si="1245"/>
        <v>M0</v>
      </c>
      <c r="DH48" s="6" t="str">
        <f t="shared" si="1245"/>
        <v>M0</v>
      </c>
      <c r="DI48" s="6" t="str">
        <f t="shared" si="1245"/>
        <v>M0</v>
      </c>
      <c r="DJ48" s="6" t="str">
        <f t="shared" si="1245"/>
        <v>M0</v>
      </c>
      <c r="DK48" s="6" t="str">
        <f t="shared" si="1245"/>
        <v>M0</v>
      </c>
      <c r="DL48" s="6" t="str">
        <f t="shared" si="1245"/>
        <v>M0</v>
      </c>
      <c r="DM48" s="6" t="str">
        <f t="shared" si="1245"/>
        <v>M0</v>
      </c>
      <c r="DN48" s="6" t="str">
        <f t="shared" si="1245"/>
        <v>M0</v>
      </c>
      <c r="DO48" s="6" t="str">
        <f t="shared" si="1245"/>
        <v>M0</v>
      </c>
      <c r="DP48" s="6" t="str">
        <f t="shared" si="1245"/>
        <v>M0</v>
      </c>
      <c r="DQ48" s="6" t="str">
        <f t="shared" si="1245"/>
        <v>M0</v>
      </c>
      <c r="DR48" s="6" t="str">
        <f t="shared" si="1245"/>
        <v>M0</v>
      </c>
      <c r="DS48" s="6" t="str">
        <f t="shared" si="1245"/>
        <v>M0</v>
      </c>
      <c r="DT48" s="6" t="str">
        <f t="shared" si="1245"/>
        <v>M0</v>
      </c>
      <c r="DU48" s="6" t="str">
        <f t="shared" si="1245"/>
        <v>M0</v>
      </c>
      <c r="DV48" s="6" t="str">
        <f t="shared" si="1245"/>
        <v>M0</v>
      </c>
      <c r="DW48" s="6" t="str">
        <f t="shared" si="1245"/>
        <v>M0</v>
      </c>
      <c r="DX48" s="6" t="str">
        <f t="shared" si="1245"/>
        <v>M0</v>
      </c>
      <c r="DY48" s="6" t="str">
        <f t="shared" si="1245"/>
        <v>M0</v>
      </c>
      <c r="DZ48" s="6" t="str">
        <f t="shared" si="1245"/>
        <v>M0</v>
      </c>
      <c r="EA48" s="6" t="str">
        <f t="shared" si="1245"/>
        <v>M0</v>
      </c>
      <c r="EB48" s="6" t="str">
        <f t="shared" si="1245"/>
        <v>M0</v>
      </c>
      <c r="EC48" s="6" t="str">
        <f t="shared" ref="EC48:GN48" si="1246">IF(EC$49="M0","M0", IF(EC$50="M1","M1", IF(EC$51="M2","M2", IF(EC$52="M3","M3", IF(EC$53="M4","M4", "!")))))</f>
        <v>M0</v>
      </c>
      <c r="ED48" s="6" t="str">
        <f t="shared" si="1246"/>
        <v>M0</v>
      </c>
      <c r="EE48" s="6" t="str">
        <f t="shared" si="1246"/>
        <v>M0</v>
      </c>
      <c r="EF48" s="6" t="str">
        <f t="shared" si="1246"/>
        <v>M0</v>
      </c>
      <c r="EG48" s="6" t="str">
        <f t="shared" si="1246"/>
        <v>M0</v>
      </c>
      <c r="EH48" s="6" t="str">
        <f t="shared" si="1246"/>
        <v>M0</v>
      </c>
      <c r="EI48" s="6" t="str">
        <f t="shared" si="1246"/>
        <v>M0</v>
      </c>
      <c r="EJ48" s="6" t="str">
        <f t="shared" si="1246"/>
        <v>M0</v>
      </c>
      <c r="EK48" s="6" t="str">
        <f t="shared" si="1246"/>
        <v>M0</v>
      </c>
      <c r="EL48" s="6" t="str">
        <f t="shared" si="1246"/>
        <v>M0</v>
      </c>
      <c r="EM48" s="6" t="str">
        <f t="shared" si="1246"/>
        <v>M0</v>
      </c>
      <c r="EN48" s="6" t="str">
        <f t="shared" si="1246"/>
        <v>M0</v>
      </c>
      <c r="EO48" s="6" t="str">
        <f t="shared" si="1246"/>
        <v>M0</v>
      </c>
      <c r="EP48" s="6" t="str">
        <f t="shared" si="1246"/>
        <v>M0</v>
      </c>
      <c r="EQ48" s="6" t="str">
        <f t="shared" si="1246"/>
        <v>M0</v>
      </c>
      <c r="ER48" s="6" t="str">
        <f t="shared" si="1246"/>
        <v>M0</v>
      </c>
      <c r="ES48" s="6" t="str">
        <f t="shared" si="1246"/>
        <v>M0</v>
      </c>
      <c r="ET48" s="6" t="str">
        <f t="shared" si="1246"/>
        <v>M0</v>
      </c>
      <c r="EU48" s="6" t="str">
        <f t="shared" si="1246"/>
        <v>M0</v>
      </c>
      <c r="EV48" s="6" t="str">
        <f t="shared" si="1246"/>
        <v>M0</v>
      </c>
      <c r="EW48" s="6" t="str">
        <f t="shared" si="1246"/>
        <v>M0</v>
      </c>
      <c r="EX48" s="6" t="str">
        <f t="shared" si="1246"/>
        <v>M0</v>
      </c>
      <c r="EY48" s="6" t="str">
        <f t="shared" si="1246"/>
        <v>M0</v>
      </c>
      <c r="EZ48" s="6" t="str">
        <f t="shared" si="1246"/>
        <v>M0</v>
      </c>
      <c r="FA48" s="6" t="str">
        <f t="shared" si="1246"/>
        <v>M0</v>
      </c>
      <c r="FB48" s="6" t="str">
        <f t="shared" si="1246"/>
        <v>M0</v>
      </c>
      <c r="FC48" s="6" t="str">
        <f t="shared" si="1246"/>
        <v>M0</v>
      </c>
      <c r="FD48" s="6" t="str">
        <f t="shared" si="1246"/>
        <v>M0</v>
      </c>
      <c r="FE48" s="6" t="str">
        <f t="shared" si="1246"/>
        <v>M0</v>
      </c>
      <c r="FF48" s="6" t="str">
        <f t="shared" si="1246"/>
        <v>M0</v>
      </c>
      <c r="FG48" s="6" t="str">
        <f t="shared" si="1246"/>
        <v>M0</v>
      </c>
      <c r="FH48" s="6" t="str">
        <f t="shared" si="1246"/>
        <v>M0</v>
      </c>
      <c r="FI48" s="6" t="str">
        <f t="shared" si="1246"/>
        <v>M0</v>
      </c>
      <c r="FJ48" s="6" t="str">
        <f t="shared" si="1246"/>
        <v>M0</v>
      </c>
      <c r="FK48" s="6" t="str">
        <f t="shared" si="1246"/>
        <v>M0</v>
      </c>
      <c r="FL48" s="6" t="str">
        <f t="shared" si="1246"/>
        <v>M0</v>
      </c>
      <c r="FM48" s="6" t="str">
        <f t="shared" si="1246"/>
        <v>M0</v>
      </c>
      <c r="FN48" s="6" t="str">
        <f t="shared" si="1246"/>
        <v>M0</v>
      </c>
      <c r="FO48" s="6" t="str">
        <f t="shared" si="1246"/>
        <v>M0</v>
      </c>
      <c r="FP48" s="6" t="str">
        <f t="shared" si="1246"/>
        <v>M0</v>
      </c>
      <c r="FQ48" s="6" t="str">
        <f t="shared" si="1246"/>
        <v>M0</v>
      </c>
      <c r="FR48" s="6" t="str">
        <f t="shared" si="1246"/>
        <v>M0</v>
      </c>
      <c r="FS48" s="6" t="str">
        <f t="shared" si="1246"/>
        <v>M0</v>
      </c>
      <c r="FT48" s="6" t="str">
        <f t="shared" si="1246"/>
        <v>M0</v>
      </c>
      <c r="FU48" s="6" t="str">
        <f t="shared" si="1246"/>
        <v>M0</v>
      </c>
      <c r="FV48" s="6" t="str">
        <f t="shared" si="1246"/>
        <v>M0</v>
      </c>
      <c r="FW48" s="6" t="str">
        <f t="shared" si="1246"/>
        <v>M0</v>
      </c>
      <c r="FX48" s="6" t="str">
        <f t="shared" si="1246"/>
        <v>M0</v>
      </c>
      <c r="FY48" s="6" t="str">
        <f t="shared" si="1246"/>
        <v>M0</v>
      </c>
      <c r="FZ48" s="6" t="str">
        <f t="shared" si="1246"/>
        <v>M0</v>
      </c>
      <c r="GA48" s="6" t="str">
        <f t="shared" si="1246"/>
        <v>M0</v>
      </c>
      <c r="GB48" s="6" t="str">
        <f t="shared" si="1246"/>
        <v>M0</v>
      </c>
      <c r="GC48" s="6" t="str">
        <f t="shared" si="1246"/>
        <v>M0</v>
      </c>
      <c r="GD48" s="6" t="str">
        <f t="shared" si="1246"/>
        <v>M0</v>
      </c>
      <c r="GE48" s="6" t="str">
        <f t="shared" si="1246"/>
        <v>M0</v>
      </c>
      <c r="GF48" s="6" t="str">
        <f t="shared" si="1246"/>
        <v>M0</v>
      </c>
      <c r="GG48" s="6" t="str">
        <f t="shared" si="1246"/>
        <v>M0</v>
      </c>
      <c r="GH48" s="6" t="str">
        <f t="shared" si="1246"/>
        <v>M0</v>
      </c>
      <c r="GI48" s="6" t="str">
        <f t="shared" si="1246"/>
        <v>M0</v>
      </c>
      <c r="GJ48" s="6" t="str">
        <f t="shared" si="1246"/>
        <v>M0</v>
      </c>
      <c r="GK48" s="6" t="str">
        <f t="shared" si="1246"/>
        <v>M0</v>
      </c>
      <c r="GL48" s="6" t="str">
        <f t="shared" si="1246"/>
        <v>M0</v>
      </c>
      <c r="GM48" s="6" t="str">
        <f t="shared" si="1246"/>
        <v>M0</v>
      </c>
      <c r="GN48" s="6" t="str">
        <f t="shared" si="1246"/>
        <v>M0</v>
      </c>
      <c r="GO48" s="6" t="str">
        <f t="shared" ref="GO48:IZ48" si="1247">IF(GO$49="M0","M0", IF(GO$50="M1","M1", IF(GO$51="M2","M2", IF(GO$52="M3","M3", IF(GO$53="M4","M4", "!")))))</f>
        <v>M0</v>
      </c>
      <c r="GP48" s="6" t="str">
        <f t="shared" si="1247"/>
        <v>M0</v>
      </c>
      <c r="GQ48" s="6" t="str">
        <f t="shared" si="1247"/>
        <v>M0</v>
      </c>
      <c r="GR48" s="6" t="str">
        <f t="shared" si="1247"/>
        <v>M0</v>
      </c>
      <c r="GS48" s="6" t="str">
        <f t="shared" si="1247"/>
        <v>M0</v>
      </c>
      <c r="GT48" s="6" t="str">
        <f t="shared" si="1247"/>
        <v>M0</v>
      </c>
      <c r="GU48" s="6" t="str">
        <f t="shared" si="1247"/>
        <v>M0</v>
      </c>
      <c r="GV48" s="6" t="str">
        <f t="shared" si="1247"/>
        <v>M0</v>
      </c>
      <c r="GW48" s="6" t="str">
        <f t="shared" si="1247"/>
        <v>M0</v>
      </c>
      <c r="GX48" s="6" t="str">
        <f t="shared" si="1247"/>
        <v>M0</v>
      </c>
      <c r="GY48" s="6" t="str">
        <f t="shared" si="1247"/>
        <v>M0</v>
      </c>
      <c r="GZ48" s="6" t="str">
        <f t="shared" si="1247"/>
        <v>M0</v>
      </c>
      <c r="HA48" s="6" t="str">
        <f t="shared" si="1247"/>
        <v>M0</v>
      </c>
      <c r="HB48" s="6" t="str">
        <f t="shared" si="1247"/>
        <v>M0</v>
      </c>
      <c r="HC48" s="6" t="str">
        <f t="shared" si="1247"/>
        <v>M0</v>
      </c>
      <c r="HD48" s="6" t="str">
        <f t="shared" si="1247"/>
        <v>M0</v>
      </c>
      <c r="HE48" s="6" t="str">
        <f t="shared" si="1247"/>
        <v>M0</v>
      </c>
      <c r="HF48" s="6" t="str">
        <f t="shared" si="1247"/>
        <v>M0</v>
      </c>
      <c r="HG48" s="6" t="str">
        <f t="shared" si="1247"/>
        <v>M0</v>
      </c>
      <c r="HH48" s="6" t="str">
        <f t="shared" si="1247"/>
        <v>M0</v>
      </c>
      <c r="HI48" s="6" t="str">
        <f t="shared" si="1247"/>
        <v>M0</v>
      </c>
      <c r="HJ48" s="6" t="str">
        <f t="shared" si="1247"/>
        <v>M0</v>
      </c>
      <c r="HK48" s="6" t="str">
        <f t="shared" si="1247"/>
        <v>M0</v>
      </c>
      <c r="HL48" s="6" t="str">
        <f t="shared" si="1247"/>
        <v>M0</v>
      </c>
      <c r="HM48" s="6" t="str">
        <f t="shared" si="1247"/>
        <v>M0</v>
      </c>
      <c r="HN48" s="6" t="str">
        <f t="shared" si="1247"/>
        <v>M0</v>
      </c>
      <c r="HO48" s="6" t="str">
        <f t="shared" si="1247"/>
        <v>M0</v>
      </c>
      <c r="HP48" s="6" t="str">
        <f t="shared" si="1247"/>
        <v>M0</v>
      </c>
      <c r="HQ48" s="6" t="str">
        <f t="shared" si="1247"/>
        <v>M0</v>
      </c>
      <c r="HR48" s="6" t="str">
        <f t="shared" si="1247"/>
        <v>M0</v>
      </c>
      <c r="HS48" s="6" t="str">
        <f t="shared" si="1247"/>
        <v>M0</v>
      </c>
      <c r="HT48" s="6" t="str">
        <f t="shared" si="1247"/>
        <v>M0</v>
      </c>
      <c r="HU48" s="6" t="str">
        <f t="shared" si="1247"/>
        <v>M0</v>
      </c>
      <c r="HV48" s="6" t="str">
        <f t="shared" si="1247"/>
        <v>M0</v>
      </c>
      <c r="HW48" s="6" t="str">
        <f t="shared" si="1247"/>
        <v>M0</v>
      </c>
      <c r="HX48" s="6" t="str">
        <f t="shared" si="1247"/>
        <v>M0</v>
      </c>
      <c r="HY48" s="6" t="str">
        <f t="shared" si="1247"/>
        <v>M0</v>
      </c>
      <c r="HZ48" s="6" t="str">
        <f t="shared" si="1247"/>
        <v>M0</v>
      </c>
      <c r="IA48" s="6" t="str">
        <f t="shared" si="1247"/>
        <v>M0</v>
      </c>
      <c r="IB48" s="6" t="str">
        <f t="shared" si="1247"/>
        <v>M0</v>
      </c>
      <c r="IC48" s="6" t="str">
        <f t="shared" si="1247"/>
        <v>M0</v>
      </c>
      <c r="ID48" s="6" t="str">
        <f t="shared" si="1247"/>
        <v>M0</v>
      </c>
      <c r="IE48" s="6" t="str">
        <f t="shared" si="1247"/>
        <v>M0</v>
      </c>
      <c r="IF48" s="6" t="str">
        <f t="shared" si="1247"/>
        <v>M0</v>
      </c>
      <c r="IG48" s="6" t="str">
        <f t="shared" si="1247"/>
        <v>M0</v>
      </c>
      <c r="IH48" s="6" t="str">
        <f t="shared" si="1247"/>
        <v>M0</v>
      </c>
      <c r="II48" s="6" t="str">
        <f t="shared" si="1247"/>
        <v>M0</v>
      </c>
      <c r="IJ48" s="6" t="str">
        <f t="shared" si="1247"/>
        <v>M0</v>
      </c>
      <c r="IK48" s="6" t="str">
        <f t="shared" si="1247"/>
        <v>M0</v>
      </c>
      <c r="IL48" s="6" t="str">
        <f t="shared" si="1247"/>
        <v>M0</v>
      </c>
      <c r="IM48" s="6" t="str">
        <f t="shared" si="1247"/>
        <v>M0</v>
      </c>
      <c r="IN48" s="6" t="str">
        <f t="shared" si="1247"/>
        <v>M0</v>
      </c>
      <c r="IO48" s="6" t="str">
        <f t="shared" si="1247"/>
        <v>M0</v>
      </c>
      <c r="IP48" s="6" t="str">
        <f t="shared" si="1247"/>
        <v>M0</v>
      </c>
      <c r="IQ48" s="6" t="str">
        <f t="shared" si="1247"/>
        <v>M0</v>
      </c>
      <c r="IR48" s="6" t="str">
        <f t="shared" si="1247"/>
        <v>M0</v>
      </c>
      <c r="IS48" s="6" t="str">
        <f t="shared" si="1247"/>
        <v>M0</v>
      </c>
      <c r="IT48" s="6" t="str">
        <f t="shared" si="1247"/>
        <v>M0</v>
      </c>
      <c r="IU48" s="6" t="str">
        <f t="shared" si="1247"/>
        <v>M0</v>
      </c>
      <c r="IV48" s="6" t="str">
        <f t="shared" si="1247"/>
        <v>M0</v>
      </c>
      <c r="IW48" s="6" t="str">
        <f t="shared" si="1247"/>
        <v>M0</v>
      </c>
      <c r="IX48" s="6" t="str">
        <f t="shared" si="1247"/>
        <v>M0</v>
      </c>
      <c r="IY48" s="6" t="str">
        <f t="shared" si="1247"/>
        <v>M0</v>
      </c>
      <c r="IZ48" s="6" t="str">
        <f t="shared" si="1247"/>
        <v>M0</v>
      </c>
      <c r="JA48" s="6" t="str">
        <f t="shared" ref="JA48:LL48" si="1248">IF(JA$49="M0","M0", IF(JA$50="M1","M1", IF(JA$51="M2","M2", IF(JA$52="M3","M3", IF(JA$53="M4","M4", "!")))))</f>
        <v>M0</v>
      </c>
      <c r="JB48" s="6" t="str">
        <f t="shared" si="1248"/>
        <v>M0</v>
      </c>
      <c r="JC48" s="6" t="str">
        <f t="shared" si="1248"/>
        <v>M0</v>
      </c>
      <c r="JD48" s="6" t="str">
        <f t="shared" si="1248"/>
        <v>M0</v>
      </c>
      <c r="JE48" s="6" t="str">
        <f t="shared" si="1248"/>
        <v>M0</v>
      </c>
      <c r="JF48" s="6" t="str">
        <f t="shared" si="1248"/>
        <v>M0</v>
      </c>
      <c r="JG48" s="6" t="str">
        <f t="shared" si="1248"/>
        <v>M0</v>
      </c>
      <c r="JH48" s="6" t="str">
        <f t="shared" si="1248"/>
        <v>M0</v>
      </c>
      <c r="JI48" s="6" t="str">
        <f t="shared" si="1248"/>
        <v>M0</v>
      </c>
      <c r="JJ48" s="6" t="str">
        <f t="shared" si="1248"/>
        <v>M0</v>
      </c>
      <c r="JK48" s="6" t="str">
        <f t="shared" si="1248"/>
        <v>M0</v>
      </c>
      <c r="JL48" s="6" t="str">
        <f t="shared" si="1248"/>
        <v>M0</v>
      </c>
      <c r="JM48" s="6" t="str">
        <f t="shared" si="1248"/>
        <v>M0</v>
      </c>
      <c r="JN48" s="6" t="str">
        <f t="shared" si="1248"/>
        <v>M0</v>
      </c>
      <c r="JO48" s="6" t="str">
        <f t="shared" si="1248"/>
        <v>M0</v>
      </c>
      <c r="JP48" s="6" t="str">
        <f t="shared" si="1248"/>
        <v>M0</v>
      </c>
      <c r="JQ48" s="6" t="str">
        <f t="shared" si="1248"/>
        <v>M0</v>
      </c>
      <c r="JR48" s="6" t="str">
        <f t="shared" si="1248"/>
        <v>M0</v>
      </c>
      <c r="JS48" s="6" t="str">
        <f t="shared" si="1248"/>
        <v>M0</v>
      </c>
      <c r="JT48" s="6" t="str">
        <f t="shared" si="1248"/>
        <v>M0</v>
      </c>
      <c r="JU48" s="6" t="str">
        <f t="shared" si="1248"/>
        <v>M0</v>
      </c>
      <c r="JV48" s="6" t="str">
        <f t="shared" si="1248"/>
        <v>M0</v>
      </c>
      <c r="JW48" s="6" t="str">
        <f t="shared" si="1248"/>
        <v>M0</v>
      </c>
      <c r="JX48" s="6" t="str">
        <f t="shared" si="1248"/>
        <v>M0</v>
      </c>
      <c r="JY48" s="6" t="str">
        <f t="shared" si="1248"/>
        <v>M0</v>
      </c>
      <c r="JZ48" s="6" t="str">
        <f t="shared" si="1248"/>
        <v>M0</v>
      </c>
      <c r="KA48" s="6" t="str">
        <f t="shared" si="1248"/>
        <v>M0</v>
      </c>
      <c r="KB48" s="6" t="str">
        <f t="shared" si="1248"/>
        <v>M0</v>
      </c>
      <c r="KC48" s="6" t="str">
        <f t="shared" si="1248"/>
        <v>M0</v>
      </c>
      <c r="KD48" s="6" t="str">
        <f t="shared" si="1248"/>
        <v>M0</v>
      </c>
      <c r="KE48" s="6" t="str">
        <f t="shared" si="1248"/>
        <v>M0</v>
      </c>
      <c r="KF48" s="6" t="str">
        <f t="shared" si="1248"/>
        <v>M0</v>
      </c>
      <c r="KG48" s="6" t="str">
        <f t="shared" si="1248"/>
        <v>M0</v>
      </c>
      <c r="KH48" s="6" t="str">
        <f t="shared" si="1248"/>
        <v>M0</v>
      </c>
      <c r="KI48" s="6" t="str">
        <f t="shared" si="1248"/>
        <v>M0</v>
      </c>
      <c r="KJ48" s="6" t="str">
        <f t="shared" si="1248"/>
        <v>M0</v>
      </c>
      <c r="KK48" s="6" t="str">
        <f t="shared" si="1248"/>
        <v>M0</v>
      </c>
      <c r="KL48" s="6" t="str">
        <f t="shared" si="1248"/>
        <v>M0</v>
      </c>
      <c r="KM48" s="6" t="str">
        <f t="shared" si="1248"/>
        <v>M0</v>
      </c>
      <c r="KN48" s="6" t="str">
        <f t="shared" si="1248"/>
        <v>M0</v>
      </c>
      <c r="KO48" s="6" t="str">
        <f t="shared" si="1248"/>
        <v>M0</v>
      </c>
      <c r="KP48" s="6" t="str">
        <f t="shared" si="1248"/>
        <v>M0</v>
      </c>
      <c r="KQ48" s="6" t="str">
        <f t="shared" si="1248"/>
        <v>M0</v>
      </c>
      <c r="KR48" s="6" t="str">
        <f t="shared" si="1248"/>
        <v>M0</v>
      </c>
      <c r="KS48" s="6" t="str">
        <f t="shared" si="1248"/>
        <v>M0</v>
      </c>
      <c r="KT48" s="6" t="str">
        <f t="shared" si="1248"/>
        <v>M0</v>
      </c>
      <c r="KU48" s="6" t="str">
        <f t="shared" si="1248"/>
        <v>M0</v>
      </c>
      <c r="KV48" s="6" t="str">
        <f t="shared" si="1248"/>
        <v>M0</v>
      </c>
      <c r="KW48" s="6" t="str">
        <f t="shared" si="1248"/>
        <v>M0</v>
      </c>
      <c r="KX48" s="6" t="str">
        <f t="shared" si="1248"/>
        <v>M0</v>
      </c>
      <c r="KY48" s="6" t="str">
        <f t="shared" si="1248"/>
        <v>M0</v>
      </c>
      <c r="KZ48" s="6" t="str">
        <f t="shared" si="1248"/>
        <v>M0</v>
      </c>
      <c r="LA48" s="6" t="str">
        <f t="shared" si="1248"/>
        <v>M0</v>
      </c>
      <c r="LB48" s="6" t="str">
        <f t="shared" si="1248"/>
        <v>M0</v>
      </c>
      <c r="LC48" s="6" t="str">
        <f t="shared" si="1248"/>
        <v>M0</v>
      </c>
      <c r="LD48" s="6" t="str">
        <f t="shared" si="1248"/>
        <v>M0</v>
      </c>
      <c r="LE48" s="6" t="str">
        <f t="shared" si="1248"/>
        <v>M0</v>
      </c>
      <c r="LF48" s="6" t="str">
        <f t="shared" si="1248"/>
        <v>M0</v>
      </c>
      <c r="LG48" s="6" t="str">
        <f t="shared" si="1248"/>
        <v>M0</v>
      </c>
      <c r="LH48" s="6" t="str">
        <f t="shared" si="1248"/>
        <v>M0</v>
      </c>
      <c r="LI48" s="6" t="str">
        <f t="shared" si="1248"/>
        <v>M0</v>
      </c>
      <c r="LJ48" s="6" t="str">
        <f t="shared" si="1248"/>
        <v>M0</v>
      </c>
      <c r="LK48" s="6" t="str">
        <f t="shared" si="1248"/>
        <v>M0</v>
      </c>
      <c r="LL48" s="6" t="str">
        <f t="shared" si="1248"/>
        <v>M0</v>
      </c>
      <c r="LM48" s="6" t="str">
        <f t="shared" ref="LM48:NX48" si="1249">IF(LM$49="M0","M0", IF(LM$50="M1","M1", IF(LM$51="M2","M2", IF(LM$52="M3","M3", IF(LM$53="M4","M4", "!")))))</f>
        <v>M0</v>
      </c>
      <c r="LN48" s="6" t="str">
        <f t="shared" si="1249"/>
        <v>M0</v>
      </c>
      <c r="LO48" s="6" t="str">
        <f t="shared" si="1249"/>
        <v>M0</v>
      </c>
      <c r="LP48" s="6" t="str">
        <f t="shared" si="1249"/>
        <v>M0</v>
      </c>
      <c r="LQ48" s="6" t="str">
        <f t="shared" si="1249"/>
        <v>M0</v>
      </c>
      <c r="LR48" s="6" t="str">
        <f t="shared" si="1249"/>
        <v>M0</v>
      </c>
      <c r="LS48" s="6" t="str">
        <f t="shared" si="1249"/>
        <v>M0</v>
      </c>
      <c r="LT48" s="6" t="str">
        <f t="shared" si="1249"/>
        <v>M0</v>
      </c>
      <c r="LU48" s="6" t="str">
        <f t="shared" si="1249"/>
        <v>M0</v>
      </c>
      <c r="LV48" s="6" t="str">
        <f t="shared" si="1249"/>
        <v>M0</v>
      </c>
      <c r="LW48" s="6" t="str">
        <f t="shared" si="1249"/>
        <v>M0</v>
      </c>
      <c r="LX48" s="6" t="str">
        <f t="shared" si="1249"/>
        <v>M0</v>
      </c>
      <c r="LY48" s="6" t="str">
        <f t="shared" ref="LY48:MQ48" si="1250">IF(LY$49="M0","M0", IF(LY$50="M1","M1", IF(LY$51="M2","M2", IF(LY$52="M3","M3", IF(LY$53="M4","M4", "!")))))</f>
        <v>M1</v>
      </c>
      <c r="LZ48" s="6" t="str">
        <f t="shared" si="1250"/>
        <v>M1</v>
      </c>
      <c r="MA48" s="6" t="str">
        <f t="shared" si="1250"/>
        <v>M1</v>
      </c>
      <c r="MB48" s="6" t="str">
        <f t="shared" si="1250"/>
        <v>M1</v>
      </c>
      <c r="MC48" s="6" t="str">
        <f t="shared" si="1250"/>
        <v>M1</v>
      </c>
      <c r="MD48" s="6" t="str">
        <f t="shared" si="1250"/>
        <v>M1</v>
      </c>
      <c r="ME48" s="6" t="str">
        <f t="shared" si="1250"/>
        <v>M1</v>
      </c>
      <c r="MF48" s="6" t="str">
        <f t="shared" si="1250"/>
        <v>M1</v>
      </c>
      <c r="MG48" s="6" t="str">
        <f t="shared" si="1250"/>
        <v>M1</v>
      </c>
      <c r="MH48" s="6" t="str">
        <f t="shared" si="1250"/>
        <v>M1</v>
      </c>
      <c r="MI48" s="6" t="str">
        <f t="shared" si="1250"/>
        <v>M0</v>
      </c>
      <c r="MJ48" s="6" t="str">
        <f t="shared" si="1250"/>
        <v>M0</v>
      </c>
      <c r="MK48" s="6" t="str">
        <f t="shared" si="1250"/>
        <v>M0</v>
      </c>
      <c r="ML48" s="6" t="str">
        <f t="shared" si="1250"/>
        <v>M0</v>
      </c>
      <c r="MM48" s="6" t="str">
        <f t="shared" si="1250"/>
        <v>M0</v>
      </c>
      <c r="MN48" s="6" t="str">
        <f t="shared" si="1250"/>
        <v>M0</v>
      </c>
      <c r="MO48" s="6" t="str">
        <f t="shared" si="1250"/>
        <v>M0</v>
      </c>
      <c r="MP48" s="6" t="str">
        <f t="shared" si="1250"/>
        <v>M0</v>
      </c>
      <c r="MQ48" s="6" t="str">
        <f t="shared" si="1250"/>
        <v>M0</v>
      </c>
      <c r="MR48" s="6" t="str">
        <f t="shared" si="1249"/>
        <v>M0</v>
      </c>
      <c r="MS48" s="6" t="str">
        <f t="shared" si="1249"/>
        <v>M0</v>
      </c>
      <c r="MT48" s="6" t="str">
        <f t="shared" si="1249"/>
        <v>M0</v>
      </c>
      <c r="MU48" s="6" t="str">
        <f t="shared" si="1249"/>
        <v>M0</v>
      </c>
      <c r="MV48" s="6" t="str">
        <f t="shared" si="1249"/>
        <v>M0</v>
      </c>
      <c r="MW48" s="6" t="str">
        <f t="shared" si="1249"/>
        <v>M0</v>
      </c>
      <c r="MX48" s="6" t="str">
        <f t="shared" si="1249"/>
        <v>M0</v>
      </c>
      <c r="MY48" s="6" t="str">
        <f t="shared" si="1249"/>
        <v>M0</v>
      </c>
      <c r="MZ48" s="6" t="str">
        <f t="shared" si="1249"/>
        <v>M0</v>
      </c>
      <c r="NA48" s="6" t="str">
        <f t="shared" si="1249"/>
        <v>M0</v>
      </c>
      <c r="NB48" s="6" t="str">
        <f t="shared" si="1249"/>
        <v>M0</v>
      </c>
      <c r="NC48" s="6" t="str">
        <f t="shared" si="1249"/>
        <v>M0</v>
      </c>
      <c r="ND48" s="6" t="str">
        <f t="shared" si="1249"/>
        <v>M0</v>
      </c>
      <c r="NE48" s="6" t="str">
        <f t="shared" si="1249"/>
        <v>M0</v>
      </c>
      <c r="NF48" s="6" t="str">
        <f t="shared" si="1249"/>
        <v>M0</v>
      </c>
      <c r="NG48" s="6" t="str">
        <f t="shared" si="1249"/>
        <v>M0</v>
      </c>
      <c r="NH48" s="6" t="str">
        <f t="shared" si="1249"/>
        <v>M0</v>
      </c>
      <c r="NI48" s="6" t="str">
        <f t="shared" si="1249"/>
        <v>M0</v>
      </c>
      <c r="NJ48" s="6" t="str">
        <f t="shared" si="1249"/>
        <v>M0</v>
      </c>
      <c r="NK48" s="6" t="str">
        <f t="shared" si="1249"/>
        <v>M0</v>
      </c>
      <c r="NL48" s="6" t="str">
        <f t="shared" si="1249"/>
        <v>M0</v>
      </c>
      <c r="NM48" s="6" t="str">
        <f t="shared" si="1249"/>
        <v>M0</v>
      </c>
      <c r="NN48" s="6" t="str">
        <f t="shared" si="1249"/>
        <v>M0</v>
      </c>
      <c r="NO48" s="6" t="str">
        <f t="shared" si="1249"/>
        <v>M0</v>
      </c>
      <c r="NP48" s="6" t="str">
        <f t="shared" si="1249"/>
        <v>M0</v>
      </c>
      <c r="NQ48" s="6" t="str">
        <f t="shared" si="1249"/>
        <v>M0</v>
      </c>
      <c r="NR48" s="6" t="str">
        <f t="shared" si="1249"/>
        <v>M0</v>
      </c>
      <c r="NS48" s="6" t="str">
        <f t="shared" si="1249"/>
        <v>M0</v>
      </c>
      <c r="NT48" s="6" t="str">
        <f t="shared" si="1249"/>
        <v>M0</v>
      </c>
      <c r="NU48" s="6" t="str">
        <f t="shared" si="1249"/>
        <v>M0</v>
      </c>
      <c r="NV48" s="6" t="str">
        <f t="shared" si="1249"/>
        <v>M0</v>
      </c>
      <c r="NW48" s="6" t="str">
        <f t="shared" si="1249"/>
        <v>M0</v>
      </c>
      <c r="NX48" s="6" t="str">
        <f t="shared" si="1249"/>
        <v>M0</v>
      </c>
      <c r="NY48" s="6" t="str">
        <f t="shared" ref="NY48:QJ48" si="1251">IF(NY$49="M0","M0", IF(NY$50="M1","M1", IF(NY$51="M2","M2", IF(NY$52="M3","M3", IF(NY$53="M4","M4", "!")))))</f>
        <v>M0</v>
      </c>
      <c r="NZ48" s="6" t="str">
        <f t="shared" si="1251"/>
        <v>M0</v>
      </c>
      <c r="OA48" s="6" t="str">
        <f t="shared" si="1251"/>
        <v>M0</v>
      </c>
      <c r="OB48" s="6" t="str">
        <f t="shared" si="1251"/>
        <v>M0</v>
      </c>
      <c r="OC48" s="6" t="str">
        <f t="shared" si="1251"/>
        <v>M0</v>
      </c>
      <c r="OD48" s="6" t="str">
        <f t="shared" si="1251"/>
        <v>M0</v>
      </c>
      <c r="OE48" s="6" t="str">
        <f t="shared" si="1251"/>
        <v>M0</v>
      </c>
      <c r="OF48" s="6" t="str">
        <f t="shared" si="1251"/>
        <v>M0</v>
      </c>
      <c r="OG48" s="6" t="str">
        <f t="shared" si="1251"/>
        <v>M0</v>
      </c>
      <c r="OH48" s="6" t="str">
        <f t="shared" si="1251"/>
        <v>M0</v>
      </c>
      <c r="OI48" s="6" t="str">
        <f t="shared" si="1251"/>
        <v>M0</v>
      </c>
      <c r="OJ48" s="6" t="str">
        <f t="shared" si="1251"/>
        <v>M0</v>
      </c>
      <c r="OK48" s="6" t="str">
        <f t="shared" si="1251"/>
        <v>M0</v>
      </c>
      <c r="OL48" s="6" t="str">
        <f t="shared" si="1251"/>
        <v>M0</v>
      </c>
      <c r="OM48" s="6" t="str">
        <f t="shared" si="1251"/>
        <v>M0</v>
      </c>
      <c r="ON48" s="6" t="str">
        <f t="shared" si="1251"/>
        <v>M0</v>
      </c>
      <c r="OO48" s="6" t="str">
        <f t="shared" si="1251"/>
        <v>M0</v>
      </c>
      <c r="OP48" s="6" t="str">
        <f t="shared" si="1251"/>
        <v>M0</v>
      </c>
      <c r="OQ48" s="6" t="str">
        <f t="shared" si="1251"/>
        <v>M0</v>
      </c>
      <c r="OR48" s="6" t="str">
        <f t="shared" si="1251"/>
        <v>M0</v>
      </c>
      <c r="OS48" s="6" t="str">
        <f t="shared" si="1251"/>
        <v>M0</v>
      </c>
      <c r="OT48" s="6" t="str">
        <f t="shared" si="1251"/>
        <v>M0</v>
      </c>
      <c r="OU48" s="6" t="str">
        <f t="shared" si="1251"/>
        <v>M0</v>
      </c>
      <c r="OV48" s="6" t="str">
        <f t="shared" si="1251"/>
        <v>M0</v>
      </c>
      <c r="OW48" s="6" t="str">
        <f t="shared" si="1251"/>
        <v>M0</v>
      </c>
      <c r="OX48" s="6" t="str">
        <f t="shared" si="1251"/>
        <v>M0</v>
      </c>
      <c r="OY48" s="6" t="str">
        <f t="shared" si="1251"/>
        <v>M0</v>
      </c>
      <c r="OZ48" s="6" t="str">
        <f t="shared" si="1251"/>
        <v>M0</v>
      </c>
      <c r="PA48" s="6" t="str">
        <f t="shared" si="1251"/>
        <v>M0</v>
      </c>
      <c r="PB48" s="6" t="str">
        <f t="shared" si="1251"/>
        <v>M0</v>
      </c>
      <c r="PC48" s="6" t="str">
        <f t="shared" si="1251"/>
        <v>M0</v>
      </c>
      <c r="PD48" s="6" t="str">
        <f t="shared" si="1251"/>
        <v>M0</v>
      </c>
      <c r="PE48" s="6" t="str">
        <f t="shared" si="1251"/>
        <v>M0</v>
      </c>
      <c r="PF48" s="6" t="str">
        <f t="shared" si="1251"/>
        <v>M0</v>
      </c>
      <c r="PG48" s="6" t="str">
        <f t="shared" si="1251"/>
        <v>M0</v>
      </c>
      <c r="PH48" s="6" t="str">
        <f t="shared" si="1251"/>
        <v>M0</v>
      </c>
      <c r="PI48" s="6" t="str">
        <f t="shared" si="1251"/>
        <v>M0</v>
      </c>
      <c r="PJ48" s="6" t="str">
        <f t="shared" si="1251"/>
        <v>M0</v>
      </c>
      <c r="PK48" s="6" t="str">
        <f t="shared" si="1251"/>
        <v>M0</v>
      </c>
      <c r="PL48" s="6" t="str">
        <f t="shared" si="1251"/>
        <v>M0</v>
      </c>
      <c r="PM48" s="6" t="str">
        <f t="shared" si="1251"/>
        <v>M0</v>
      </c>
      <c r="PN48" s="6" t="str">
        <f t="shared" si="1251"/>
        <v>M0</v>
      </c>
      <c r="PO48" s="6" t="str">
        <f t="shared" si="1251"/>
        <v>M0</v>
      </c>
      <c r="PP48" s="6" t="str">
        <f t="shared" si="1251"/>
        <v>M0</v>
      </c>
      <c r="PQ48" s="6" t="str">
        <f t="shared" si="1251"/>
        <v>M0</v>
      </c>
      <c r="PR48" s="6" t="str">
        <f t="shared" si="1251"/>
        <v>M0</v>
      </c>
      <c r="PS48" s="6" t="str">
        <f t="shared" si="1251"/>
        <v>M0</v>
      </c>
      <c r="PT48" s="6" t="str">
        <f t="shared" si="1251"/>
        <v>M0</v>
      </c>
      <c r="PU48" s="6" t="str">
        <f t="shared" si="1251"/>
        <v>M0</v>
      </c>
      <c r="PV48" s="6" t="str">
        <f t="shared" si="1251"/>
        <v>M0</v>
      </c>
      <c r="PW48" s="6" t="str">
        <f t="shared" si="1251"/>
        <v>M0</v>
      </c>
      <c r="PX48" s="6" t="str">
        <f t="shared" si="1251"/>
        <v>M0</v>
      </c>
      <c r="PY48" s="6" t="str">
        <f t="shared" si="1251"/>
        <v>M0</v>
      </c>
      <c r="PZ48" s="6" t="str">
        <f t="shared" si="1251"/>
        <v>M0</v>
      </c>
      <c r="QA48" s="6" t="str">
        <f t="shared" si="1251"/>
        <v>M0</v>
      </c>
      <c r="QB48" s="6" t="str">
        <f t="shared" si="1251"/>
        <v>M0</v>
      </c>
      <c r="QC48" s="6" t="str">
        <f t="shared" si="1251"/>
        <v>M0</v>
      </c>
      <c r="QD48" s="6" t="str">
        <f t="shared" si="1251"/>
        <v>M0</v>
      </c>
      <c r="QE48" s="6" t="str">
        <f t="shared" si="1251"/>
        <v>M0</v>
      </c>
      <c r="QF48" s="6" t="str">
        <f t="shared" si="1251"/>
        <v>M0</v>
      </c>
      <c r="QG48" s="6" t="str">
        <f t="shared" si="1251"/>
        <v>M0</v>
      </c>
      <c r="QH48" s="6" t="str">
        <f t="shared" si="1251"/>
        <v>M0</v>
      </c>
      <c r="QI48" s="6" t="str">
        <f t="shared" si="1251"/>
        <v>M0</v>
      </c>
      <c r="QJ48" s="6" t="str">
        <f t="shared" si="1251"/>
        <v>M0</v>
      </c>
      <c r="QK48" s="6" t="str">
        <f t="shared" ref="QK48:SV48" si="1252">IF(QK$49="M0","M0", IF(QK$50="M1","M1", IF(QK$51="M2","M2", IF(QK$52="M3","M3", IF(QK$53="M4","M4", "!")))))</f>
        <v>M0</v>
      </c>
      <c r="QL48" s="6" t="str">
        <f t="shared" si="1252"/>
        <v>M0</v>
      </c>
      <c r="QM48" s="6" t="str">
        <f t="shared" si="1252"/>
        <v>M0</v>
      </c>
      <c r="QN48" s="6" t="str">
        <f t="shared" si="1252"/>
        <v>M0</v>
      </c>
      <c r="QO48" s="6" t="str">
        <f t="shared" si="1252"/>
        <v>M0</v>
      </c>
      <c r="QP48" s="6" t="str">
        <f t="shared" si="1252"/>
        <v>M0</v>
      </c>
      <c r="QQ48" s="6" t="str">
        <f t="shared" si="1252"/>
        <v>M0</v>
      </c>
      <c r="QR48" s="6" t="str">
        <f t="shared" si="1252"/>
        <v>M0</v>
      </c>
      <c r="QS48" s="6" t="str">
        <f t="shared" si="1252"/>
        <v>M0</v>
      </c>
      <c r="QT48" s="6" t="str">
        <f t="shared" si="1252"/>
        <v>M0</v>
      </c>
      <c r="QU48" s="6" t="str">
        <f t="shared" si="1252"/>
        <v>M0</v>
      </c>
      <c r="QV48" s="6" t="str">
        <f t="shared" si="1252"/>
        <v>M0</v>
      </c>
      <c r="QW48" s="6" t="str">
        <f t="shared" si="1252"/>
        <v>M0</v>
      </c>
      <c r="QX48" s="6" t="str">
        <f t="shared" si="1252"/>
        <v>M0</v>
      </c>
      <c r="QY48" s="6" t="str">
        <f t="shared" si="1252"/>
        <v>M0</v>
      </c>
      <c r="QZ48" s="6" t="str">
        <f t="shared" si="1252"/>
        <v>M0</v>
      </c>
      <c r="RA48" s="6" t="str">
        <f t="shared" si="1252"/>
        <v>M0</v>
      </c>
      <c r="RB48" s="6" t="str">
        <f t="shared" si="1252"/>
        <v>M0</v>
      </c>
      <c r="RC48" s="6" t="str">
        <f t="shared" si="1252"/>
        <v>M0</v>
      </c>
      <c r="RD48" s="6" t="str">
        <f t="shared" si="1252"/>
        <v>M0</v>
      </c>
      <c r="RE48" s="6" t="str">
        <f t="shared" si="1252"/>
        <v>M0</v>
      </c>
      <c r="RF48" s="6" t="str">
        <f t="shared" si="1252"/>
        <v>M0</v>
      </c>
      <c r="RG48" s="6" t="str">
        <f t="shared" si="1252"/>
        <v>M0</v>
      </c>
      <c r="RH48" s="6" t="str">
        <f t="shared" si="1252"/>
        <v>M0</v>
      </c>
      <c r="RI48" s="6" t="str">
        <f t="shared" si="1252"/>
        <v>M0</v>
      </c>
      <c r="RJ48" s="6" t="str">
        <f t="shared" si="1252"/>
        <v>M0</v>
      </c>
      <c r="RK48" s="6" t="str">
        <f t="shared" si="1252"/>
        <v>M0</v>
      </c>
      <c r="RL48" s="6" t="str">
        <f t="shared" si="1252"/>
        <v>M0</v>
      </c>
      <c r="RM48" s="6" t="str">
        <f t="shared" si="1252"/>
        <v>M1</v>
      </c>
      <c r="RN48" s="6" t="str">
        <f t="shared" si="1252"/>
        <v>M1</v>
      </c>
      <c r="RO48" s="6" t="str">
        <f t="shared" si="1252"/>
        <v>M1</v>
      </c>
      <c r="RP48" s="6" t="str">
        <f t="shared" si="1252"/>
        <v>M1</v>
      </c>
      <c r="RQ48" s="6" t="str">
        <f t="shared" si="1252"/>
        <v>M1</v>
      </c>
      <c r="RR48" s="6" t="str">
        <f t="shared" si="1252"/>
        <v>M1</v>
      </c>
      <c r="RS48" s="6" t="str">
        <f t="shared" si="1252"/>
        <v>M1</v>
      </c>
      <c r="RT48" s="6" t="str">
        <f t="shared" si="1252"/>
        <v>M1</v>
      </c>
      <c r="RU48" s="6" t="str">
        <f t="shared" si="1252"/>
        <v>M1</v>
      </c>
      <c r="RV48" s="6" t="str">
        <f t="shared" si="1252"/>
        <v>M1</v>
      </c>
      <c r="RW48" s="6" t="str">
        <f t="shared" si="1252"/>
        <v>M0</v>
      </c>
      <c r="RX48" s="6" t="str">
        <f t="shared" si="1252"/>
        <v>M0</v>
      </c>
      <c r="RY48" s="6" t="str">
        <f t="shared" si="1252"/>
        <v>M0</v>
      </c>
      <c r="RZ48" s="6" t="str">
        <f t="shared" si="1252"/>
        <v>M0</v>
      </c>
      <c r="SA48" s="6" t="str">
        <f t="shared" si="1252"/>
        <v>M0</v>
      </c>
      <c r="SB48" s="6" t="str">
        <f t="shared" si="1252"/>
        <v>M0</v>
      </c>
      <c r="SC48" s="6" t="str">
        <f t="shared" si="1252"/>
        <v>M0</v>
      </c>
      <c r="SD48" s="6" t="str">
        <f t="shared" si="1252"/>
        <v>M0</v>
      </c>
      <c r="SE48" s="6" t="str">
        <f t="shared" si="1252"/>
        <v>M0</v>
      </c>
      <c r="SF48" s="6" t="str">
        <f t="shared" si="1252"/>
        <v>M0</v>
      </c>
      <c r="SG48" s="6" t="str">
        <f t="shared" si="1252"/>
        <v>M0</v>
      </c>
      <c r="SH48" s="6" t="str">
        <f t="shared" si="1252"/>
        <v>M0</v>
      </c>
      <c r="SI48" s="6" t="str">
        <f t="shared" si="1252"/>
        <v>M0</v>
      </c>
      <c r="SJ48" s="6" t="str">
        <f t="shared" si="1252"/>
        <v>M0</v>
      </c>
      <c r="SK48" s="6" t="str">
        <f t="shared" si="1252"/>
        <v>M0</v>
      </c>
      <c r="SL48" s="6" t="str">
        <f t="shared" si="1252"/>
        <v>M0</v>
      </c>
      <c r="SM48" s="6" t="str">
        <f t="shared" si="1252"/>
        <v>M0</v>
      </c>
      <c r="SN48" s="6" t="str">
        <f t="shared" si="1252"/>
        <v>M0</v>
      </c>
      <c r="SO48" s="6" t="str">
        <f t="shared" si="1252"/>
        <v>M0</v>
      </c>
      <c r="SP48" s="6" t="str">
        <f t="shared" si="1252"/>
        <v>M0</v>
      </c>
      <c r="SQ48" s="6" t="str">
        <f t="shared" si="1252"/>
        <v>M0</v>
      </c>
      <c r="SR48" s="6" t="str">
        <f t="shared" si="1252"/>
        <v>M0</v>
      </c>
      <c r="SS48" s="6" t="str">
        <f t="shared" si="1252"/>
        <v>M0</v>
      </c>
      <c r="ST48" s="6" t="str">
        <f t="shared" si="1252"/>
        <v>M0</v>
      </c>
      <c r="SU48" s="6" t="str">
        <f t="shared" si="1252"/>
        <v>M0</v>
      </c>
      <c r="SV48" s="6" t="str">
        <f t="shared" si="1252"/>
        <v>M0</v>
      </c>
      <c r="SW48" s="6" t="str">
        <f t="shared" ref="SW48:VH48" si="1253">IF(SW$49="M0","M0", IF(SW$50="M1","M1", IF(SW$51="M2","M2", IF(SW$52="M3","M3", IF(SW$53="M4","M4", "!")))))</f>
        <v>M0</v>
      </c>
      <c r="SX48" s="6" t="str">
        <f t="shared" si="1253"/>
        <v>M0</v>
      </c>
      <c r="SY48" s="6" t="str">
        <f t="shared" si="1253"/>
        <v>M0</v>
      </c>
      <c r="SZ48" s="6" t="str">
        <f t="shared" si="1253"/>
        <v>M0</v>
      </c>
      <c r="TA48" s="6" t="str">
        <f t="shared" si="1253"/>
        <v>M0</v>
      </c>
      <c r="TB48" s="6" t="str">
        <f t="shared" si="1253"/>
        <v>M0</v>
      </c>
      <c r="TC48" s="6" t="str">
        <f t="shared" si="1253"/>
        <v>M0</v>
      </c>
      <c r="TD48" s="6" t="str">
        <f t="shared" si="1253"/>
        <v>M0</v>
      </c>
      <c r="TE48" s="6" t="str">
        <f t="shared" si="1253"/>
        <v>M0</v>
      </c>
      <c r="TF48" s="6" t="str">
        <f t="shared" si="1253"/>
        <v>M0</v>
      </c>
      <c r="TG48" s="6" t="str">
        <f t="shared" si="1253"/>
        <v>M0</v>
      </c>
      <c r="TH48" s="6" t="str">
        <f t="shared" si="1253"/>
        <v>M0</v>
      </c>
      <c r="TI48" s="6" t="str">
        <f t="shared" si="1253"/>
        <v>M0</v>
      </c>
      <c r="TJ48" s="6" t="str">
        <f t="shared" si="1253"/>
        <v>M0</v>
      </c>
      <c r="TK48" s="6" t="str">
        <f t="shared" si="1253"/>
        <v>M0</v>
      </c>
      <c r="TL48" s="6" t="str">
        <f t="shared" si="1253"/>
        <v>M0</v>
      </c>
      <c r="TM48" s="6" t="str">
        <f t="shared" si="1253"/>
        <v>M0</v>
      </c>
      <c r="TN48" s="6" t="str">
        <f t="shared" si="1253"/>
        <v>M0</v>
      </c>
      <c r="TO48" s="6" t="str">
        <f t="shared" si="1253"/>
        <v>M0</v>
      </c>
      <c r="TP48" s="6" t="str">
        <f t="shared" si="1253"/>
        <v>M0</v>
      </c>
      <c r="TQ48" s="6" t="str">
        <f t="shared" si="1253"/>
        <v>M0</v>
      </c>
      <c r="TR48" s="6" t="str">
        <f t="shared" si="1253"/>
        <v>M0</v>
      </c>
      <c r="TS48" s="6" t="str">
        <f t="shared" si="1253"/>
        <v>M0</v>
      </c>
      <c r="TT48" s="6" t="str">
        <f t="shared" si="1253"/>
        <v>M0</v>
      </c>
      <c r="TU48" s="6" t="str">
        <f t="shared" si="1253"/>
        <v>M0</v>
      </c>
      <c r="TV48" s="6" t="str">
        <f t="shared" si="1253"/>
        <v>M0</v>
      </c>
      <c r="TW48" s="6" t="str">
        <f t="shared" si="1253"/>
        <v>M0</v>
      </c>
      <c r="TX48" s="6" t="str">
        <f t="shared" si="1253"/>
        <v>M0</v>
      </c>
      <c r="TY48" s="6" t="str">
        <f t="shared" si="1253"/>
        <v>M0</v>
      </c>
      <c r="TZ48" s="6" t="str">
        <f t="shared" si="1253"/>
        <v>M0</v>
      </c>
      <c r="UA48" s="6" t="str">
        <f t="shared" si="1253"/>
        <v>M0</v>
      </c>
      <c r="UB48" s="6" t="str">
        <f t="shared" si="1253"/>
        <v>M0</v>
      </c>
      <c r="UC48" s="6" t="str">
        <f t="shared" si="1253"/>
        <v>M0</v>
      </c>
      <c r="UD48" s="6" t="str">
        <f t="shared" si="1253"/>
        <v>M0</v>
      </c>
      <c r="UE48" s="6" t="str">
        <f t="shared" si="1253"/>
        <v>M0</v>
      </c>
      <c r="UF48" s="6" t="str">
        <f t="shared" si="1253"/>
        <v>M0</v>
      </c>
      <c r="UG48" s="6" t="str">
        <f t="shared" si="1253"/>
        <v>M0</v>
      </c>
      <c r="UH48" s="6" t="str">
        <f t="shared" si="1253"/>
        <v>M0</v>
      </c>
      <c r="UI48" s="6" t="str">
        <f t="shared" si="1253"/>
        <v>M0</v>
      </c>
      <c r="UJ48" s="6" t="str">
        <f t="shared" si="1253"/>
        <v>M0</v>
      </c>
      <c r="UK48" s="6" t="str">
        <f t="shared" si="1253"/>
        <v>M0</v>
      </c>
      <c r="UL48" s="6" t="str">
        <f t="shared" si="1253"/>
        <v>M0</v>
      </c>
      <c r="UM48" s="6" t="str">
        <f t="shared" si="1253"/>
        <v>M0</v>
      </c>
      <c r="UN48" s="6" t="str">
        <f t="shared" si="1253"/>
        <v>M0</v>
      </c>
      <c r="UO48" s="6" t="str">
        <f t="shared" si="1253"/>
        <v>M0</v>
      </c>
      <c r="UP48" s="6" t="str">
        <f t="shared" si="1253"/>
        <v>M0</v>
      </c>
      <c r="UQ48" s="6" t="str">
        <f t="shared" si="1253"/>
        <v>M0</v>
      </c>
      <c r="UR48" s="6" t="str">
        <f t="shared" si="1253"/>
        <v>M0</v>
      </c>
      <c r="US48" s="6" t="str">
        <f t="shared" si="1253"/>
        <v>M0</v>
      </c>
      <c r="UT48" s="6" t="str">
        <f t="shared" si="1253"/>
        <v>M0</v>
      </c>
      <c r="UU48" s="6" t="str">
        <f t="shared" si="1253"/>
        <v>M0</v>
      </c>
      <c r="UV48" s="6" t="str">
        <f t="shared" si="1253"/>
        <v>M0</v>
      </c>
      <c r="UW48" s="6" t="str">
        <f t="shared" si="1253"/>
        <v>M0</v>
      </c>
      <c r="UX48" s="6" t="str">
        <f t="shared" si="1253"/>
        <v>M0</v>
      </c>
      <c r="UY48" s="6" t="str">
        <f t="shared" si="1253"/>
        <v>M0</v>
      </c>
      <c r="UZ48" s="6" t="str">
        <f t="shared" si="1253"/>
        <v>M0</v>
      </c>
      <c r="VA48" s="6" t="str">
        <f t="shared" si="1253"/>
        <v>M0</v>
      </c>
      <c r="VB48" s="6" t="str">
        <f t="shared" si="1253"/>
        <v>M0</v>
      </c>
      <c r="VC48" s="6" t="str">
        <f t="shared" si="1253"/>
        <v>M0</v>
      </c>
      <c r="VD48" s="6" t="str">
        <f t="shared" si="1253"/>
        <v>M0</v>
      </c>
      <c r="VE48" s="6" t="str">
        <f t="shared" si="1253"/>
        <v>M0</v>
      </c>
      <c r="VF48" s="6" t="str">
        <f t="shared" si="1253"/>
        <v>M0</v>
      </c>
      <c r="VG48" s="6" t="str">
        <f t="shared" si="1253"/>
        <v>M0</v>
      </c>
      <c r="VH48" s="6" t="str">
        <f t="shared" si="1253"/>
        <v>M0</v>
      </c>
      <c r="VI48" s="6" t="str">
        <f t="shared" ref="VI48:XT48" si="1254">IF(VI$49="M0","M0", IF(VI$50="M1","M1", IF(VI$51="M2","M2", IF(VI$52="M3","M3", IF(VI$53="M4","M4", "!")))))</f>
        <v>M0</v>
      </c>
      <c r="VJ48" s="6" t="str">
        <f t="shared" si="1254"/>
        <v>M0</v>
      </c>
      <c r="VK48" s="6" t="str">
        <f t="shared" si="1254"/>
        <v>M0</v>
      </c>
      <c r="VL48" s="6" t="str">
        <f t="shared" si="1254"/>
        <v>M0</v>
      </c>
      <c r="VM48" s="6" t="str">
        <f t="shared" si="1254"/>
        <v>M0</v>
      </c>
      <c r="VN48" s="6" t="str">
        <f t="shared" si="1254"/>
        <v>M0</v>
      </c>
      <c r="VO48" s="6" t="str">
        <f t="shared" si="1254"/>
        <v>M0</v>
      </c>
      <c r="VP48" s="6" t="str">
        <f t="shared" si="1254"/>
        <v>M0</v>
      </c>
      <c r="VQ48" s="6" t="str">
        <f t="shared" si="1254"/>
        <v>M0</v>
      </c>
      <c r="VR48" s="6" t="str">
        <f t="shared" si="1254"/>
        <v>M0</v>
      </c>
      <c r="VS48" s="6" t="str">
        <f t="shared" si="1254"/>
        <v>M0</v>
      </c>
      <c r="VT48" s="6" t="str">
        <f t="shared" si="1254"/>
        <v>M0</v>
      </c>
      <c r="VU48" s="6" t="str">
        <f t="shared" si="1254"/>
        <v>M0</v>
      </c>
      <c r="VV48" s="6" t="str">
        <f t="shared" si="1254"/>
        <v>M0</v>
      </c>
      <c r="VW48" s="6" t="str">
        <f t="shared" si="1254"/>
        <v>M0</v>
      </c>
      <c r="VX48" s="6" t="str">
        <f t="shared" si="1254"/>
        <v>M0</v>
      </c>
      <c r="VY48" s="6" t="str">
        <f t="shared" si="1254"/>
        <v>M0</v>
      </c>
      <c r="VZ48" s="6" t="str">
        <f t="shared" si="1254"/>
        <v>M0</v>
      </c>
      <c r="WA48" s="6" t="str">
        <f t="shared" si="1254"/>
        <v>M0</v>
      </c>
      <c r="WB48" s="6" t="str">
        <f t="shared" si="1254"/>
        <v>M0</v>
      </c>
      <c r="WC48" s="6" t="str">
        <f t="shared" si="1254"/>
        <v>M0</v>
      </c>
      <c r="WD48" s="6" t="str">
        <f t="shared" si="1254"/>
        <v>M0</v>
      </c>
      <c r="WE48" s="6" t="str">
        <f t="shared" si="1254"/>
        <v>M0</v>
      </c>
      <c r="WF48" s="6" t="str">
        <f t="shared" si="1254"/>
        <v>M0</v>
      </c>
      <c r="WG48" s="6" t="str">
        <f t="shared" si="1254"/>
        <v>M0</v>
      </c>
      <c r="WH48" s="6" t="str">
        <f t="shared" si="1254"/>
        <v>M0</v>
      </c>
      <c r="WI48" s="6" t="str">
        <f t="shared" si="1254"/>
        <v>M0</v>
      </c>
      <c r="WJ48" s="6" t="str">
        <f t="shared" si="1254"/>
        <v>M0</v>
      </c>
      <c r="WK48" s="6" t="str">
        <f t="shared" si="1254"/>
        <v>M0</v>
      </c>
      <c r="WL48" s="6" t="str">
        <f t="shared" si="1254"/>
        <v>M0</v>
      </c>
      <c r="WM48" s="6" t="str">
        <f t="shared" si="1254"/>
        <v>M0</v>
      </c>
      <c r="WN48" s="6" t="str">
        <f t="shared" si="1254"/>
        <v>M0</v>
      </c>
      <c r="WO48" s="6" t="str">
        <f t="shared" si="1254"/>
        <v>M0</v>
      </c>
      <c r="WP48" s="6" t="str">
        <f t="shared" si="1254"/>
        <v>M0</v>
      </c>
      <c r="WQ48" s="6" t="str">
        <f t="shared" si="1254"/>
        <v>M0</v>
      </c>
      <c r="WR48" s="6" t="str">
        <f t="shared" si="1254"/>
        <v>M0</v>
      </c>
      <c r="WS48" s="6" t="str">
        <f t="shared" si="1254"/>
        <v>M0</v>
      </c>
      <c r="WT48" s="6" t="str">
        <f t="shared" si="1254"/>
        <v>M0</v>
      </c>
      <c r="WU48" s="6" t="str">
        <f t="shared" si="1254"/>
        <v>M0</v>
      </c>
      <c r="WV48" s="6" t="str">
        <f t="shared" si="1254"/>
        <v>M0</v>
      </c>
      <c r="WW48" s="6" t="str">
        <f t="shared" si="1254"/>
        <v>M0</v>
      </c>
      <c r="WX48" s="6" t="str">
        <f t="shared" si="1254"/>
        <v>M0</v>
      </c>
      <c r="WY48" s="6" t="str">
        <f t="shared" si="1254"/>
        <v>M0</v>
      </c>
      <c r="WZ48" s="6" t="str">
        <f t="shared" si="1254"/>
        <v>M0</v>
      </c>
      <c r="XA48" s="6" t="str">
        <f t="shared" si="1254"/>
        <v>M1</v>
      </c>
      <c r="XB48" s="6" t="str">
        <f t="shared" si="1254"/>
        <v>M1</v>
      </c>
      <c r="XC48" s="6" t="str">
        <f t="shared" si="1254"/>
        <v>M1</v>
      </c>
      <c r="XD48" s="6" t="str">
        <f t="shared" si="1254"/>
        <v>M1</v>
      </c>
      <c r="XE48" s="6" t="str">
        <f t="shared" si="1254"/>
        <v>M1</v>
      </c>
      <c r="XF48" s="6" t="str">
        <f t="shared" si="1254"/>
        <v>M1</v>
      </c>
      <c r="XG48" s="6" t="str">
        <f t="shared" si="1254"/>
        <v>M1</v>
      </c>
      <c r="XH48" s="6" t="str">
        <f t="shared" si="1254"/>
        <v>M1</v>
      </c>
      <c r="XI48" s="6" t="str">
        <f t="shared" si="1254"/>
        <v>M1</v>
      </c>
      <c r="XJ48" s="6" t="str">
        <f t="shared" si="1254"/>
        <v>M1</v>
      </c>
      <c r="XK48" s="6" t="str">
        <f t="shared" si="1254"/>
        <v>M0</v>
      </c>
      <c r="XL48" s="6" t="str">
        <f t="shared" si="1254"/>
        <v>M0</v>
      </c>
      <c r="XM48" s="6" t="str">
        <f t="shared" si="1254"/>
        <v>M0</v>
      </c>
      <c r="XN48" s="6" t="str">
        <f t="shared" si="1254"/>
        <v>M0</v>
      </c>
      <c r="XO48" s="6" t="str">
        <f t="shared" si="1254"/>
        <v>M0</v>
      </c>
      <c r="XP48" s="6" t="str">
        <f t="shared" si="1254"/>
        <v>M0</v>
      </c>
      <c r="XQ48" s="6" t="str">
        <f t="shared" si="1254"/>
        <v>M0</v>
      </c>
      <c r="XR48" s="6" t="str">
        <f t="shared" si="1254"/>
        <v>M0</v>
      </c>
      <c r="XS48" s="6" t="str">
        <f t="shared" si="1254"/>
        <v>M0</v>
      </c>
      <c r="XT48" s="6" t="str">
        <f t="shared" si="1254"/>
        <v>M0</v>
      </c>
      <c r="XU48" s="6" t="str">
        <f t="shared" ref="XU48:AAF48" si="1255">IF(XU$49="M0","M0", IF(XU$50="M1","M1", IF(XU$51="M2","M2", IF(XU$52="M3","M3", IF(XU$53="M4","M4", "!")))))</f>
        <v>M0</v>
      </c>
      <c r="XV48" s="6" t="str">
        <f t="shared" si="1255"/>
        <v>M0</v>
      </c>
      <c r="XW48" s="6" t="str">
        <f t="shared" si="1255"/>
        <v>M0</v>
      </c>
      <c r="XX48" s="6" t="str">
        <f t="shared" si="1255"/>
        <v>M0</v>
      </c>
      <c r="XY48" s="6" t="str">
        <f t="shared" si="1255"/>
        <v>M0</v>
      </c>
      <c r="XZ48" s="6" t="str">
        <f t="shared" si="1255"/>
        <v>M0</v>
      </c>
      <c r="YA48" s="6" t="str">
        <f t="shared" si="1255"/>
        <v>M0</v>
      </c>
      <c r="YB48" s="6" t="str">
        <f t="shared" si="1255"/>
        <v>M0</v>
      </c>
      <c r="YC48" s="6" t="str">
        <f t="shared" si="1255"/>
        <v>M0</v>
      </c>
      <c r="YD48" s="6" t="str">
        <f t="shared" si="1255"/>
        <v>M0</v>
      </c>
      <c r="YE48" s="6" t="str">
        <f t="shared" si="1255"/>
        <v>M0</v>
      </c>
      <c r="YF48" s="6" t="str">
        <f t="shared" si="1255"/>
        <v>M0</v>
      </c>
      <c r="YG48" s="6" t="str">
        <f t="shared" si="1255"/>
        <v>M0</v>
      </c>
      <c r="YH48" s="6" t="str">
        <f t="shared" si="1255"/>
        <v>M0</v>
      </c>
      <c r="YI48" s="6" t="str">
        <f t="shared" si="1255"/>
        <v>M0</v>
      </c>
      <c r="YJ48" s="6" t="str">
        <f t="shared" si="1255"/>
        <v>M0</v>
      </c>
      <c r="YK48" s="6" t="str">
        <f t="shared" si="1255"/>
        <v>M0</v>
      </c>
      <c r="YL48" s="6" t="str">
        <f t="shared" si="1255"/>
        <v>M0</v>
      </c>
      <c r="YM48" s="6" t="str">
        <f t="shared" si="1255"/>
        <v>M0</v>
      </c>
      <c r="YN48" s="6" t="str">
        <f t="shared" si="1255"/>
        <v>M0</v>
      </c>
      <c r="YO48" s="6" t="str">
        <f t="shared" si="1255"/>
        <v>M0</v>
      </c>
      <c r="YP48" s="6" t="str">
        <f t="shared" si="1255"/>
        <v>M0</v>
      </c>
      <c r="YQ48" s="6" t="str">
        <f t="shared" si="1255"/>
        <v>M0</v>
      </c>
      <c r="YR48" s="6" t="str">
        <f t="shared" si="1255"/>
        <v>M0</v>
      </c>
      <c r="YS48" s="6" t="str">
        <f t="shared" si="1255"/>
        <v>M0</v>
      </c>
      <c r="YT48" s="6" t="str">
        <f t="shared" si="1255"/>
        <v>M0</v>
      </c>
      <c r="YU48" s="6" t="str">
        <f t="shared" si="1255"/>
        <v>M0</v>
      </c>
      <c r="YV48" s="6" t="str">
        <f t="shared" si="1255"/>
        <v>M0</v>
      </c>
      <c r="YW48" s="6" t="str">
        <f t="shared" si="1255"/>
        <v>M0</v>
      </c>
      <c r="YX48" s="6" t="str">
        <f t="shared" si="1255"/>
        <v>M0</v>
      </c>
      <c r="YY48" s="6" t="str">
        <f t="shared" si="1255"/>
        <v>M0</v>
      </c>
      <c r="YZ48" s="6" t="str">
        <f t="shared" si="1255"/>
        <v>M0</v>
      </c>
      <c r="ZA48" s="6" t="str">
        <f t="shared" si="1255"/>
        <v>M0</v>
      </c>
      <c r="ZB48" s="6" t="str">
        <f t="shared" si="1255"/>
        <v>M0</v>
      </c>
      <c r="ZC48" s="6" t="str">
        <f t="shared" si="1255"/>
        <v>M0</v>
      </c>
      <c r="ZD48" s="6" t="str">
        <f t="shared" si="1255"/>
        <v>M0</v>
      </c>
      <c r="ZE48" s="6" t="str">
        <f t="shared" si="1255"/>
        <v>M0</v>
      </c>
      <c r="ZF48" s="6" t="str">
        <f t="shared" si="1255"/>
        <v>M0</v>
      </c>
      <c r="ZG48" s="6" t="str">
        <f t="shared" si="1255"/>
        <v>M0</v>
      </c>
      <c r="ZH48" s="6" t="str">
        <f t="shared" si="1255"/>
        <v>M0</v>
      </c>
      <c r="ZI48" s="6" t="str">
        <f t="shared" si="1255"/>
        <v>M0</v>
      </c>
      <c r="ZJ48" s="6" t="str">
        <f t="shared" si="1255"/>
        <v>M0</v>
      </c>
      <c r="ZK48" s="6" t="str">
        <f t="shared" si="1255"/>
        <v>M0</v>
      </c>
      <c r="ZL48" s="6" t="str">
        <f t="shared" si="1255"/>
        <v>M0</v>
      </c>
      <c r="ZM48" s="6" t="str">
        <f t="shared" si="1255"/>
        <v>M0</v>
      </c>
      <c r="ZN48" s="6" t="str">
        <f t="shared" si="1255"/>
        <v>M0</v>
      </c>
      <c r="ZO48" s="6" t="str">
        <f t="shared" si="1255"/>
        <v>M0</v>
      </c>
      <c r="ZP48" s="6" t="str">
        <f t="shared" si="1255"/>
        <v>M0</v>
      </c>
      <c r="ZQ48" s="6" t="str">
        <f t="shared" si="1255"/>
        <v>M0</v>
      </c>
      <c r="ZR48" s="6" t="str">
        <f t="shared" si="1255"/>
        <v>M0</v>
      </c>
      <c r="ZS48" s="6" t="str">
        <f t="shared" si="1255"/>
        <v>M0</v>
      </c>
      <c r="ZT48" s="6" t="str">
        <f t="shared" si="1255"/>
        <v>M0</v>
      </c>
      <c r="ZU48" s="6" t="str">
        <f t="shared" si="1255"/>
        <v>M0</v>
      </c>
      <c r="ZV48" s="6" t="str">
        <f t="shared" si="1255"/>
        <v>M0</v>
      </c>
      <c r="ZW48" s="6" t="str">
        <f t="shared" si="1255"/>
        <v>M0</v>
      </c>
      <c r="ZX48" s="6" t="str">
        <f t="shared" si="1255"/>
        <v>M0</v>
      </c>
      <c r="ZY48" s="6" t="str">
        <f t="shared" si="1255"/>
        <v>M0</v>
      </c>
      <c r="ZZ48" s="6" t="str">
        <f t="shared" si="1255"/>
        <v>M0</v>
      </c>
      <c r="AAA48" s="6" t="str">
        <f t="shared" si="1255"/>
        <v>M0</v>
      </c>
      <c r="AAB48" s="6" t="str">
        <f t="shared" si="1255"/>
        <v>M0</v>
      </c>
      <c r="AAC48" s="6" t="str">
        <f t="shared" si="1255"/>
        <v>M0</v>
      </c>
      <c r="AAD48" s="6" t="str">
        <f t="shared" si="1255"/>
        <v>M0</v>
      </c>
      <c r="AAE48" s="6" t="str">
        <f t="shared" si="1255"/>
        <v>M0</v>
      </c>
      <c r="AAF48" s="6" t="str">
        <f t="shared" si="1255"/>
        <v>M0</v>
      </c>
      <c r="AAG48" s="6" t="str">
        <f t="shared" ref="AAG48:ACR48" si="1256">IF(AAG$49="M0","M0", IF(AAG$50="M1","M1", IF(AAG$51="M2","M2", IF(AAG$52="M3","M3", IF(AAG$53="M4","M4", "!")))))</f>
        <v>M0</v>
      </c>
      <c r="AAH48" s="6" t="str">
        <f t="shared" si="1256"/>
        <v>M0</v>
      </c>
      <c r="AAI48" s="6" t="str">
        <f t="shared" si="1256"/>
        <v>M0</v>
      </c>
      <c r="AAJ48" s="6" t="str">
        <f t="shared" si="1256"/>
        <v>M0</v>
      </c>
      <c r="AAK48" s="6" t="str">
        <f t="shared" si="1256"/>
        <v>M0</v>
      </c>
      <c r="AAL48" s="6" t="str">
        <f t="shared" si="1256"/>
        <v>M0</v>
      </c>
      <c r="AAM48" s="6" t="str">
        <f t="shared" si="1256"/>
        <v>M0</v>
      </c>
      <c r="AAN48" s="6" t="str">
        <f t="shared" si="1256"/>
        <v>M0</v>
      </c>
      <c r="AAO48" s="6" t="str">
        <f t="shared" si="1256"/>
        <v>M0</v>
      </c>
      <c r="AAP48" s="6" t="str">
        <f t="shared" si="1256"/>
        <v>M0</v>
      </c>
      <c r="AAQ48" s="6" t="str">
        <f t="shared" si="1256"/>
        <v>M0</v>
      </c>
      <c r="AAR48" s="6" t="str">
        <f t="shared" si="1256"/>
        <v>M0</v>
      </c>
      <c r="AAS48" s="6" t="str">
        <f t="shared" si="1256"/>
        <v>M0</v>
      </c>
      <c r="AAT48" s="6" t="str">
        <f t="shared" si="1256"/>
        <v>M0</v>
      </c>
      <c r="AAU48" s="6" t="str">
        <f t="shared" si="1256"/>
        <v>M0</v>
      </c>
      <c r="AAV48" s="6" t="str">
        <f t="shared" si="1256"/>
        <v>M0</v>
      </c>
      <c r="AAW48" s="6" t="str">
        <f t="shared" si="1256"/>
        <v>M0</v>
      </c>
      <c r="AAX48" s="6" t="str">
        <f t="shared" si="1256"/>
        <v>M0</v>
      </c>
      <c r="AAY48" s="6" t="str">
        <f t="shared" si="1256"/>
        <v>M0</v>
      </c>
      <c r="AAZ48" s="6" t="str">
        <f t="shared" si="1256"/>
        <v>M0</v>
      </c>
      <c r="ABA48" s="6" t="str">
        <f t="shared" si="1256"/>
        <v>M0</v>
      </c>
      <c r="ABB48" s="6" t="str">
        <f t="shared" si="1256"/>
        <v>M0</v>
      </c>
      <c r="ABC48" s="6" t="str">
        <f t="shared" si="1256"/>
        <v>M0</v>
      </c>
      <c r="ABD48" s="6" t="str">
        <f t="shared" si="1256"/>
        <v>M0</v>
      </c>
      <c r="ABE48" s="6" t="str">
        <f t="shared" si="1256"/>
        <v>M0</v>
      </c>
      <c r="ABF48" s="6" t="str">
        <f t="shared" si="1256"/>
        <v>M0</v>
      </c>
      <c r="ABG48" s="6" t="str">
        <f t="shared" si="1256"/>
        <v>M0</v>
      </c>
      <c r="ABH48" s="6" t="str">
        <f t="shared" si="1256"/>
        <v>M0</v>
      </c>
      <c r="ABI48" s="6" t="str">
        <f t="shared" si="1256"/>
        <v>M0</v>
      </c>
      <c r="ABJ48" s="6" t="str">
        <f t="shared" si="1256"/>
        <v>M0</v>
      </c>
      <c r="ABK48" s="6" t="str">
        <f t="shared" si="1256"/>
        <v>M0</v>
      </c>
      <c r="ABL48" s="6" t="str">
        <f t="shared" si="1256"/>
        <v>M0</v>
      </c>
      <c r="ABM48" s="6" t="str">
        <f t="shared" si="1256"/>
        <v>M0</v>
      </c>
      <c r="ABN48" s="6" t="str">
        <f t="shared" si="1256"/>
        <v>M0</v>
      </c>
      <c r="ABO48" s="6" t="str">
        <f t="shared" si="1256"/>
        <v>M0</v>
      </c>
      <c r="ABP48" s="6" t="str">
        <f t="shared" si="1256"/>
        <v>M0</v>
      </c>
      <c r="ABQ48" s="6" t="str">
        <f t="shared" si="1256"/>
        <v>M0</v>
      </c>
      <c r="ABR48" s="6" t="str">
        <f t="shared" si="1256"/>
        <v>M0</v>
      </c>
      <c r="ABS48" s="6" t="str">
        <f t="shared" si="1256"/>
        <v>M0</v>
      </c>
      <c r="ABT48" s="6" t="str">
        <f t="shared" si="1256"/>
        <v>M0</v>
      </c>
      <c r="ABU48" s="6" t="str">
        <f t="shared" si="1256"/>
        <v>M0</v>
      </c>
      <c r="ABV48" s="6" t="str">
        <f t="shared" si="1256"/>
        <v>M0</v>
      </c>
      <c r="ABW48" s="6" t="str">
        <f t="shared" si="1256"/>
        <v>M0</v>
      </c>
      <c r="ABX48" s="6" t="str">
        <f t="shared" si="1256"/>
        <v>M0</v>
      </c>
      <c r="ABY48" s="6" t="str">
        <f t="shared" si="1256"/>
        <v>M0</v>
      </c>
      <c r="ABZ48" s="6" t="str">
        <f t="shared" si="1256"/>
        <v>M0</v>
      </c>
      <c r="ACA48" s="6" t="str">
        <f t="shared" si="1256"/>
        <v>M0</v>
      </c>
      <c r="ACB48" s="6" t="str">
        <f t="shared" si="1256"/>
        <v>M0</v>
      </c>
      <c r="ACC48" s="6" t="str">
        <f t="shared" si="1256"/>
        <v>M0</v>
      </c>
      <c r="ACD48" s="6" t="str">
        <f t="shared" si="1256"/>
        <v>M0</v>
      </c>
      <c r="ACE48" s="6" t="str">
        <f t="shared" si="1256"/>
        <v>M0</v>
      </c>
      <c r="ACF48" s="6" t="str">
        <f t="shared" si="1256"/>
        <v>M0</v>
      </c>
      <c r="ACG48" s="6" t="str">
        <f t="shared" si="1256"/>
        <v>M0</v>
      </c>
      <c r="ACH48" s="6" t="str">
        <f t="shared" si="1256"/>
        <v>M0</v>
      </c>
      <c r="ACI48" s="6" t="str">
        <f t="shared" si="1256"/>
        <v>M0</v>
      </c>
      <c r="ACJ48" s="6" t="str">
        <f t="shared" si="1256"/>
        <v>M0</v>
      </c>
      <c r="ACK48" s="6" t="str">
        <f t="shared" si="1256"/>
        <v>M0</v>
      </c>
      <c r="ACL48" s="6" t="str">
        <f t="shared" si="1256"/>
        <v>M0</v>
      </c>
      <c r="ACM48" s="6" t="str">
        <f t="shared" si="1256"/>
        <v>M0</v>
      </c>
      <c r="ACN48" s="6" t="str">
        <f t="shared" si="1256"/>
        <v>M0</v>
      </c>
      <c r="ACO48" s="6" t="str">
        <f t="shared" si="1256"/>
        <v>M1</v>
      </c>
      <c r="ACP48" s="6" t="str">
        <f t="shared" si="1256"/>
        <v>M1</v>
      </c>
      <c r="ACQ48" s="6" t="str">
        <f t="shared" si="1256"/>
        <v>M1</v>
      </c>
      <c r="ACR48" s="6" t="str">
        <f t="shared" si="1256"/>
        <v>M1</v>
      </c>
      <c r="ACS48" s="6" t="str">
        <f t="shared" ref="ACS48:AFD48" si="1257">IF(ACS$49="M0","M0", IF(ACS$50="M1","M1", IF(ACS$51="M2","M2", IF(ACS$52="M3","M3", IF(ACS$53="M4","M4", "!")))))</f>
        <v>M1</v>
      </c>
      <c r="ACT48" s="6" t="str">
        <f t="shared" si="1257"/>
        <v>M1</v>
      </c>
      <c r="ACU48" s="6" t="str">
        <f t="shared" si="1257"/>
        <v>M1</v>
      </c>
      <c r="ACV48" s="6" t="str">
        <f t="shared" si="1257"/>
        <v>M1</v>
      </c>
      <c r="ACW48" s="6" t="str">
        <f t="shared" si="1257"/>
        <v>M1</v>
      </c>
      <c r="ACX48" s="6" t="str">
        <f t="shared" si="1257"/>
        <v>M1</v>
      </c>
      <c r="ACY48" s="6" t="str">
        <f t="shared" si="1257"/>
        <v>M0</v>
      </c>
      <c r="ACZ48" s="6" t="str">
        <f t="shared" si="1257"/>
        <v>M0</v>
      </c>
      <c r="ADA48" s="6" t="str">
        <f t="shared" si="1257"/>
        <v>M0</v>
      </c>
      <c r="ADB48" s="6" t="str">
        <f t="shared" si="1257"/>
        <v>M0</v>
      </c>
      <c r="ADC48" s="6" t="str">
        <f t="shared" si="1257"/>
        <v>M0</v>
      </c>
      <c r="ADD48" s="6" t="str">
        <f t="shared" si="1257"/>
        <v>M0</v>
      </c>
      <c r="ADE48" s="6" t="str">
        <f t="shared" si="1257"/>
        <v>M0</v>
      </c>
      <c r="ADF48" s="6" t="str">
        <f t="shared" si="1257"/>
        <v>M0</v>
      </c>
      <c r="ADG48" s="6" t="str">
        <f t="shared" si="1257"/>
        <v>M0</v>
      </c>
      <c r="ADH48" s="6" t="str">
        <f t="shared" si="1257"/>
        <v>M0</v>
      </c>
      <c r="ADI48" s="6" t="str">
        <f t="shared" si="1257"/>
        <v>M0</v>
      </c>
      <c r="ADJ48" s="6" t="str">
        <f t="shared" si="1257"/>
        <v>M0</v>
      </c>
      <c r="ADK48" s="6" t="str">
        <f t="shared" si="1257"/>
        <v>M0</v>
      </c>
      <c r="ADL48" s="6" t="str">
        <f t="shared" si="1257"/>
        <v>M0</v>
      </c>
      <c r="ADM48" s="6" t="str">
        <f t="shared" si="1257"/>
        <v>M0</v>
      </c>
      <c r="ADN48" s="6" t="str">
        <f t="shared" si="1257"/>
        <v>M0</v>
      </c>
      <c r="ADO48" s="6" t="str">
        <f t="shared" si="1257"/>
        <v>M0</v>
      </c>
      <c r="ADP48" s="6" t="str">
        <f t="shared" si="1257"/>
        <v>M0</v>
      </c>
      <c r="ADQ48" s="6" t="str">
        <f t="shared" si="1257"/>
        <v>M0</v>
      </c>
      <c r="ADR48" s="6" t="str">
        <f t="shared" si="1257"/>
        <v>M0</v>
      </c>
      <c r="ADS48" s="6" t="str">
        <f t="shared" si="1257"/>
        <v>M0</v>
      </c>
      <c r="ADT48" s="6" t="str">
        <f t="shared" si="1257"/>
        <v>M0</v>
      </c>
      <c r="ADU48" s="6" t="str">
        <f t="shared" si="1257"/>
        <v>M0</v>
      </c>
      <c r="ADV48" s="6" t="str">
        <f t="shared" si="1257"/>
        <v>M0</v>
      </c>
      <c r="ADW48" s="6" t="str">
        <f t="shared" si="1257"/>
        <v>M0</v>
      </c>
      <c r="ADX48" s="6" t="str">
        <f t="shared" si="1257"/>
        <v>M0</v>
      </c>
      <c r="ADY48" s="6" t="str">
        <f t="shared" si="1257"/>
        <v>M0</v>
      </c>
      <c r="ADZ48" s="6" t="str">
        <f t="shared" si="1257"/>
        <v>M0</v>
      </c>
      <c r="AEA48" s="6" t="str">
        <f t="shared" si="1257"/>
        <v>M0</v>
      </c>
      <c r="AEB48" s="6" t="str">
        <f t="shared" si="1257"/>
        <v>M0</v>
      </c>
      <c r="AEC48" s="6" t="str">
        <f t="shared" si="1257"/>
        <v>M0</v>
      </c>
      <c r="AED48" s="6" t="str">
        <f t="shared" si="1257"/>
        <v>M0</v>
      </c>
      <c r="AEE48" s="6" t="str">
        <f t="shared" si="1257"/>
        <v>M0</v>
      </c>
      <c r="AEF48" s="6" t="str">
        <f t="shared" si="1257"/>
        <v>M0</v>
      </c>
      <c r="AEG48" s="6" t="str">
        <f t="shared" si="1257"/>
        <v>M0</v>
      </c>
      <c r="AEH48" s="6" t="str">
        <f t="shared" si="1257"/>
        <v>M0</v>
      </c>
      <c r="AEI48" s="6" t="str">
        <f t="shared" si="1257"/>
        <v>M0</v>
      </c>
      <c r="AEJ48" s="6" t="str">
        <f t="shared" si="1257"/>
        <v>M0</v>
      </c>
      <c r="AEK48" s="6" t="str">
        <f t="shared" si="1257"/>
        <v>M0</v>
      </c>
      <c r="AEL48" s="6" t="str">
        <f t="shared" si="1257"/>
        <v>M0</v>
      </c>
      <c r="AEM48" s="6" t="str">
        <f t="shared" si="1257"/>
        <v>M0</v>
      </c>
      <c r="AEN48" s="6" t="str">
        <f t="shared" si="1257"/>
        <v>M0</v>
      </c>
      <c r="AEO48" s="6" t="str">
        <f t="shared" si="1257"/>
        <v>M0</v>
      </c>
      <c r="AEP48" s="6" t="str">
        <f t="shared" si="1257"/>
        <v>M0</v>
      </c>
      <c r="AEQ48" s="6" t="str">
        <f t="shared" si="1257"/>
        <v>M0</v>
      </c>
      <c r="AER48" s="6" t="str">
        <f t="shared" si="1257"/>
        <v>M0</v>
      </c>
      <c r="AES48" s="6" t="str">
        <f t="shared" si="1257"/>
        <v>M0</v>
      </c>
      <c r="AET48" s="6" t="str">
        <f t="shared" si="1257"/>
        <v>M0</v>
      </c>
      <c r="AEU48" s="6" t="str">
        <f t="shared" si="1257"/>
        <v>M0</v>
      </c>
      <c r="AEV48" s="6" t="str">
        <f t="shared" si="1257"/>
        <v>M0</v>
      </c>
      <c r="AEW48" s="6" t="str">
        <f t="shared" si="1257"/>
        <v>M0</v>
      </c>
      <c r="AEX48" s="6" t="str">
        <f t="shared" si="1257"/>
        <v>M0</v>
      </c>
      <c r="AEY48" s="6" t="str">
        <f t="shared" si="1257"/>
        <v>M0</v>
      </c>
      <c r="AEZ48" s="6" t="str">
        <f t="shared" si="1257"/>
        <v>M0</v>
      </c>
      <c r="AFA48" s="6" t="str">
        <f t="shared" si="1257"/>
        <v>M0</v>
      </c>
      <c r="AFB48" s="6" t="str">
        <f t="shared" si="1257"/>
        <v>M0</v>
      </c>
      <c r="AFC48" s="6" t="str">
        <f t="shared" si="1257"/>
        <v>M0</v>
      </c>
      <c r="AFD48" s="6" t="str">
        <f t="shared" si="1257"/>
        <v>M0</v>
      </c>
      <c r="AFE48" s="6" t="str">
        <f t="shared" ref="AFE48:AHP48" si="1258">IF(AFE$49="M0","M0", IF(AFE$50="M1","M1", IF(AFE$51="M2","M2", IF(AFE$52="M3","M3", IF(AFE$53="M4","M4", "!")))))</f>
        <v>M0</v>
      </c>
      <c r="AFF48" s="6" t="str">
        <f t="shared" si="1258"/>
        <v>M0</v>
      </c>
      <c r="AFG48" s="6" t="str">
        <f t="shared" si="1258"/>
        <v>M0</v>
      </c>
      <c r="AFH48" s="6" t="str">
        <f t="shared" si="1258"/>
        <v>M0</v>
      </c>
      <c r="AFI48" s="6" t="str">
        <f t="shared" si="1258"/>
        <v>M0</v>
      </c>
      <c r="AFJ48" s="6" t="str">
        <f t="shared" si="1258"/>
        <v>M0</v>
      </c>
      <c r="AFK48" s="6" t="str">
        <f t="shared" si="1258"/>
        <v>M0</v>
      </c>
      <c r="AFL48" s="6" t="str">
        <f t="shared" si="1258"/>
        <v>M0</v>
      </c>
      <c r="AFM48" s="6" t="str">
        <f t="shared" si="1258"/>
        <v>M0</v>
      </c>
      <c r="AFN48" s="6" t="str">
        <f t="shared" si="1258"/>
        <v>M0</v>
      </c>
      <c r="AFO48" s="6" t="str">
        <f t="shared" si="1258"/>
        <v>M0</v>
      </c>
      <c r="AFP48" s="6" t="str">
        <f t="shared" si="1258"/>
        <v>M0</v>
      </c>
      <c r="AFQ48" s="6" t="str">
        <f t="shared" si="1258"/>
        <v>M0</v>
      </c>
      <c r="AFR48" s="6" t="str">
        <f t="shared" si="1258"/>
        <v>M0</v>
      </c>
      <c r="AFS48" s="6" t="str">
        <f t="shared" si="1258"/>
        <v>M0</v>
      </c>
      <c r="AFT48" s="6" t="str">
        <f t="shared" si="1258"/>
        <v>M0</v>
      </c>
      <c r="AFU48" s="6" t="str">
        <f t="shared" si="1258"/>
        <v>M0</v>
      </c>
      <c r="AFV48" s="6" t="str">
        <f t="shared" si="1258"/>
        <v>M0</v>
      </c>
      <c r="AFW48" s="6" t="str">
        <f t="shared" si="1258"/>
        <v>M0</v>
      </c>
      <c r="AFX48" s="6" t="str">
        <f t="shared" si="1258"/>
        <v>M0</v>
      </c>
      <c r="AFY48" s="6" t="str">
        <f t="shared" si="1258"/>
        <v>M0</v>
      </c>
      <c r="AFZ48" s="6" t="str">
        <f t="shared" si="1258"/>
        <v>M0</v>
      </c>
      <c r="AGA48" s="6" t="str">
        <f t="shared" si="1258"/>
        <v>M0</v>
      </c>
      <c r="AGB48" s="6" t="str">
        <f t="shared" si="1258"/>
        <v>M0</v>
      </c>
      <c r="AGC48" s="6" t="str">
        <f t="shared" si="1258"/>
        <v>M0</v>
      </c>
      <c r="AGD48" s="6" t="str">
        <f t="shared" si="1258"/>
        <v>M0</v>
      </c>
      <c r="AGE48" s="6" t="str">
        <f t="shared" si="1258"/>
        <v>M0</v>
      </c>
      <c r="AGF48" s="6" t="str">
        <f t="shared" si="1258"/>
        <v>M0</v>
      </c>
      <c r="AGG48" s="6" t="str">
        <f t="shared" si="1258"/>
        <v>M0</v>
      </c>
      <c r="AGH48" s="6" t="str">
        <f t="shared" si="1258"/>
        <v>M0</v>
      </c>
      <c r="AGI48" s="6" t="str">
        <f t="shared" si="1258"/>
        <v>M0</v>
      </c>
      <c r="AGJ48" s="6" t="str">
        <f t="shared" si="1258"/>
        <v>M0</v>
      </c>
      <c r="AGK48" s="6" t="str">
        <f t="shared" si="1258"/>
        <v>M0</v>
      </c>
      <c r="AGL48" s="6" t="str">
        <f t="shared" si="1258"/>
        <v>M0</v>
      </c>
      <c r="AGM48" s="6" t="str">
        <f t="shared" si="1258"/>
        <v>M0</v>
      </c>
      <c r="AGN48" s="6" t="str">
        <f t="shared" si="1258"/>
        <v>M0</v>
      </c>
      <c r="AGO48" s="6" t="str">
        <f t="shared" si="1258"/>
        <v>M0</v>
      </c>
      <c r="AGP48" s="6" t="str">
        <f t="shared" si="1258"/>
        <v>M0</v>
      </c>
      <c r="AGQ48" s="6" t="str">
        <f t="shared" si="1258"/>
        <v>M0</v>
      </c>
      <c r="AGR48" s="6" t="str">
        <f t="shared" si="1258"/>
        <v>M0</v>
      </c>
      <c r="AGS48" s="6" t="str">
        <f t="shared" si="1258"/>
        <v>M0</v>
      </c>
      <c r="AGT48" s="6" t="str">
        <f t="shared" si="1258"/>
        <v>M0</v>
      </c>
      <c r="AGU48" s="6" t="str">
        <f t="shared" si="1258"/>
        <v>M0</v>
      </c>
      <c r="AGV48" s="6" t="str">
        <f t="shared" si="1258"/>
        <v>M0</v>
      </c>
      <c r="AGW48" s="6" t="str">
        <f t="shared" si="1258"/>
        <v>M0</v>
      </c>
      <c r="AGX48" s="6" t="str">
        <f t="shared" si="1258"/>
        <v>M0</v>
      </c>
      <c r="AGY48" s="6" t="str">
        <f t="shared" si="1258"/>
        <v>M0</v>
      </c>
      <c r="AGZ48" s="6" t="str">
        <f t="shared" si="1258"/>
        <v>M0</v>
      </c>
      <c r="AHA48" s="6" t="str">
        <f t="shared" si="1258"/>
        <v>M0</v>
      </c>
      <c r="AHB48" s="6" t="str">
        <f t="shared" si="1258"/>
        <v>M0</v>
      </c>
      <c r="AHC48" s="6" t="str">
        <f t="shared" si="1258"/>
        <v>M0</v>
      </c>
      <c r="AHD48" s="6" t="str">
        <f t="shared" si="1258"/>
        <v>M0</v>
      </c>
      <c r="AHE48" s="6" t="str">
        <f t="shared" si="1258"/>
        <v>M0</v>
      </c>
      <c r="AHF48" s="6" t="str">
        <f t="shared" si="1258"/>
        <v>M0</v>
      </c>
      <c r="AHG48" s="6" t="str">
        <f t="shared" si="1258"/>
        <v>M0</v>
      </c>
      <c r="AHH48" s="6" t="str">
        <f t="shared" si="1258"/>
        <v>M0</v>
      </c>
      <c r="AHI48" s="6" t="str">
        <f t="shared" si="1258"/>
        <v>M0</v>
      </c>
      <c r="AHJ48" s="6" t="str">
        <f t="shared" si="1258"/>
        <v>M0</v>
      </c>
      <c r="AHK48" s="6" t="str">
        <f t="shared" si="1258"/>
        <v>M0</v>
      </c>
      <c r="AHL48" s="6" t="str">
        <f t="shared" si="1258"/>
        <v>M0</v>
      </c>
      <c r="AHM48" s="6" t="str">
        <f t="shared" si="1258"/>
        <v>M0</v>
      </c>
      <c r="AHN48" s="6" t="str">
        <f t="shared" si="1258"/>
        <v>M0</v>
      </c>
      <c r="AHO48" s="6" t="str">
        <f t="shared" si="1258"/>
        <v>M0</v>
      </c>
      <c r="AHP48" s="6" t="str">
        <f t="shared" si="1258"/>
        <v>M0</v>
      </c>
      <c r="AHQ48" s="6" t="str">
        <f t="shared" ref="AHQ48:AKB48" si="1259">IF(AHQ$49="M0","M0", IF(AHQ$50="M1","M1", IF(AHQ$51="M2","M2", IF(AHQ$52="M3","M3", IF(AHQ$53="M4","M4", "!")))))</f>
        <v>M0</v>
      </c>
      <c r="AHR48" s="6" t="str">
        <f t="shared" si="1259"/>
        <v>M0</v>
      </c>
      <c r="AHS48" s="6" t="str">
        <f t="shared" si="1259"/>
        <v>M0</v>
      </c>
      <c r="AHT48" s="6" t="str">
        <f t="shared" si="1259"/>
        <v>M0</v>
      </c>
      <c r="AHU48" s="6" t="str">
        <f t="shared" si="1259"/>
        <v>M0</v>
      </c>
      <c r="AHV48" s="6" t="str">
        <f t="shared" si="1259"/>
        <v>M0</v>
      </c>
      <c r="AHW48" s="6" t="str">
        <f t="shared" si="1259"/>
        <v>M0</v>
      </c>
      <c r="AHX48" s="6" t="str">
        <f t="shared" si="1259"/>
        <v>M0</v>
      </c>
      <c r="AHY48" s="6" t="str">
        <f t="shared" si="1259"/>
        <v>M0</v>
      </c>
      <c r="AHZ48" s="6" t="str">
        <f t="shared" si="1259"/>
        <v>M0</v>
      </c>
      <c r="AIA48" s="6" t="str">
        <f t="shared" si="1259"/>
        <v>M0</v>
      </c>
      <c r="AIB48" s="6" t="str">
        <f t="shared" si="1259"/>
        <v>M0</v>
      </c>
      <c r="AIC48" s="6" t="str">
        <f t="shared" si="1259"/>
        <v>M1</v>
      </c>
      <c r="AID48" s="6" t="str">
        <f t="shared" si="1259"/>
        <v>M1</v>
      </c>
      <c r="AIE48" s="6" t="str">
        <f t="shared" si="1259"/>
        <v>M1</v>
      </c>
      <c r="AIF48" s="6" t="str">
        <f t="shared" si="1259"/>
        <v>M1</v>
      </c>
      <c r="AIG48" s="6" t="str">
        <f t="shared" si="1259"/>
        <v>M1</v>
      </c>
      <c r="AIH48" s="6" t="str">
        <f t="shared" si="1259"/>
        <v>M1</v>
      </c>
      <c r="AII48" s="6" t="str">
        <f t="shared" si="1259"/>
        <v>M1</v>
      </c>
      <c r="AIJ48" s="6" t="str">
        <f t="shared" si="1259"/>
        <v>M1</v>
      </c>
      <c r="AIK48" s="6" t="str">
        <f t="shared" si="1259"/>
        <v>M1</v>
      </c>
      <c r="AIL48" s="6" t="str">
        <f>IF(AIL$49="M0","M0", IF(AIL$50="M1","M1", IF(AIL$51="M2","M2", IF(AIL$52="M3","M3", IF(AIL$53="M4","M4", "!")))))</f>
        <v>M1</v>
      </c>
      <c r="AIM48" s="6" t="str">
        <f>IF(AIM$49="M0","M0", IF(AIM$50="M1","M1", IF(AIM$51="M2","M2", IF(AIM$52="M3","M3", IF(AIM$53="M4","M4", "!")))))</f>
        <v>M0</v>
      </c>
      <c r="AIN48" s="6" t="str">
        <f>IF(AIN$49="M0","M0", IF(AIN$50="M1","M1", IF(AIN$51="M2","M2", IF(AIN$52="M3","M3", IF(AIN$53="M4","M4", "!")))))</f>
        <v>M0</v>
      </c>
      <c r="AIO48" s="6" t="str">
        <f t="shared" si="1259"/>
        <v>M0</v>
      </c>
      <c r="AIP48" s="6" t="str">
        <f t="shared" si="1259"/>
        <v>M0</v>
      </c>
      <c r="AIQ48" s="6" t="str">
        <f t="shared" si="1259"/>
        <v>M0</v>
      </c>
      <c r="AIR48" s="6" t="str">
        <f t="shared" si="1259"/>
        <v>M0</v>
      </c>
      <c r="AIS48" s="6" t="str">
        <f t="shared" si="1259"/>
        <v>M0</v>
      </c>
      <c r="AIT48" s="6" t="str">
        <f t="shared" si="1259"/>
        <v>M0</v>
      </c>
      <c r="AIU48" s="6" t="str">
        <f t="shared" si="1259"/>
        <v>M0</v>
      </c>
      <c r="AIV48" s="6" t="str">
        <f t="shared" si="1259"/>
        <v>M0</v>
      </c>
      <c r="AIW48" s="6" t="str">
        <f t="shared" si="1259"/>
        <v>M0</v>
      </c>
      <c r="AIX48" s="6" t="str">
        <f t="shared" si="1259"/>
        <v>M0</v>
      </c>
      <c r="AIY48" s="6" t="str">
        <f t="shared" si="1259"/>
        <v>M0</v>
      </c>
      <c r="AIZ48" s="6" t="str">
        <f t="shared" si="1259"/>
        <v>M0</v>
      </c>
      <c r="AJA48" s="6" t="str">
        <f t="shared" si="1259"/>
        <v>M0</v>
      </c>
      <c r="AJB48" s="6" t="str">
        <f t="shared" si="1259"/>
        <v>M0</v>
      </c>
      <c r="AJC48" s="6" t="str">
        <f t="shared" si="1259"/>
        <v>M0</v>
      </c>
      <c r="AJD48" s="6" t="str">
        <f t="shared" si="1259"/>
        <v>M0</v>
      </c>
      <c r="AJE48" s="6" t="str">
        <f t="shared" si="1259"/>
        <v>M0</v>
      </c>
      <c r="AJF48" s="6" t="str">
        <f t="shared" si="1259"/>
        <v>M0</v>
      </c>
      <c r="AJG48" s="6" t="str">
        <f t="shared" si="1259"/>
        <v>M0</v>
      </c>
      <c r="AJH48" s="6" t="str">
        <f t="shared" si="1259"/>
        <v>M0</v>
      </c>
      <c r="AJI48" s="6" t="str">
        <f t="shared" si="1259"/>
        <v>M0</v>
      </c>
      <c r="AJJ48" s="6" t="str">
        <f t="shared" si="1259"/>
        <v>M0</v>
      </c>
      <c r="AJK48" s="6" t="str">
        <f t="shared" si="1259"/>
        <v>M0</v>
      </c>
      <c r="AJL48" s="6" t="str">
        <f t="shared" si="1259"/>
        <v>M0</v>
      </c>
      <c r="AJM48" s="6" t="str">
        <f t="shared" si="1259"/>
        <v>M0</v>
      </c>
      <c r="AJN48" s="6" t="str">
        <f t="shared" si="1259"/>
        <v>M0</v>
      </c>
      <c r="AJO48" s="6" t="str">
        <f t="shared" si="1259"/>
        <v>M0</v>
      </c>
      <c r="AJP48" s="6" t="str">
        <f t="shared" si="1259"/>
        <v>M0</v>
      </c>
      <c r="AJQ48" s="6" t="str">
        <f t="shared" si="1259"/>
        <v>M0</v>
      </c>
      <c r="AJR48" s="6" t="str">
        <f t="shared" si="1259"/>
        <v>M0</v>
      </c>
      <c r="AJS48" s="6" t="str">
        <f t="shared" si="1259"/>
        <v>M0</v>
      </c>
      <c r="AJT48" s="6" t="str">
        <f t="shared" si="1259"/>
        <v>M0</v>
      </c>
      <c r="AJU48" s="6" t="str">
        <f t="shared" si="1259"/>
        <v>M0</v>
      </c>
      <c r="AJV48" s="6" t="str">
        <f t="shared" si="1259"/>
        <v>M0</v>
      </c>
      <c r="AJW48" s="6" t="str">
        <f t="shared" si="1259"/>
        <v>M0</v>
      </c>
      <c r="AJX48" s="6" t="str">
        <f t="shared" si="1259"/>
        <v>M0</v>
      </c>
      <c r="AJY48" s="6" t="str">
        <f t="shared" si="1259"/>
        <v>M0</v>
      </c>
      <c r="AJZ48" s="6" t="str">
        <f t="shared" si="1259"/>
        <v>M0</v>
      </c>
      <c r="AKA48" s="6" t="str">
        <f t="shared" si="1259"/>
        <v>M0</v>
      </c>
      <c r="AKB48" s="6" t="str">
        <f t="shared" si="1259"/>
        <v>M0</v>
      </c>
      <c r="AKC48" s="6" t="str">
        <f t="shared" ref="AKC48:ALW48" si="1260">IF(AKC$49="M0","M0", IF(AKC$50="M1","M1", IF(AKC$51="M2","M2", IF(AKC$52="M3","M3", IF(AKC$53="M4","M4", "!")))))</f>
        <v>M0</v>
      </c>
      <c r="AKD48" s="6" t="str">
        <f t="shared" si="1260"/>
        <v>M0</v>
      </c>
      <c r="AKE48" s="6" t="str">
        <f t="shared" si="1260"/>
        <v>M0</v>
      </c>
      <c r="AKF48" s="6" t="str">
        <f t="shared" si="1260"/>
        <v>M0</v>
      </c>
      <c r="AKG48" s="6" t="str">
        <f t="shared" si="1260"/>
        <v>M0</v>
      </c>
      <c r="AKH48" s="6" t="str">
        <f t="shared" si="1260"/>
        <v>M0</v>
      </c>
      <c r="AKI48" s="6" t="str">
        <f t="shared" si="1260"/>
        <v>M0</v>
      </c>
      <c r="AKJ48" s="6" t="str">
        <f t="shared" si="1260"/>
        <v>M0</v>
      </c>
      <c r="AKK48" s="6" t="str">
        <f t="shared" si="1260"/>
        <v>M0</v>
      </c>
      <c r="AKL48" s="6" t="str">
        <f t="shared" si="1260"/>
        <v>M0</v>
      </c>
      <c r="AKM48" s="6" t="str">
        <f t="shared" si="1260"/>
        <v>M0</v>
      </c>
      <c r="AKN48" s="6" t="str">
        <f t="shared" si="1260"/>
        <v>M0</v>
      </c>
      <c r="AKO48" s="6" t="str">
        <f t="shared" si="1260"/>
        <v>M0</v>
      </c>
      <c r="AKP48" s="6" t="str">
        <f t="shared" si="1260"/>
        <v>M0</v>
      </c>
      <c r="AKQ48" s="6" t="str">
        <f t="shared" si="1260"/>
        <v>M0</v>
      </c>
      <c r="AKR48" s="6" t="str">
        <f t="shared" si="1260"/>
        <v>M0</v>
      </c>
      <c r="AKS48" s="6" t="str">
        <f t="shared" si="1260"/>
        <v>M0</v>
      </c>
      <c r="AKT48" s="6" t="str">
        <f t="shared" si="1260"/>
        <v>M0</v>
      </c>
      <c r="AKU48" s="6" t="str">
        <f t="shared" si="1260"/>
        <v>M0</v>
      </c>
      <c r="AKV48" s="6" t="str">
        <f t="shared" si="1260"/>
        <v>M0</v>
      </c>
      <c r="AKW48" s="6" t="str">
        <f t="shared" si="1260"/>
        <v>M0</v>
      </c>
      <c r="AKX48" s="6" t="str">
        <f t="shared" si="1260"/>
        <v>M0</v>
      </c>
      <c r="AKY48" s="6" t="str">
        <f t="shared" si="1260"/>
        <v>M0</v>
      </c>
      <c r="AKZ48" s="6" t="str">
        <f t="shared" si="1260"/>
        <v>M0</v>
      </c>
      <c r="ALA48" s="6" t="str">
        <f t="shared" si="1260"/>
        <v>M0</v>
      </c>
      <c r="ALB48" s="6" t="str">
        <f t="shared" si="1260"/>
        <v>M0</v>
      </c>
      <c r="ALC48" s="6" t="str">
        <f t="shared" si="1260"/>
        <v>M0</v>
      </c>
      <c r="ALD48" s="6" t="str">
        <f t="shared" si="1260"/>
        <v>M0</v>
      </c>
      <c r="ALE48" s="6" t="str">
        <f t="shared" si="1260"/>
        <v>M0</v>
      </c>
      <c r="ALF48" s="6" t="str">
        <f t="shared" si="1260"/>
        <v>M0</v>
      </c>
      <c r="ALG48" s="6" t="str">
        <f t="shared" si="1260"/>
        <v>M0</v>
      </c>
      <c r="ALH48" s="6" t="str">
        <f t="shared" si="1260"/>
        <v>M0</v>
      </c>
      <c r="ALI48" s="6" t="str">
        <f t="shared" si="1260"/>
        <v>M0</v>
      </c>
      <c r="ALJ48" s="6" t="str">
        <f t="shared" si="1260"/>
        <v>M0</v>
      </c>
      <c r="ALK48" s="6" t="str">
        <f t="shared" si="1260"/>
        <v>M0</v>
      </c>
      <c r="ALL48" s="6" t="str">
        <f t="shared" si="1260"/>
        <v>M0</v>
      </c>
      <c r="ALM48" s="6" t="str">
        <f t="shared" si="1260"/>
        <v>M0</v>
      </c>
      <c r="ALN48" s="6" t="str">
        <f t="shared" si="1260"/>
        <v>M0</v>
      </c>
      <c r="ALO48" s="6" t="str">
        <f t="shared" si="1260"/>
        <v>M0</v>
      </c>
      <c r="ALP48" s="6" t="str">
        <f t="shared" si="1260"/>
        <v>M0</v>
      </c>
      <c r="ALQ48" s="6" t="str">
        <f t="shared" si="1260"/>
        <v>M0</v>
      </c>
      <c r="ALR48" s="6" t="str">
        <f t="shared" si="1260"/>
        <v>M0</v>
      </c>
      <c r="ALS48" s="6" t="str">
        <f t="shared" si="1260"/>
        <v>M0</v>
      </c>
      <c r="ALT48" s="6" t="str">
        <f t="shared" si="1260"/>
        <v>M0</v>
      </c>
      <c r="ALU48" s="6" t="str">
        <f t="shared" si="1260"/>
        <v>M0</v>
      </c>
      <c r="ALV48" s="6" t="str">
        <f t="shared" si="1260"/>
        <v>M0</v>
      </c>
      <c r="ALW48" s="6" t="str">
        <f t="shared" si="1260"/>
        <v>M0</v>
      </c>
    </row>
    <row r="49" spans="2:1011" outlineLevel="1" x14ac:dyDescent="0.25">
      <c r="C49" s="5" t="s">
        <v>6</v>
      </c>
      <c r="D49" s="6" t="str">
        <f>IF(OR(D$50="M1", D51="M2",D53="M3"),"", "M0")</f>
        <v>M0</v>
      </c>
      <c r="E49" s="6" t="str">
        <f t="shared" ref="E49:BP49" si="1261">IF(OR(E$50="M1", E51="M2",E53="M3"),"", "M0")</f>
        <v>M0</v>
      </c>
      <c r="F49" s="6" t="str">
        <f t="shared" si="1261"/>
        <v>M0</v>
      </c>
      <c r="G49" s="6" t="str">
        <f t="shared" si="1261"/>
        <v>M0</v>
      </c>
      <c r="H49" s="6" t="str">
        <f t="shared" si="1261"/>
        <v>M0</v>
      </c>
      <c r="I49" s="6" t="str">
        <f t="shared" si="1261"/>
        <v>M0</v>
      </c>
      <c r="J49" s="6" t="str">
        <f t="shared" si="1261"/>
        <v>M0</v>
      </c>
      <c r="K49" s="6" t="str">
        <f t="shared" si="1261"/>
        <v>M0</v>
      </c>
      <c r="L49" s="6" t="str">
        <f t="shared" si="1261"/>
        <v>M0</v>
      </c>
      <c r="M49" s="6" t="str">
        <f t="shared" si="1261"/>
        <v>M0</v>
      </c>
      <c r="N49" s="6" t="str">
        <f t="shared" si="1261"/>
        <v>M0</v>
      </c>
      <c r="O49" s="6" t="str">
        <f t="shared" si="1261"/>
        <v>M0</v>
      </c>
      <c r="P49" s="6" t="str">
        <f t="shared" si="1261"/>
        <v>M0</v>
      </c>
      <c r="Q49" s="6" t="str">
        <f t="shared" si="1261"/>
        <v>M0</v>
      </c>
      <c r="R49" s="6" t="str">
        <f t="shared" si="1261"/>
        <v>M0</v>
      </c>
      <c r="S49" s="6" t="str">
        <f t="shared" si="1261"/>
        <v>M0</v>
      </c>
      <c r="T49" s="6" t="str">
        <f t="shared" si="1261"/>
        <v>M0</v>
      </c>
      <c r="U49" s="6" t="str">
        <f t="shared" si="1261"/>
        <v>M0</v>
      </c>
      <c r="V49" s="6" t="str">
        <f t="shared" si="1261"/>
        <v>M0</v>
      </c>
      <c r="W49" s="6" t="str">
        <f t="shared" si="1261"/>
        <v>M0</v>
      </c>
      <c r="X49" s="6" t="str">
        <f t="shared" si="1261"/>
        <v>M0</v>
      </c>
      <c r="Y49" s="6" t="str">
        <f t="shared" si="1261"/>
        <v>M0</v>
      </c>
      <c r="Z49" s="6" t="str">
        <f t="shared" si="1261"/>
        <v>M0</v>
      </c>
      <c r="AA49" s="6" t="str">
        <f t="shared" si="1261"/>
        <v>M0</v>
      </c>
      <c r="AB49" s="6" t="str">
        <f t="shared" si="1261"/>
        <v>M0</v>
      </c>
      <c r="AC49" s="6" t="str">
        <f t="shared" si="1261"/>
        <v>M0</v>
      </c>
      <c r="AD49" s="6" t="str">
        <f t="shared" si="1261"/>
        <v>M0</v>
      </c>
      <c r="AE49" s="6" t="str">
        <f t="shared" si="1261"/>
        <v>M0</v>
      </c>
      <c r="AF49" s="6" t="str">
        <f t="shared" si="1261"/>
        <v>M0</v>
      </c>
      <c r="AG49" s="6" t="str">
        <f t="shared" si="1261"/>
        <v>M0</v>
      </c>
      <c r="AH49" s="6" t="str">
        <f t="shared" si="1261"/>
        <v>M0</v>
      </c>
      <c r="AI49" s="6" t="str">
        <f t="shared" si="1261"/>
        <v>M0</v>
      </c>
      <c r="AJ49" s="6" t="str">
        <f t="shared" si="1261"/>
        <v>M0</v>
      </c>
      <c r="AK49" s="6" t="str">
        <f t="shared" si="1261"/>
        <v>M0</v>
      </c>
      <c r="AL49" s="6" t="str">
        <f t="shared" si="1261"/>
        <v>M0</v>
      </c>
      <c r="AM49" s="6" t="str">
        <f t="shared" si="1261"/>
        <v>M0</v>
      </c>
      <c r="AN49" s="6" t="str">
        <f t="shared" si="1261"/>
        <v>M0</v>
      </c>
      <c r="AO49" s="6" t="str">
        <f t="shared" si="1261"/>
        <v>M0</v>
      </c>
      <c r="AP49" s="6" t="str">
        <f t="shared" si="1261"/>
        <v>M0</v>
      </c>
      <c r="AQ49" s="6" t="str">
        <f t="shared" si="1261"/>
        <v>M0</v>
      </c>
      <c r="AR49" s="6" t="str">
        <f t="shared" si="1261"/>
        <v>M0</v>
      </c>
      <c r="AS49" s="6" t="str">
        <f t="shared" si="1261"/>
        <v>M0</v>
      </c>
      <c r="AT49" s="6" t="str">
        <f t="shared" si="1261"/>
        <v>M0</v>
      </c>
      <c r="AU49" s="6" t="str">
        <f t="shared" si="1261"/>
        <v>M0</v>
      </c>
      <c r="AV49" s="6" t="str">
        <f t="shared" si="1261"/>
        <v>M0</v>
      </c>
      <c r="AW49" s="6" t="str">
        <f t="shared" si="1261"/>
        <v/>
      </c>
      <c r="AX49" s="6" t="str">
        <f t="shared" si="1261"/>
        <v/>
      </c>
      <c r="AY49" s="6" t="str">
        <f t="shared" si="1261"/>
        <v/>
      </c>
      <c r="AZ49" s="6" t="str">
        <f t="shared" si="1261"/>
        <v/>
      </c>
      <c r="BA49" s="6" t="str">
        <f t="shared" si="1261"/>
        <v/>
      </c>
      <c r="BB49" s="6" t="str">
        <f t="shared" si="1261"/>
        <v/>
      </c>
      <c r="BC49" s="6" t="str">
        <f t="shared" si="1261"/>
        <v/>
      </c>
      <c r="BD49" s="6" t="str">
        <f t="shared" si="1261"/>
        <v/>
      </c>
      <c r="BE49" s="6" t="str">
        <f t="shared" si="1261"/>
        <v/>
      </c>
      <c r="BF49" s="6" t="str">
        <f t="shared" si="1261"/>
        <v/>
      </c>
      <c r="BG49" s="6" t="str">
        <f t="shared" si="1261"/>
        <v>M0</v>
      </c>
      <c r="BH49" s="6" t="str">
        <f t="shared" si="1261"/>
        <v>M0</v>
      </c>
      <c r="BI49" s="6" t="str">
        <f t="shared" si="1261"/>
        <v>M0</v>
      </c>
      <c r="BJ49" s="6" t="str">
        <f t="shared" si="1261"/>
        <v>M0</v>
      </c>
      <c r="BK49" s="6" t="str">
        <f t="shared" si="1261"/>
        <v>M0</v>
      </c>
      <c r="BL49" s="6" t="str">
        <f t="shared" si="1261"/>
        <v>M0</v>
      </c>
      <c r="BM49" s="6" t="str">
        <f t="shared" si="1261"/>
        <v>M0</v>
      </c>
      <c r="BN49" s="6" t="str">
        <f t="shared" si="1261"/>
        <v>M0</v>
      </c>
      <c r="BO49" s="6" t="str">
        <f t="shared" si="1261"/>
        <v>M0</v>
      </c>
      <c r="BP49" s="6" t="str">
        <f t="shared" si="1261"/>
        <v>M0</v>
      </c>
      <c r="BQ49" s="6" t="str">
        <f t="shared" ref="BQ49:EB49" si="1262">IF(OR(BQ$50="M1", BQ51="M2",BQ53="M3"),"", "M0")</f>
        <v>M0</v>
      </c>
      <c r="BR49" s="6" t="str">
        <f t="shared" si="1262"/>
        <v>M0</v>
      </c>
      <c r="BS49" s="6" t="str">
        <f t="shared" si="1262"/>
        <v>M0</v>
      </c>
      <c r="BT49" s="6" t="str">
        <f t="shared" si="1262"/>
        <v>M0</v>
      </c>
      <c r="BU49" s="6" t="str">
        <f t="shared" si="1262"/>
        <v>M0</v>
      </c>
      <c r="BV49" s="6" t="str">
        <f t="shared" si="1262"/>
        <v>M0</v>
      </c>
      <c r="BW49" s="6" t="str">
        <f t="shared" si="1262"/>
        <v>M0</v>
      </c>
      <c r="BX49" s="6" t="str">
        <f t="shared" si="1262"/>
        <v>M0</v>
      </c>
      <c r="BY49" s="6" t="str">
        <f t="shared" si="1262"/>
        <v>M0</v>
      </c>
      <c r="BZ49" s="6" t="str">
        <f t="shared" si="1262"/>
        <v>M0</v>
      </c>
      <c r="CA49" s="6" t="str">
        <f t="shared" si="1262"/>
        <v>M0</v>
      </c>
      <c r="CB49" s="6" t="str">
        <f t="shared" si="1262"/>
        <v>M0</v>
      </c>
      <c r="CC49" s="6" t="str">
        <f t="shared" si="1262"/>
        <v>M0</v>
      </c>
      <c r="CD49" s="6" t="str">
        <f t="shared" si="1262"/>
        <v>M0</v>
      </c>
      <c r="CE49" s="6" t="str">
        <f t="shared" si="1262"/>
        <v>M0</v>
      </c>
      <c r="CF49" s="6" t="str">
        <f t="shared" si="1262"/>
        <v>M0</v>
      </c>
      <c r="CG49" s="6" t="str">
        <f t="shared" si="1262"/>
        <v>M0</v>
      </c>
      <c r="CH49" s="6" t="str">
        <f t="shared" si="1262"/>
        <v>M0</v>
      </c>
      <c r="CI49" s="6" t="str">
        <f t="shared" si="1262"/>
        <v>M0</v>
      </c>
      <c r="CJ49" s="6" t="str">
        <f t="shared" si="1262"/>
        <v>M0</v>
      </c>
      <c r="CK49" s="6" t="str">
        <f t="shared" si="1262"/>
        <v>M0</v>
      </c>
      <c r="CL49" s="6" t="str">
        <f t="shared" si="1262"/>
        <v>M0</v>
      </c>
      <c r="CM49" s="6" t="str">
        <f t="shared" si="1262"/>
        <v>M0</v>
      </c>
      <c r="CN49" s="6" t="str">
        <f t="shared" si="1262"/>
        <v>M0</v>
      </c>
      <c r="CO49" s="6" t="str">
        <f t="shared" si="1262"/>
        <v>M0</v>
      </c>
      <c r="CP49" s="6" t="str">
        <f t="shared" si="1262"/>
        <v>M0</v>
      </c>
      <c r="CQ49" s="6" t="str">
        <f t="shared" si="1262"/>
        <v>M0</v>
      </c>
      <c r="CR49" s="6" t="str">
        <f t="shared" si="1262"/>
        <v>M0</v>
      </c>
      <c r="CS49" s="6" t="str">
        <f t="shared" si="1262"/>
        <v>M0</v>
      </c>
      <c r="CT49" s="6" t="str">
        <f t="shared" si="1262"/>
        <v>M0</v>
      </c>
      <c r="CU49" s="6" t="str">
        <f t="shared" si="1262"/>
        <v>M0</v>
      </c>
      <c r="CV49" s="6" t="str">
        <f t="shared" si="1262"/>
        <v>M0</v>
      </c>
      <c r="CW49" s="6" t="str">
        <f t="shared" si="1262"/>
        <v>M0</v>
      </c>
      <c r="CX49" s="6" t="str">
        <f t="shared" si="1262"/>
        <v>M0</v>
      </c>
      <c r="CY49" s="6" t="str">
        <f t="shared" si="1262"/>
        <v>M0</v>
      </c>
      <c r="CZ49" s="6" t="str">
        <f t="shared" si="1262"/>
        <v>M0</v>
      </c>
      <c r="DA49" s="6" t="str">
        <f t="shared" si="1262"/>
        <v>M0</v>
      </c>
      <c r="DB49" s="6" t="str">
        <f t="shared" si="1262"/>
        <v>M0</v>
      </c>
      <c r="DC49" s="6" t="str">
        <f t="shared" si="1262"/>
        <v>M0</v>
      </c>
      <c r="DD49" s="6" t="str">
        <f t="shared" si="1262"/>
        <v>M0</v>
      </c>
      <c r="DE49" s="6" t="str">
        <f t="shared" si="1262"/>
        <v>M0</v>
      </c>
      <c r="DF49" s="6" t="str">
        <f t="shared" si="1262"/>
        <v>M0</v>
      </c>
      <c r="DG49" s="6" t="str">
        <f t="shared" si="1262"/>
        <v>M0</v>
      </c>
      <c r="DH49" s="6" t="str">
        <f t="shared" si="1262"/>
        <v>M0</v>
      </c>
      <c r="DI49" s="6" t="str">
        <f t="shared" si="1262"/>
        <v>M0</v>
      </c>
      <c r="DJ49" s="6" t="str">
        <f t="shared" si="1262"/>
        <v>M0</v>
      </c>
      <c r="DK49" s="6" t="str">
        <f t="shared" si="1262"/>
        <v>M0</v>
      </c>
      <c r="DL49" s="6" t="str">
        <f t="shared" si="1262"/>
        <v>M0</v>
      </c>
      <c r="DM49" s="6" t="str">
        <f t="shared" si="1262"/>
        <v>M0</v>
      </c>
      <c r="DN49" s="6" t="str">
        <f t="shared" si="1262"/>
        <v>M0</v>
      </c>
      <c r="DO49" s="6" t="str">
        <f t="shared" si="1262"/>
        <v>M0</v>
      </c>
      <c r="DP49" s="6" t="str">
        <f t="shared" si="1262"/>
        <v>M0</v>
      </c>
      <c r="DQ49" s="6" t="str">
        <f t="shared" si="1262"/>
        <v>M0</v>
      </c>
      <c r="DR49" s="6" t="str">
        <f t="shared" si="1262"/>
        <v>M0</v>
      </c>
      <c r="DS49" s="6" t="str">
        <f t="shared" si="1262"/>
        <v>M0</v>
      </c>
      <c r="DT49" s="6" t="str">
        <f t="shared" si="1262"/>
        <v>M0</v>
      </c>
      <c r="DU49" s="6" t="str">
        <f t="shared" si="1262"/>
        <v>M0</v>
      </c>
      <c r="DV49" s="6" t="str">
        <f t="shared" si="1262"/>
        <v>M0</v>
      </c>
      <c r="DW49" s="6" t="str">
        <f t="shared" si="1262"/>
        <v>M0</v>
      </c>
      <c r="DX49" s="6" t="str">
        <f t="shared" si="1262"/>
        <v>M0</v>
      </c>
      <c r="DY49" s="6" t="str">
        <f t="shared" si="1262"/>
        <v>M0</v>
      </c>
      <c r="DZ49" s="6" t="str">
        <f t="shared" si="1262"/>
        <v>M0</v>
      </c>
      <c r="EA49" s="6" t="str">
        <f t="shared" si="1262"/>
        <v>M0</v>
      </c>
      <c r="EB49" s="6" t="str">
        <f t="shared" si="1262"/>
        <v>M0</v>
      </c>
      <c r="EC49" s="6" t="str">
        <f t="shared" ref="EC49:GN49" si="1263">IF(OR(EC$50="M1", EC51="M2",EC53="M3"),"", "M0")</f>
        <v>M0</v>
      </c>
      <c r="ED49" s="6" t="str">
        <f t="shared" si="1263"/>
        <v>M0</v>
      </c>
      <c r="EE49" s="6" t="str">
        <f t="shared" si="1263"/>
        <v>M0</v>
      </c>
      <c r="EF49" s="6" t="str">
        <f t="shared" si="1263"/>
        <v>M0</v>
      </c>
      <c r="EG49" s="6" t="str">
        <f t="shared" si="1263"/>
        <v>M0</v>
      </c>
      <c r="EH49" s="6" t="str">
        <f t="shared" si="1263"/>
        <v>M0</v>
      </c>
      <c r="EI49" s="6" t="str">
        <f t="shared" si="1263"/>
        <v>M0</v>
      </c>
      <c r="EJ49" s="6" t="str">
        <f t="shared" si="1263"/>
        <v>M0</v>
      </c>
      <c r="EK49" s="6" t="str">
        <f t="shared" si="1263"/>
        <v>M0</v>
      </c>
      <c r="EL49" s="6" t="str">
        <f t="shared" si="1263"/>
        <v>M0</v>
      </c>
      <c r="EM49" s="6" t="str">
        <f t="shared" si="1263"/>
        <v>M0</v>
      </c>
      <c r="EN49" s="6" t="str">
        <f t="shared" si="1263"/>
        <v>M0</v>
      </c>
      <c r="EO49" s="6" t="str">
        <f t="shared" si="1263"/>
        <v>M0</v>
      </c>
      <c r="EP49" s="6" t="str">
        <f t="shared" si="1263"/>
        <v>M0</v>
      </c>
      <c r="EQ49" s="6" t="str">
        <f t="shared" si="1263"/>
        <v>M0</v>
      </c>
      <c r="ER49" s="6" t="str">
        <f t="shared" si="1263"/>
        <v>M0</v>
      </c>
      <c r="ES49" s="6" t="str">
        <f t="shared" si="1263"/>
        <v>M0</v>
      </c>
      <c r="ET49" s="6" t="str">
        <f t="shared" si="1263"/>
        <v>M0</v>
      </c>
      <c r="EU49" s="6" t="str">
        <f t="shared" si="1263"/>
        <v>M0</v>
      </c>
      <c r="EV49" s="6" t="str">
        <f t="shared" si="1263"/>
        <v>M0</v>
      </c>
      <c r="EW49" s="6" t="str">
        <f t="shared" si="1263"/>
        <v>M0</v>
      </c>
      <c r="EX49" s="6" t="str">
        <f t="shared" si="1263"/>
        <v>M0</v>
      </c>
      <c r="EY49" s="6" t="str">
        <f t="shared" si="1263"/>
        <v>M0</v>
      </c>
      <c r="EZ49" s="6" t="str">
        <f t="shared" si="1263"/>
        <v>M0</v>
      </c>
      <c r="FA49" s="6" t="str">
        <f t="shared" si="1263"/>
        <v>M0</v>
      </c>
      <c r="FB49" s="6" t="str">
        <f t="shared" si="1263"/>
        <v>M0</v>
      </c>
      <c r="FC49" s="6" t="str">
        <f t="shared" si="1263"/>
        <v>M0</v>
      </c>
      <c r="FD49" s="6" t="str">
        <f t="shared" si="1263"/>
        <v>M0</v>
      </c>
      <c r="FE49" s="6" t="str">
        <f t="shared" si="1263"/>
        <v>M0</v>
      </c>
      <c r="FF49" s="6" t="str">
        <f t="shared" si="1263"/>
        <v>M0</v>
      </c>
      <c r="FG49" s="6" t="str">
        <f t="shared" si="1263"/>
        <v>M0</v>
      </c>
      <c r="FH49" s="6" t="str">
        <f t="shared" si="1263"/>
        <v>M0</v>
      </c>
      <c r="FI49" s="6" t="str">
        <f t="shared" si="1263"/>
        <v>M0</v>
      </c>
      <c r="FJ49" s="6" t="str">
        <f t="shared" si="1263"/>
        <v>M0</v>
      </c>
      <c r="FK49" s="6" t="str">
        <f t="shared" si="1263"/>
        <v>M0</v>
      </c>
      <c r="FL49" s="6" t="str">
        <f t="shared" si="1263"/>
        <v>M0</v>
      </c>
      <c r="FM49" s="6" t="str">
        <f t="shared" si="1263"/>
        <v>M0</v>
      </c>
      <c r="FN49" s="6" t="str">
        <f t="shared" si="1263"/>
        <v>M0</v>
      </c>
      <c r="FO49" s="6" t="str">
        <f t="shared" si="1263"/>
        <v>M0</v>
      </c>
      <c r="FP49" s="6" t="str">
        <f t="shared" si="1263"/>
        <v>M0</v>
      </c>
      <c r="FQ49" s="6" t="str">
        <f t="shared" si="1263"/>
        <v>M0</v>
      </c>
      <c r="FR49" s="6" t="str">
        <f t="shared" si="1263"/>
        <v>M0</v>
      </c>
      <c r="FS49" s="6" t="str">
        <f t="shared" si="1263"/>
        <v>M0</v>
      </c>
      <c r="FT49" s="6" t="str">
        <f t="shared" si="1263"/>
        <v>M0</v>
      </c>
      <c r="FU49" s="6" t="str">
        <f t="shared" si="1263"/>
        <v>M0</v>
      </c>
      <c r="FV49" s="6" t="str">
        <f t="shared" si="1263"/>
        <v>M0</v>
      </c>
      <c r="FW49" s="6" t="str">
        <f t="shared" si="1263"/>
        <v>M0</v>
      </c>
      <c r="FX49" s="6" t="str">
        <f t="shared" si="1263"/>
        <v>M0</v>
      </c>
      <c r="FY49" s="6" t="str">
        <f t="shared" si="1263"/>
        <v>M0</v>
      </c>
      <c r="FZ49" s="6" t="str">
        <f t="shared" si="1263"/>
        <v>M0</v>
      </c>
      <c r="GA49" s="6" t="str">
        <f t="shared" si="1263"/>
        <v>M0</v>
      </c>
      <c r="GB49" s="6" t="str">
        <f t="shared" si="1263"/>
        <v>M0</v>
      </c>
      <c r="GC49" s="6" t="str">
        <f t="shared" si="1263"/>
        <v>M0</v>
      </c>
      <c r="GD49" s="6" t="str">
        <f t="shared" si="1263"/>
        <v>M0</v>
      </c>
      <c r="GE49" s="6" t="str">
        <f t="shared" si="1263"/>
        <v>M0</v>
      </c>
      <c r="GF49" s="6" t="str">
        <f t="shared" si="1263"/>
        <v>M0</v>
      </c>
      <c r="GG49" s="6" t="str">
        <f t="shared" si="1263"/>
        <v>M0</v>
      </c>
      <c r="GH49" s="6" t="str">
        <f t="shared" si="1263"/>
        <v>M0</v>
      </c>
      <c r="GI49" s="6" t="str">
        <f t="shared" si="1263"/>
        <v>M0</v>
      </c>
      <c r="GJ49" s="6" t="str">
        <f t="shared" si="1263"/>
        <v>M0</v>
      </c>
      <c r="GK49" s="6" t="str">
        <f t="shared" si="1263"/>
        <v>M0</v>
      </c>
      <c r="GL49" s="6" t="str">
        <f t="shared" si="1263"/>
        <v>M0</v>
      </c>
      <c r="GM49" s="6" t="str">
        <f t="shared" si="1263"/>
        <v>M0</v>
      </c>
      <c r="GN49" s="6" t="str">
        <f t="shared" si="1263"/>
        <v>M0</v>
      </c>
      <c r="GO49" s="6" t="str">
        <f t="shared" ref="GO49:IZ49" si="1264">IF(OR(GO$50="M1", GO51="M2",GO53="M3"),"", "M0")</f>
        <v>M0</v>
      </c>
      <c r="GP49" s="6" t="str">
        <f t="shared" si="1264"/>
        <v>M0</v>
      </c>
      <c r="GQ49" s="6" t="str">
        <f t="shared" si="1264"/>
        <v>M0</v>
      </c>
      <c r="GR49" s="6" t="str">
        <f t="shared" si="1264"/>
        <v>M0</v>
      </c>
      <c r="GS49" s="6" t="str">
        <f t="shared" si="1264"/>
        <v>M0</v>
      </c>
      <c r="GT49" s="6" t="str">
        <f t="shared" si="1264"/>
        <v>M0</v>
      </c>
      <c r="GU49" s="6" t="str">
        <f t="shared" si="1264"/>
        <v>M0</v>
      </c>
      <c r="GV49" s="6" t="str">
        <f t="shared" si="1264"/>
        <v>M0</v>
      </c>
      <c r="GW49" s="6" t="str">
        <f t="shared" si="1264"/>
        <v>M0</v>
      </c>
      <c r="GX49" s="6" t="str">
        <f t="shared" si="1264"/>
        <v>M0</v>
      </c>
      <c r="GY49" s="6" t="str">
        <f t="shared" si="1264"/>
        <v>M0</v>
      </c>
      <c r="GZ49" s="6" t="str">
        <f t="shared" si="1264"/>
        <v>M0</v>
      </c>
      <c r="HA49" s="6" t="str">
        <f t="shared" si="1264"/>
        <v>M0</v>
      </c>
      <c r="HB49" s="6" t="str">
        <f t="shared" si="1264"/>
        <v>M0</v>
      </c>
      <c r="HC49" s="6" t="str">
        <f t="shared" si="1264"/>
        <v>M0</v>
      </c>
      <c r="HD49" s="6" t="str">
        <f t="shared" si="1264"/>
        <v>M0</v>
      </c>
      <c r="HE49" s="6" t="str">
        <f t="shared" si="1264"/>
        <v>M0</v>
      </c>
      <c r="HF49" s="6" t="str">
        <f t="shared" si="1264"/>
        <v>M0</v>
      </c>
      <c r="HG49" s="6" t="str">
        <f t="shared" si="1264"/>
        <v>M0</v>
      </c>
      <c r="HH49" s="6" t="str">
        <f t="shared" si="1264"/>
        <v>M0</v>
      </c>
      <c r="HI49" s="6" t="str">
        <f t="shared" si="1264"/>
        <v>M0</v>
      </c>
      <c r="HJ49" s="6" t="str">
        <f t="shared" si="1264"/>
        <v>M0</v>
      </c>
      <c r="HK49" s="6" t="str">
        <f t="shared" si="1264"/>
        <v>M0</v>
      </c>
      <c r="HL49" s="6" t="str">
        <f t="shared" si="1264"/>
        <v>M0</v>
      </c>
      <c r="HM49" s="6" t="str">
        <f t="shared" si="1264"/>
        <v>M0</v>
      </c>
      <c r="HN49" s="6" t="str">
        <f t="shared" si="1264"/>
        <v>M0</v>
      </c>
      <c r="HO49" s="6" t="str">
        <f t="shared" si="1264"/>
        <v>M0</v>
      </c>
      <c r="HP49" s="6" t="str">
        <f t="shared" si="1264"/>
        <v>M0</v>
      </c>
      <c r="HQ49" s="6" t="str">
        <f t="shared" si="1264"/>
        <v>M0</v>
      </c>
      <c r="HR49" s="6" t="str">
        <f t="shared" si="1264"/>
        <v>M0</v>
      </c>
      <c r="HS49" s="6" t="str">
        <f t="shared" si="1264"/>
        <v>M0</v>
      </c>
      <c r="HT49" s="6" t="str">
        <f t="shared" si="1264"/>
        <v>M0</v>
      </c>
      <c r="HU49" s="6" t="str">
        <f t="shared" si="1264"/>
        <v>M0</v>
      </c>
      <c r="HV49" s="6" t="str">
        <f t="shared" si="1264"/>
        <v>M0</v>
      </c>
      <c r="HW49" s="6" t="str">
        <f t="shared" si="1264"/>
        <v>M0</v>
      </c>
      <c r="HX49" s="6" t="str">
        <f t="shared" si="1264"/>
        <v>M0</v>
      </c>
      <c r="HY49" s="6" t="str">
        <f t="shared" si="1264"/>
        <v>M0</v>
      </c>
      <c r="HZ49" s="6" t="str">
        <f t="shared" si="1264"/>
        <v>M0</v>
      </c>
      <c r="IA49" s="6" t="str">
        <f t="shared" si="1264"/>
        <v>M0</v>
      </c>
      <c r="IB49" s="6" t="str">
        <f t="shared" si="1264"/>
        <v>M0</v>
      </c>
      <c r="IC49" s="6" t="str">
        <f t="shared" si="1264"/>
        <v>M0</v>
      </c>
      <c r="ID49" s="6" t="str">
        <f t="shared" si="1264"/>
        <v>M0</v>
      </c>
      <c r="IE49" s="6" t="str">
        <f t="shared" si="1264"/>
        <v>M0</v>
      </c>
      <c r="IF49" s="6" t="str">
        <f t="shared" si="1264"/>
        <v>M0</v>
      </c>
      <c r="IG49" s="6" t="str">
        <f t="shared" si="1264"/>
        <v>M0</v>
      </c>
      <c r="IH49" s="6" t="str">
        <f t="shared" si="1264"/>
        <v>M0</v>
      </c>
      <c r="II49" s="6" t="str">
        <f t="shared" si="1264"/>
        <v>M0</v>
      </c>
      <c r="IJ49" s="6" t="str">
        <f t="shared" si="1264"/>
        <v>M0</v>
      </c>
      <c r="IK49" s="6" t="str">
        <f t="shared" si="1264"/>
        <v>M0</v>
      </c>
      <c r="IL49" s="6" t="str">
        <f t="shared" si="1264"/>
        <v>M0</v>
      </c>
      <c r="IM49" s="6" t="str">
        <f t="shared" si="1264"/>
        <v>M0</v>
      </c>
      <c r="IN49" s="6" t="str">
        <f t="shared" si="1264"/>
        <v>M0</v>
      </c>
      <c r="IO49" s="6" t="str">
        <f t="shared" si="1264"/>
        <v>M0</v>
      </c>
      <c r="IP49" s="6" t="str">
        <f t="shared" si="1264"/>
        <v>M0</v>
      </c>
      <c r="IQ49" s="6" t="str">
        <f t="shared" si="1264"/>
        <v>M0</v>
      </c>
      <c r="IR49" s="6" t="str">
        <f t="shared" si="1264"/>
        <v>M0</v>
      </c>
      <c r="IS49" s="6" t="str">
        <f t="shared" si="1264"/>
        <v>M0</v>
      </c>
      <c r="IT49" s="6" t="str">
        <f t="shared" si="1264"/>
        <v>M0</v>
      </c>
      <c r="IU49" s="6" t="str">
        <f t="shared" si="1264"/>
        <v>M0</v>
      </c>
      <c r="IV49" s="6" t="str">
        <f t="shared" si="1264"/>
        <v>M0</v>
      </c>
      <c r="IW49" s="6" t="str">
        <f t="shared" si="1264"/>
        <v>M0</v>
      </c>
      <c r="IX49" s="6" t="str">
        <f t="shared" si="1264"/>
        <v>M0</v>
      </c>
      <c r="IY49" s="6" t="str">
        <f t="shared" si="1264"/>
        <v>M0</v>
      </c>
      <c r="IZ49" s="6" t="str">
        <f t="shared" si="1264"/>
        <v>M0</v>
      </c>
      <c r="JA49" s="6" t="str">
        <f t="shared" ref="JA49:LL49" si="1265">IF(OR(JA$50="M1", JA51="M2",JA53="M3"),"", "M0")</f>
        <v>M0</v>
      </c>
      <c r="JB49" s="6" t="str">
        <f t="shared" si="1265"/>
        <v>M0</v>
      </c>
      <c r="JC49" s="6" t="str">
        <f t="shared" si="1265"/>
        <v>M0</v>
      </c>
      <c r="JD49" s="6" t="str">
        <f t="shared" si="1265"/>
        <v>M0</v>
      </c>
      <c r="JE49" s="6" t="str">
        <f t="shared" si="1265"/>
        <v>M0</v>
      </c>
      <c r="JF49" s="6" t="str">
        <f t="shared" si="1265"/>
        <v>M0</v>
      </c>
      <c r="JG49" s="6" t="str">
        <f t="shared" si="1265"/>
        <v>M0</v>
      </c>
      <c r="JH49" s="6" t="str">
        <f t="shared" si="1265"/>
        <v>M0</v>
      </c>
      <c r="JI49" s="6" t="str">
        <f t="shared" si="1265"/>
        <v>M0</v>
      </c>
      <c r="JJ49" s="6" t="str">
        <f t="shared" si="1265"/>
        <v>M0</v>
      </c>
      <c r="JK49" s="6" t="str">
        <f t="shared" si="1265"/>
        <v>M0</v>
      </c>
      <c r="JL49" s="6" t="str">
        <f t="shared" si="1265"/>
        <v>M0</v>
      </c>
      <c r="JM49" s="6" t="str">
        <f t="shared" si="1265"/>
        <v>M0</v>
      </c>
      <c r="JN49" s="6" t="str">
        <f t="shared" si="1265"/>
        <v>M0</v>
      </c>
      <c r="JO49" s="6" t="str">
        <f t="shared" si="1265"/>
        <v>M0</v>
      </c>
      <c r="JP49" s="6" t="str">
        <f t="shared" si="1265"/>
        <v>M0</v>
      </c>
      <c r="JQ49" s="6" t="str">
        <f t="shared" si="1265"/>
        <v>M0</v>
      </c>
      <c r="JR49" s="6" t="str">
        <f t="shared" si="1265"/>
        <v>M0</v>
      </c>
      <c r="JS49" s="6" t="str">
        <f t="shared" si="1265"/>
        <v>M0</v>
      </c>
      <c r="JT49" s="6" t="str">
        <f t="shared" si="1265"/>
        <v>M0</v>
      </c>
      <c r="JU49" s="6" t="str">
        <f t="shared" si="1265"/>
        <v>M0</v>
      </c>
      <c r="JV49" s="6" t="str">
        <f t="shared" si="1265"/>
        <v>M0</v>
      </c>
      <c r="JW49" s="6" t="str">
        <f t="shared" si="1265"/>
        <v>M0</v>
      </c>
      <c r="JX49" s="6" t="str">
        <f t="shared" si="1265"/>
        <v>M0</v>
      </c>
      <c r="JY49" s="6" t="str">
        <f t="shared" si="1265"/>
        <v>M0</v>
      </c>
      <c r="JZ49" s="6" t="str">
        <f t="shared" si="1265"/>
        <v>M0</v>
      </c>
      <c r="KA49" s="6" t="str">
        <f t="shared" si="1265"/>
        <v>M0</v>
      </c>
      <c r="KB49" s="6" t="str">
        <f t="shared" si="1265"/>
        <v>M0</v>
      </c>
      <c r="KC49" s="6" t="str">
        <f t="shared" si="1265"/>
        <v>M0</v>
      </c>
      <c r="KD49" s="6" t="str">
        <f t="shared" si="1265"/>
        <v>M0</v>
      </c>
      <c r="KE49" s="6" t="str">
        <f t="shared" si="1265"/>
        <v>M0</v>
      </c>
      <c r="KF49" s="6" t="str">
        <f t="shared" si="1265"/>
        <v>M0</v>
      </c>
      <c r="KG49" s="6" t="str">
        <f t="shared" si="1265"/>
        <v>M0</v>
      </c>
      <c r="KH49" s="6" t="str">
        <f t="shared" si="1265"/>
        <v>M0</v>
      </c>
      <c r="KI49" s="6" t="str">
        <f t="shared" si="1265"/>
        <v>M0</v>
      </c>
      <c r="KJ49" s="6" t="str">
        <f t="shared" si="1265"/>
        <v>M0</v>
      </c>
      <c r="KK49" s="6" t="str">
        <f t="shared" si="1265"/>
        <v>M0</v>
      </c>
      <c r="KL49" s="6" t="str">
        <f t="shared" si="1265"/>
        <v>M0</v>
      </c>
      <c r="KM49" s="6" t="str">
        <f t="shared" si="1265"/>
        <v>M0</v>
      </c>
      <c r="KN49" s="6" t="str">
        <f t="shared" si="1265"/>
        <v>M0</v>
      </c>
      <c r="KO49" s="6" t="str">
        <f t="shared" si="1265"/>
        <v>M0</v>
      </c>
      <c r="KP49" s="6" t="str">
        <f t="shared" si="1265"/>
        <v>M0</v>
      </c>
      <c r="KQ49" s="6" t="str">
        <f t="shared" si="1265"/>
        <v>M0</v>
      </c>
      <c r="KR49" s="6" t="str">
        <f t="shared" si="1265"/>
        <v>M0</v>
      </c>
      <c r="KS49" s="6" t="str">
        <f t="shared" si="1265"/>
        <v>M0</v>
      </c>
      <c r="KT49" s="6" t="str">
        <f t="shared" si="1265"/>
        <v>M0</v>
      </c>
      <c r="KU49" s="6" t="str">
        <f t="shared" si="1265"/>
        <v>M0</v>
      </c>
      <c r="KV49" s="6" t="str">
        <f t="shared" si="1265"/>
        <v>M0</v>
      </c>
      <c r="KW49" s="6" t="str">
        <f t="shared" si="1265"/>
        <v>M0</v>
      </c>
      <c r="KX49" s="6" t="str">
        <f t="shared" si="1265"/>
        <v>M0</v>
      </c>
      <c r="KY49" s="6" t="str">
        <f t="shared" si="1265"/>
        <v>M0</v>
      </c>
      <c r="KZ49" s="6" t="str">
        <f t="shared" si="1265"/>
        <v>M0</v>
      </c>
      <c r="LA49" s="6" t="str">
        <f t="shared" si="1265"/>
        <v>M0</v>
      </c>
      <c r="LB49" s="6" t="str">
        <f t="shared" si="1265"/>
        <v>M0</v>
      </c>
      <c r="LC49" s="6" t="str">
        <f t="shared" si="1265"/>
        <v>M0</v>
      </c>
      <c r="LD49" s="6" t="str">
        <f t="shared" si="1265"/>
        <v>M0</v>
      </c>
      <c r="LE49" s="6" t="str">
        <f t="shared" si="1265"/>
        <v>M0</v>
      </c>
      <c r="LF49" s="6" t="str">
        <f t="shared" si="1265"/>
        <v>M0</v>
      </c>
      <c r="LG49" s="6" t="str">
        <f t="shared" si="1265"/>
        <v>M0</v>
      </c>
      <c r="LH49" s="6" t="str">
        <f t="shared" si="1265"/>
        <v>M0</v>
      </c>
      <c r="LI49" s="6" t="str">
        <f t="shared" si="1265"/>
        <v>M0</v>
      </c>
      <c r="LJ49" s="6" t="str">
        <f t="shared" si="1265"/>
        <v>M0</v>
      </c>
      <c r="LK49" s="6" t="str">
        <f t="shared" si="1265"/>
        <v>M0</v>
      </c>
      <c r="LL49" s="6" t="str">
        <f t="shared" si="1265"/>
        <v>M0</v>
      </c>
      <c r="LM49" s="6" t="str">
        <f t="shared" ref="LM49:NX49" si="1266">IF(OR(LM$50="M1", LM51="M2",LM53="M3"),"", "M0")</f>
        <v>M0</v>
      </c>
      <c r="LN49" s="6" t="str">
        <f t="shared" si="1266"/>
        <v>M0</v>
      </c>
      <c r="LO49" s="6" t="str">
        <f t="shared" si="1266"/>
        <v>M0</v>
      </c>
      <c r="LP49" s="6" t="str">
        <f t="shared" si="1266"/>
        <v>M0</v>
      </c>
      <c r="LQ49" s="6" t="str">
        <f t="shared" si="1266"/>
        <v>M0</v>
      </c>
      <c r="LR49" s="6" t="str">
        <f t="shared" si="1266"/>
        <v>M0</v>
      </c>
      <c r="LS49" s="6" t="str">
        <f t="shared" si="1266"/>
        <v>M0</v>
      </c>
      <c r="LT49" s="6" t="str">
        <f t="shared" si="1266"/>
        <v>M0</v>
      </c>
      <c r="LU49" s="6" t="str">
        <f t="shared" si="1266"/>
        <v>M0</v>
      </c>
      <c r="LV49" s="6" t="str">
        <f t="shared" si="1266"/>
        <v>M0</v>
      </c>
      <c r="LW49" s="6" t="str">
        <f t="shared" si="1266"/>
        <v>M0</v>
      </c>
      <c r="LX49" s="6" t="str">
        <f t="shared" si="1266"/>
        <v>M0</v>
      </c>
      <c r="LY49" s="6" t="str">
        <f t="shared" ref="LY49:MQ49" si="1267">IF(OR(LY$50="M1", LY51="M2",LY53="M3"),"", "M0")</f>
        <v/>
      </c>
      <c r="LZ49" s="6" t="str">
        <f t="shared" si="1267"/>
        <v/>
      </c>
      <c r="MA49" s="6" t="str">
        <f t="shared" si="1267"/>
        <v/>
      </c>
      <c r="MB49" s="6" t="str">
        <f t="shared" si="1267"/>
        <v/>
      </c>
      <c r="MC49" s="6" t="str">
        <f t="shared" si="1267"/>
        <v/>
      </c>
      <c r="MD49" s="6" t="str">
        <f t="shared" si="1267"/>
        <v/>
      </c>
      <c r="ME49" s="6" t="str">
        <f t="shared" si="1267"/>
        <v/>
      </c>
      <c r="MF49" s="6" t="str">
        <f t="shared" si="1267"/>
        <v/>
      </c>
      <c r="MG49" s="6" t="str">
        <f t="shared" si="1267"/>
        <v/>
      </c>
      <c r="MH49" s="6" t="str">
        <f t="shared" si="1267"/>
        <v/>
      </c>
      <c r="MI49" s="6" t="str">
        <f t="shared" si="1267"/>
        <v>M0</v>
      </c>
      <c r="MJ49" s="6" t="str">
        <f t="shared" si="1267"/>
        <v>M0</v>
      </c>
      <c r="MK49" s="6" t="str">
        <f t="shared" si="1267"/>
        <v>M0</v>
      </c>
      <c r="ML49" s="6" t="str">
        <f t="shared" si="1267"/>
        <v>M0</v>
      </c>
      <c r="MM49" s="6" t="str">
        <f t="shared" si="1267"/>
        <v>M0</v>
      </c>
      <c r="MN49" s="6" t="str">
        <f t="shared" si="1267"/>
        <v>M0</v>
      </c>
      <c r="MO49" s="6" t="str">
        <f t="shared" si="1267"/>
        <v>M0</v>
      </c>
      <c r="MP49" s="6" t="str">
        <f t="shared" si="1267"/>
        <v>M0</v>
      </c>
      <c r="MQ49" s="6" t="str">
        <f t="shared" si="1267"/>
        <v>M0</v>
      </c>
      <c r="MR49" s="6" t="str">
        <f t="shared" si="1266"/>
        <v>M0</v>
      </c>
      <c r="MS49" s="6" t="str">
        <f t="shared" si="1266"/>
        <v>M0</v>
      </c>
      <c r="MT49" s="6" t="str">
        <f t="shared" si="1266"/>
        <v>M0</v>
      </c>
      <c r="MU49" s="6" t="str">
        <f t="shared" si="1266"/>
        <v>M0</v>
      </c>
      <c r="MV49" s="6" t="str">
        <f t="shared" si="1266"/>
        <v>M0</v>
      </c>
      <c r="MW49" s="6" t="str">
        <f t="shared" si="1266"/>
        <v>M0</v>
      </c>
      <c r="MX49" s="6" t="str">
        <f t="shared" si="1266"/>
        <v>M0</v>
      </c>
      <c r="MY49" s="6" t="str">
        <f t="shared" si="1266"/>
        <v>M0</v>
      </c>
      <c r="MZ49" s="6" t="str">
        <f t="shared" si="1266"/>
        <v>M0</v>
      </c>
      <c r="NA49" s="6" t="str">
        <f t="shared" si="1266"/>
        <v>M0</v>
      </c>
      <c r="NB49" s="6" t="str">
        <f t="shared" si="1266"/>
        <v>M0</v>
      </c>
      <c r="NC49" s="6" t="str">
        <f t="shared" si="1266"/>
        <v>M0</v>
      </c>
      <c r="ND49" s="6" t="str">
        <f t="shared" si="1266"/>
        <v>M0</v>
      </c>
      <c r="NE49" s="6" t="str">
        <f t="shared" si="1266"/>
        <v>M0</v>
      </c>
      <c r="NF49" s="6" t="str">
        <f t="shared" si="1266"/>
        <v>M0</v>
      </c>
      <c r="NG49" s="6" t="str">
        <f t="shared" si="1266"/>
        <v>M0</v>
      </c>
      <c r="NH49" s="6" t="str">
        <f t="shared" si="1266"/>
        <v>M0</v>
      </c>
      <c r="NI49" s="6" t="str">
        <f t="shared" si="1266"/>
        <v>M0</v>
      </c>
      <c r="NJ49" s="6" t="str">
        <f t="shared" si="1266"/>
        <v>M0</v>
      </c>
      <c r="NK49" s="6" t="str">
        <f t="shared" si="1266"/>
        <v>M0</v>
      </c>
      <c r="NL49" s="6" t="str">
        <f t="shared" si="1266"/>
        <v>M0</v>
      </c>
      <c r="NM49" s="6" t="str">
        <f t="shared" si="1266"/>
        <v>M0</v>
      </c>
      <c r="NN49" s="6" t="str">
        <f t="shared" si="1266"/>
        <v>M0</v>
      </c>
      <c r="NO49" s="6" t="str">
        <f t="shared" si="1266"/>
        <v>M0</v>
      </c>
      <c r="NP49" s="6" t="str">
        <f t="shared" si="1266"/>
        <v>M0</v>
      </c>
      <c r="NQ49" s="6" t="str">
        <f t="shared" si="1266"/>
        <v>M0</v>
      </c>
      <c r="NR49" s="6" t="str">
        <f t="shared" si="1266"/>
        <v>M0</v>
      </c>
      <c r="NS49" s="6" t="str">
        <f t="shared" si="1266"/>
        <v>M0</v>
      </c>
      <c r="NT49" s="6" t="str">
        <f t="shared" si="1266"/>
        <v>M0</v>
      </c>
      <c r="NU49" s="6" t="str">
        <f t="shared" si="1266"/>
        <v>M0</v>
      </c>
      <c r="NV49" s="6" t="str">
        <f t="shared" si="1266"/>
        <v>M0</v>
      </c>
      <c r="NW49" s="6" t="str">
        <f t="shared" si="1266"/>
        <v>M0</v>
      </c>
      <c r="NX49" s="6" t="str">
        <f t="shared" si="1266"/>
        <v>M0</v>
      </c>
      <c r="NY49" s="6" t="str">
        <f t="shared" ref="NY49:QJ49" si="1268">IF(OR(NY$50="M1", NY51="M2",NY53="M3"),"", "M0")</f>
        <v>M0</v>
      </c>
      <c r="NZ49" s="6" t="str">
        <f t="shared" si="1268"/>
        <v>M0</v>
      </c>
      <c r="OA49" s="6" t="str">
        <f t="shared" si="1268"/>
        <v>M0</v>
      </c>
      <c r="OB49" s="6" t="str">
        <f t="shared" si="1268"/>
        <v>M0</v>
      </c>
      <c r="OC49" s="6" t="str">
        <f t="shared" si="1268"/>
        <v>M0</v>
      </c>
      <c r="OD49" s="6" t="str">
        <f t="shared" si="1268"/>
        <v>M0</v>
      </c>
      <c r="OE49" s="6" t="str">
        <f t="shared" si="1268"/>
        <v>M0</v>
      </c>
      <c r="OF49" s="6" t="str">
        <f t="shared" si="1268"/>
        <v>M0</v>
      </c>
      <c r="OG49" s="6" t="str">
        <f t="shared" si="1268"/>
        <v>M0</v>
      </c>
      <c r="OH49" s="6" t="str">
        <f t="shared" si="1268"/>
        <v>M0</v>
      </c>
      <c r="OI49" s="6" t="str">
        <f t="shared" si="1268"/>
        <v>M0</v>
      </c>
      <c r="OJ49" s="6" t="str">
        <f t="shared" si="1268"/>
        <v>M0</v>
      </c>
      <c r="OK49" s="6" t="str">
        <f t="shared" si="1268"/>
        <v>M0</v>
      </c>
      <c r="OL49" s="6" t="str">
        <f t="shared" si="1268"/>
        <v>M0</v>
      </c>
      <c r="OM49" s="6" t="str">
        <f t="shared" si="1268"/>
        <v>M0</v>
      </c>
      <c r="ON49" s="6" t="str">
        <f t="shared" si="1268"/>
        <v>M0</v>
      </c>
      <c r="OO49" s="6" t="str">
        <f t="shared" si="1268"/>
        <v>M0</v>
      </c>
      <c r="OP49" s="6" t="str">
        <f t="shared" si="1268"/>
        <v>M0</v>
      </c>
      <c r="OQ49" s="6" t="str">
        <f t="shared" si="1268"/>
        <v>M0</v>
      </c>
      <c r="OR49" s="6" t="str">
        <f t="shared" si="1268"/>
        <v>M0</v>
      </c>
      <c r="OS49" s="6" t="str">
        <f t="shared" si="1268"/>
        <v>M0</v>
      </c>
      <c r="OT49" s="6" t="str">
        <f t="shared" si="1268"/>
        <v>M0</v>
      </c>
      <c r="OU49" s="6" t="str">
        <f t="shared" si="1268"/>
        <v>M0</v>
      </c>
      <c r="OV49" s="6" t="str">
        <f t="shared" si="1268"/>
        <v>M0</v>
      </c>
      <c r="OW49" s="6" t="str">
        <f t="shared" si="1268"/>
        <v>M0</v>
      </c>
      <c r="OX49" s="6" t="str">
        <f t="shared" si="1268"/>
        <v>M0</v>
      </c>
      <c r="OY49" s="6" t="str">
        <f t="shared" si="1268"/>
        <v>M0</v>
      </c>
      <c r="OZ49" s="6" t="str">
        <f t="shared" si="1268"/>
        <v>M0</v>
      </c>
      <c r="PA49" s="6" t="str">
        <f t="shared" si="1268"/>
        <v>M0</v>
      </c>
      <c r="PB49" s="6" t="str">
        <f t="shared" si="1268"/>
        <v>M0</v>
      </c>
      <c r="PC49" s="6" t="str">
        <f t="shared" si="1268"/>
        <v>M0</v>
      </c>
      <c r="PD49" s="6" t="str">
        <f t="shared" si="1268"/>
        <v>M0</v>
      </c>
      <c r="PE49" s="6" t="str">
        <f t="shared" si="1268"/>
        <v>M0</v>
      </c>
      <c r="PF49" s="6" t="str">
        <f t="shared" si="1268"/>
        <v>M0</v>
      </c>
      <c r="PG49" s="6" t="str">
        <f t="shared" si="1268"/>
        <v>M0</v>
      </c>
      <c r="PH49" s="6" t="str">
        <f t="shared" si="1268"/>
        <v>M0</v>
      </c>
      <c r="PI49" s="6" t="str">
        <f t="shared" si="1268"/>
        <v>M0</v>
      </c>
      <c r="PJ49" s="6" t="str">
        <f t="shared" si="1268"/>
        <v>M0</v>
      </c>
      <c r="PK49" s="6" t="str">
        <f t="shared" si="1268"/>
        <v>M0</v>
      </c>
      <c r="PL49" s="6" t="str">
        <f t="shared" si="1268"/>
        <v>M0</v>
      </c>
      <c r="PM49" s="6" t="str">
        <f t="shared" si="1268"/>
        <v>M0</v>
      </c>
      <c r="PN49" s="6" t="str">
        <f t="shared" si="1268"/>
        <v>M0</v>
      </c>
      <c r="PO49" s="6" t="str">
        <f t="shared" si="1268"/>
        <v>M0</v>
      </c>
      <c r="PP49" s="6" t="str">
        <f t="shared" si="1268"/>
        <v>M0</v>
      </c>
      <c r="PQ49" s="6" t="str">
        <f t="shared" si="1268"/>
        <v>M0</v>
      </c>
      <c r="PR49" s="6" t="str">
        <f t="shared" si="1268"/>
        <v>M0</v>
      </c>
      <c r="PS49" s="6" t="str">
        <f t="shared" si="1268"/>
        <v>M0</v>
      </c>
      <c r="PT49" s="6" t="str">
        <f t="shared" si="1268"/>
        <v>M0</v>
      </c>
      <c r="PU49" s="6" t="str">
        <f t="shared" si="1268"/>
        <v>M0</v>
      </c>
      <c r="PV49" s="6" t="str">
        <f t="shared" si="1268"/>
        <v>M0</v>
      </c>
      <c r="PW49" s="6" t="str">
        <f t="shared" si="1268"/>
        <v>M0</v>
      </c>
      <c r="PX49" s="6" t="str">
        <f t="shared" si="1268"/>
        <v>M0</v>
      </c>
      <c r="PY49" s="6" t="str">
        <f t="shared" si="1268"/>
        <v>M0</v>
      </c>
      <c r="PZ49" s="6" t="str">
        <f t="shared" si="1268"/>
        <v>M0</v>
      </c>
      <c r="QA49" s="6" t="str">
        <f t="shared" si="1268"/>
        <v>M0</v>
      </c>
      <c r="QB49" s="6" t="str">
        <f t="shared" si="1268"/>
        <v>M0</v>
      </c>
      <c r="QC49" s="6" t="str">
        <f t="shared" si="1268"/>
        <v>M0</v>
      </c>
      <c r="QD49" s="6" t="str">
        <f t="shared" si="1268"/>
        <v>M0</v>
      </c>
      <c r="QE49" s="6" t="str">
        <f t="shared" si="1268"/>
        <v>M0</v>
      </c>
      <c r="QF49" s="6" t="str">
        <f t="shared" si="1268"/>
        <v>M0</v>
      </c>
      <c r="QG49" s="6" t="str">
        <f t="shared" si="1268"/>
        <v>M0</v>
      </c>
      <c r="QH49" s="6" t="str">
        <f t="shared" si="1268"/>
        <v>M0</v>
      </c>
      <c r="QI49" s="6" t="str">
        <f t="shared" si="1268"/>
        <v>M0</v>
      </c>
      <c r="QJ49" s="6" t="str">
        <f t="shared" si="1268"/>
        <v>M0</v>
      </c>
      <c r="QK49" s="6" t="str">
        <f t="shared" ref="QK49:SV49" si="1269">IF(OR(QK$50="M1", QK51="M2",QK53="M3"),"", "M0")</f>
        <v>M0</v>
      </c>
      <c r="QL49" s="6" t="str">
        <f t="shared" si="1269"/>
        <v>M0</v>
      </c>
      <c r="QM49" s="6" t="str">
        <f t="shared" si="1269"/>
        <v>M0</v>
      </c>
      <c r="QN49" s="6" t="str">
        <f t="shared" si="1269"/>
        <v>M0</v>
      </c>
      <c r="QO49" s="6" t="str">
        <f t="shared" si="1269"/>
        <v>M0</v>
      </c>
      <c r="QP49" s="6" t="str">
        <f t="shared" si="1269"/>
        <v>M0</v>
      </c>
      <c r="QQ49" s="6" t="str">
        <f t="shared" si="1269"/>
        <v>M0</v>
      </c>
      <c r="QR49" s="6" t="str">
        <f t="shared" si="1269"/>
        <v>M0</v>
      </c>
      <c r="QS49" s="6" t="str">
        <f t="shared" si="1269"/>
        <v>M0</v>
      </c>
      <c r="QT49" s="6" t="str">
        <f t="shared" si="1269"/>
        <v>M0</v>
      </c>
      <c r="QU49" s="6" t="str">
        <f t="shared" si="1269"/>
        <v>M0</v>
      </c>
      <c r="QV49" s="6" t="str">
        <f t="shared" si="1269"/>
        <v>M0</v>
      </c>
      <c r="QW49" s="6" t="str">
        <f t="shared" si="1269"/>
        <v>M0</v>
      </c>
      <c r="QX49" s="6" t="str">
        <f t="shared" si="1269"/>
        <v>M0</v>
      </c>
      <c r="QY49" s="6" t="str">
        <f t="shared" si="1269"/>
        <v>M0</v>
      </c>
      <c r="QZ49" s="6" t="str">
        <f t="shared" si="1269"/>
        <v>M0</v>
      </c>
      <c r="RA49" s="6" t="str">
        <f t="shared" si="1269"/>
        <v>M0</v>
      </c>
      <c r="RB49" s="6" t="str">
        <f t="shared" si="1269"/>
        <v>M0</v>
      </c>
      <c r="RC49" s="6" t="str">
        <f t="shared" si="1269"/>
        <v>M0</v>
      </c>
      <c r="RD49" s="6" t="str">
        <f t="shared" si="1269"/>
        <v>M0</v>
      </c>
      <c r="RE49" s="6" t="str">
        <f t="shared" si="1269"/>
        <v>M0</v>
      </c>
      <c r="RF49" s="6" t="str">
        <f t="shared" si="1269"/>
        <v>M0</v>
      </c>
      <c r="RG49" s="6" t="str">
        <f t="shared" si="1269"/>
        <v>M0</v>
      </c>
      <c r="RH49" s="6" t="str">
        <f t="shared" si="1269"/>
        <v>M0</v>
      </c>
      <c r="RI49" s="6" t="str">
        <f t="shared" si="1269"/>
        <v>M0</v>
      </c>
      <c r="RJ49" s="6" t="str">
        <f t="shared" si="1269"/>
        <v>M0</v>
      </c>
      <c r="RK49" s="6" t="str">
        <f t="shared" si="1269"/>
        <v>M0</v>
      </c>
      <c r="RL49" s="6" t="str">
        <f t="shared" si="1269"/>
        <v>M0</v>
      </c>
      <c r="RM49" s="6" t="str">
        <f t="shared" si="1269"/>
        <v/>
      </c>
      <c r="RN49" s="6" t="str">
        <f t="shared" si="1269"/>
        <v/>
      </c>
      <c r="RO49" s="6" t="str">
        <f t="shared" si="1269"/>
        <v/>
      </c>
      <c r="RP49" s="6" t="str">
        <f t="shared" si="1269"/>
        <v/>
      </c>
      <c r="RQ49" s="6" t="str">
        <f t="shared" si="1269"/>
        <v/>
      </c>
      <c r="RR49" s="6" t="str">
        <f t="shared" si="1269"/>
        <v/>
      </c>
      <c r="RS49" s="6" t="str">
        <f t="shared" si="1269"/>
        <v/>
      </c>
      <c r="RT49" s="6" t="str">
        <f t="shared" si="1269"/>
        <v/>
      </c>
      <c r="RU49" s="6" t="str">
        <f t="shared" si="1269"/>
        <v/>
      </c>
      <c r="RV49" s="6" t="str">
        <f t="shared" si="1269"/>
        <v/>
      </c>
      <c r="RW49" s="6" t="str">
        <f t="shared" si="1269"/>
        <v>M0</v>
      </c>
      <c r="RX49" s="6" t="str">
        <f t="shared" si="1269"/>
        <v>M0</v>
      </c>
      <c r="RY49" s="6" t="str">
        <f t="shared" si="1269"/>
        <v>M0</v>
      </c>
      <c r="RZ49" s="6" t="str">
        <f t="shared" si="1269"/>
        <v>M0</v>
      </c>
      <c r="SA49" s="6" t="str">
        <f t="shared" si="1269"/>
        <v>M0</v>
      </c>
      <c r="SB49" s="6" t="str">
        <f t="shared" si="1269"/>
        <v>M0</v>
      </c>
      <c r="SC49" s="6" t="str">
        <f t="shared" si="1269"/>
        <v>M0</v>
      </c>
      <c r="SD49" s="6" t="str">
        <f t="shared" si="1269"/>
        <v>M0</v>
      </c>
      <c r="SE49" s="6" t="str">
        <f t="shared" si="1269"/>
        <v>M0</v>
      </c>
      <c r="SF49" s="6" t="str">
        <f t="shared" si="1269"/>
        <v>M0</v>
      </c>
      <c r="SG49" s="6" t="str">
        <f t="shared" si="1269"/>
        <v>M0</v>
      </c>
      <c r="SH49" s="6" t="str">
        <f t="shared" si="1269"/>
        <v>M0</v>
      </c>
      <c r="SI49" s="6" t="str">
        <f t="shared" si="1269"/>
        <v>M0</v>
      </c>
      <c r="SJ49" s="6" t="str">
        <f t="shared" si="1269"/>
        <v>M0</v>
      </c>
      <c r="SK49" s="6" t="str">
        <f t="shared" si="1269"/>
        <v>M0</v>
      </c>
      <c r="SL49" s="6" t="str">
        <f t="shared" si="1269"/>
        <v>M0</v>
      </c>
      <c r="SM49" s="6" t="str">
        <f t="shared" si="1269"/>
        <v>M0</v>
      </c>
      <c r="SN49" s="6" t="str">
        <f t="shared" si="1269"/>
        <v>M0</v>
      </c>
      <c r="SO49" s="6" t="str">
        <f t="shared" si="1269"/>
        <v>M0</v>
      </c>
      <c r="SP49" s="6" t="str">
        <f t="shared" si="1269"/>
        <v>M0</v>
      </c>
      <c r="SQ49" s="6" t="str">
        <f t="shared" si="1269"/>
        <v>M0</v>
      </c>
      <c r="SR49" s="6" t="str">
        <f t="shared" si="1269"/>
        <v>M0</v>
      </c>
      <c r="SS49" s="6" t="str">
        <f t="shared" si="1269"/>
        <v>M0</v>
      </c>
      <c r="ST49" s="6" t="str">
        <f t="shared" si="1269"/>
        <v>M0</v>
      </c>
      <c r="SU49" s="6" t="str">
        <f t="shared" si="1269"/>
        <v>M0</v>
      </c>
      <c r="SV49" s="6" t="str">
        <f t="shared" si="1269"/>
        <v>M0</v>
      </c>
      <c r="SW49" s="6" t="str">
        <f t="shared" ref="SW49:VH49" si="1270">IF(OR(SW$50="M1", SW51="M2",SW53="M3"),"", "M0")</f>
        <v>M0</v>
      </c>
      <c r="SX49" s="6" t="str">
        <f t="shared" si="1270"/>
        <v>M0</v>
      </c>
      <c r="SY49" s="6" t="str">
        <f t="shared" si="1270"/>
        <v>M0</v>
      </c>
      <c r="SZ49" s="6" t="str">
        <f t="shared" si="1270"/>
        <v>M0</v>
      </c>
      <c r="TA49" s="6" t="str">
        <f t="shared" si="1270"/>
        <v>M0</v>
      </c>
      <c r="TB49" s="6" t="str">
        <f t="shared" si="1270"/>
        <v>M0</v>
      </c>
      <c r="TC49" s="6" t="str">
        <f t="shared" si="1270"/>
        <v>M0</v>
      </c>
      <c r="TD49" s="6" t="str">
        <f t="shared" si="1270"/>
        <v>M0</v>
      </c>
      <c r="TE49" s="6" t="str">
        <f t="shared" si="1270"/>
        <v>M0</v>
      </c>
      <c r="TF49" s="6" t="str">
        <f t="shared" si="1270"/>
        <v>M0</v>
      </c>
      <c r="TG49" s="6" t="str">
        <f t="shared" si="1270"/>
        <v>M0</v>
      </c>
      <c r="TH49" s="6" t="str">
        <f t="shared" si="1270"/>
        <v>M0</v>
      </c>
      <c r="TI49" s="6" t="str">
        <f t="shared" si="1270"/>
        <v>M0</v>
      </c>
      <c r="TJ49" s="6" t="str">
        <f t="shared" si="1270"/>
        <v>M0</v>
      </c>
      <c r="TK49" s="6" t="str">
        <f t="shared" si="1270"/>
        <v>M0</v>
      </c>
      <c r="TL49" s="6" t="str">
        <f t="shared" si="1270"/>
        <v>M0</v>
      </c>
      <c r="TM49" s="6" t="str">
        <f t="shared" si="1270"/>
        <v>M0</v>
      </c>
      <c r="TN49" s="6" t="str">
        <f t="shared" si="1270"/>
        <v>M0</v>
      </c>
      <c r="TO49" s="6" t="str">
        <f t="shared" si="1270"/>
        <v>M0</v>
      </c>
      <c r="TP49" s="6" t="str">
        <f t="shared" si="1270"/>
        <v>M0</v>
      </c>
      <c r="TQ49" s="6" t="str">
        <f t="shared" si="1270"/>
        <v>M0</v>
      </c>
      <c r="TR49" s="6" t="str">
        <f t="shared" si="1270"/>
        <v>M0</v>
      </c>
      <c r="TS49" s="6" t="str">
        <f t="shared" si="1270"/>
        <v>M0</v>
      </c>
      <c r="TT49" s="6" t="str">
        <f t="shared" si="1270"/>
        <v>M0</v>
      </c>
      <c r="TU49" s="6" t="str">
        <f t="shared" si="1270"/>
        <v>M0</v>
      </c>
      <c r="TV49" s="6" t="str">
        <f t="shared" si="1270"/>
        <v>M0</v>
      </c>
      <c r="TW49" s="6" t="str">
        <f t="shared" si="1270"/>
        <v>M0</v>
      </c>
      <c r="TX49" s="6" t="str">
        <f t="shared" si="1270"/>
        <v>M0</v>
      </c>
      <c r="TY49" s="6" t="str">
        <f t="shared" si="1270"/>
        <v>M0</v>
      </c>
      <c r="TZ49" s="6" t="str">
        <f t="shared" si="1270"/>
        <v>M0</v>
      </c>
      <c r="UA49" s="6" t="str">
        <f t="shared" si="1270"/>
        <v>M0</v>
      </c>
      <c r="UB49" s="6" t="str">
        <f t="shared" si="1270"/>
        <v>M0</v>
      </c>
      <c r="UC49" s="6" t="str">
        <f t="shared" si="1270"/>
        <v>M0</v>
      </c>
      <c r="UD49" s="6" t="str">
        <f t="shared" si="1270"/>
        <v>M0</v>
      </c>
      <c r="UE49" s="6" t="str">
        <f t="shared" si="1270"/>
        <v>M0</v>
      </c>
      <c r="UF49" s="6" t="str">
        <f t="shared" si="1270"/>
        <v>M0</v>
      </c>
      <c r="UG49" s="6" t="str">
        <f t="shared" si="1270"/>
        <v>M0</v>
      </c>
      <c r="UH49" s="6" t="str">
        <f t="shared" si="1270"/>
        <v>M0</v>
      </c>
      <c r="UI49" s="6" t="str">
        <f t="shared" si="1270"/>
        <v>M0</v>
      </c>
      <c r="UJ49" s="6" t="str">
        <f t="shared" si="1270"/>
        <v>M0</v>
      </c>
      <c r="UK49" s="6" t="str">
        <f t="shared" si="1270"/>
        <v>M0</v>
      </c>
      <c r="UL49" s="6" t="str">
        <f t="shared" si="1270"/>
        <v>M0</v>
      </c>
      <c r="UM49" s="6" t="str">
        <f t="shared" si="1270"/>
        <v>M0</v>
      </c>
      <c r="UN49" s="6" t="str">
        <f t="shared" si="1270"/>
        <v>M0</v>
      </c>
      <c r="UO49" s="6" t="str">
        <f t="shared" si="1270"/>
        <v>M0</v>
      </c>
      <c r="UP49" s="6" t="str">
        <f t="shared" si="1270"/>
        <v>M0</v>
      </c>
      <c r="UQ49" s="6" t="str">
        <f t="shared" si="1270"/>
        <v>M0</v>
      </c>
      <c r="UR49" s="6" t="str">
        <f t="shared" si="1270"/>
        <v>M0</v>
      </c>
      <c r="US49" s="6" t="str">
        <f t="shared" si="1270"/>
        <v>M0</v>
      </c>
      <c r="UT49" s="6" t="str">
        <f t="shared" si="1270"/>
        <v>M0</v>
      </c>
      <c r="UU49" s="6" t="str">
        <f t="shared" si="1270"/>
        <v>M0</v>
      </c>
      <c r="UV49" s="6" t="str">
        <f t="shared" si="1270"/>
        <v>M0</v>
      </c>
      <c r="UW49" s="6" t="str">
        <f t="shared" si="1270"/>
        <v>M0</v>
      </c>
      <c r="UX49" s="6" t="str">
        <f t="shared" si="1270"/>
        <v>M0</v>
      </c>
      <c r="UY49" s="6" t="str">
        <f t="shared" si="1270"/>
        <v>M0</v>
      </c>
      <c r="UZ49" s="6" t="str">
        <f t="shared" si="1270"/>
        <v>M0</v>
      </c>
      <c r="VA49" s="6" t="str">
        <f t="shared" si="1270"/>
        <v>M0</v>
      </c>
      <c r="VB49" s="6" t="str">
        <f t="shared" si="1270"/>
        <v>M0</v>
      </c>
      <c r="VC49" s="6" t="str">
        <f t="shared" si="1270"/>
        <v>M0</v>
      </c>
      <c r="VD49" s="6" t="str">
        <f t="shared" si="1270"/>
        <v>M0</v>
      </c>
      <c r="VE49" s="6" t="str">
        <f t="shared" si="1270"/>
        <v>M0</v>
      </c>
      <c r="VF49" s="6" t="str">
        <f t="shared" si="1270"/>
        <v>M0</v>
      </c>
      <c r="VG49" s="6" t="str">
        <f t="shared" si="1270"/>
        <v>M0</v>
      </c>
      <c r="VH49" s="6" t="str">
        <f t="shared" si="1270"/>
        <v>M0</v>
      </c>
      <c r="VI49" s="6" t="str">
        <f t="shared" ref="VI49:XT49" si="1271">IF(OR(VI$50="M1", VI51="M2",VI53="M3"),"", "M0")</f>
        <v>M0</v>
      </c>
      <c r="VJ49" s="6" t="str">
        <f t="shared" si="1271"/>
        <v>M0</v>
      </c>
      <c r="VK49" s="6" t="str">
        <f t="shared" si="1271"/>
        <v>M0</v>
      </c>
      <c r="VL49" s="6" t="str">
        <f t="shared" si="1271"/>
        <v>M0</v>
      </c>
      <c r="VM49" s="6" t="str">
        <f t="shared" si="1271"/>
        <v>M0</v>
      </c>
      <c r="VN49" s="6" t="str">
        <f t="shared" si="1271"/>
        <v>M0</v>
      </c>
      <c r="VO49" s="6" t="str">
        <f t="shared" si="1271"/>
        <v>M0</v>
      </c>
      <c r="VP49" s="6" t="str">
        <f t="shared" si="1271"/>
        <v>M0</v>
      </c>
      <c r="VQ49" s="6" t="str">
        <f t="shared" si="1271"/>
        <v>M0</v>
      </c>
      <c r="VR49" s="6" t="str">
        <f t="shared" si="1271"/>
        <v>M0</v>
      </c>
      <c r="VS49" s="6" t="str">
        <f t="shared" si="1271"/>
        <v>M0</v>
      </c>
      <c r="VT49" s="6" t="str">
        <f t="shared" si="1271"/>
        <v>M0</v>
      </c>
      <c r="VU49" s="6" t="str">
        <f t="shared" si="1271"/>
        <v>M0</v>
      </c>
      <c r="VV49" s="6" t="str">
        <f t="shared" si="1271"/>
        <v>M0</v>
      </c>
      <c r="VW49" s="6" t="str">
        <f t="shared" si="1271"/>
        <v>M0</v>
      </c>
      <c r="VX49" s="6" t="str">
        <f t="shared" si="1271"/>
        <v>M0</v>
      </c>
      <c r="VY49" s="6" t="str">
        <f t="shared" si="1271"/>
        <v>M0</v>
      </c>
      <c r="VZ49" s="6" t="str">
        <f t="shared" si="1271"/>
        <v>M0</v>
      </c>
      <c r="WA49" s="6" t="str">
        <f t="shared" si="1271"/>
        <v>M0</v>
      </c>
      <c r="WB49" s="6" t="str">
        <f t="shared" si="1271"/>
        <v>M0</v>
      </c>
      <c r="WC49" s="6" t="str">
        <f t="shared" si="1271"/>
        <v>M0</v>
      </c>
      <c r="WD49" s="6" t="str">
        <f t="shared" si="1271"/>
        <v>M0</v>
      </c>
      <c r="WE49" s="6" t="str">
        <f t="shared" si="1271"/>
        <v>M0</v>
      </c>
      <c r="WF49" s="6" t="str">
        <f t="shared" si="1271"/>
        <v>M0</v>
      </c>
      <c r="WG49" s="6" t="str">
        <f t="shared" si="1271"/>
        <v>M0</v>
      </c>
      <c r="WH49" s="6" t="str">
        <f t="shared" si="1271"/>
        <v>M0</v>
      </c>
      <c r="WI49" s="6" t="str">
        <f t="shared" si="1271"/>
        <v>M0</v>
      </c>
      <c r="WJ49" s="6" t="str">
        <f t="shared" si="1271"/>
        <v>M0</v>
      </c>
      <c r="WK49" s="6" t="str">
        <f t="shared" si="1271"/>
        <v>M0</v>
      </c>
      <c r="WL49" s="6" t="str">
        <f t="shared" si="1271"/>
        <v>M0</v>
      </c>
      <c r="WM49" s="6" t="str">
        <f t="shared" si="1271"/>
        <v>M0</v>
      </c>
      <c r="WN49" s="6" t="str">
        <f t="shared" si="1271"/>
        <v>M0</v>
      </c>
      <c r="WO49" s="6" t="str">
        <f t="shared" si="1271"/>
        <v>M0</v>
      </c>
      <c r="WP49" s="6" t="str">
        <f t="shared" si="1271"/>
        <v>M0</v>
      </c>
      <c r="WQ49" s="6" t="str">
        <f t="shared" si="1271"/>
        <v>M0</v>
      </c>
      <c r="WR49" s="6" t="str">
        <f t="shared" si="1271"/>
        <v>M0</v>
      </c>
      <c r="WS49" s="6" t="str">
        <f t="shared" si="1271"/>
        <v>M0</v>
      </c>
      <c r="WT49" s="6" t="str">
        <f t="shared" si="1271"/>
        <v>M0</v>
      </c>
      <c r="WU49" s="6" t="str">
        <f t="shared" si="1271"/>
        <v>M0</v>
      </c>
      <c r="WV49" s="6" t="str">
        <f t="shared" si="1271"/>
        <v>M0</v>
      </c>
      <c r="WW49" s="6" t="str">
        <f t="shared" si="1271"/>
        <v>M0</v>
      </c>
      <c r="WX49" s="6" t="str">
        <f t="shared" si="1271"/>
        <v>M0</v>
      </c>
      <c r="WY49" s="6" t="str">
        <f t="shared" si="1271"/>
        <v>M0</v>
      </c>
      <c r="WZ49" s="6" t="str">
        <f t="shared" si="1271"/>
        <v>M0</v>
      </c>
      <c r="XA49" s="6" t="str">
        <f t="shared" si="1271"/>
        <v/>
      </c>
      <c r="XB49" s="6" t="str">
        <f t="shared" si="1271"/>
        <v/>
      </c>
      <c r="XC49" s="6" t="str">
        <f t="shared" si="1271"/>
        <v/>
      </c>
      <c r="XD49" s="6" t="str">
        <f t="shared" si="1271"/>
        <v/>
      </c>
      <c r="XE49" s="6" t="str">
        <f t="shared" si="1271"/>
        <v/>
      </c>
      <c r="XF49" s="6" t="str">
        <f t="shared" si="1271"/>
        <v/>
      </c>
      <c r="XG49" s="6" t="str">
        <f t="shared" si="1271"/>
        <v/>
      </c>
      <c r="XH49" s="6" t="str">
        <f t="shared" si="1271"/>
        <v/>
      </c>
      <c r="XI49" s="6" t="str">
        <f t="shared" si="1271"/>
        <v/>
      </c>
      <c r="XJ49" s="6" t="str">
        <f t="shared" si="1271"/>
        <v/>
      </c>
      <c r="XK49" s="6" t="str">
        <f t="shared" si="1271"/>
        <v>M0</v>
      </c>
      <c r="XL49" s="6" t="str">
        <f t="shared" si="1271"/>
        <v>M0</v>
      </c>
      <c r="XM49" s="6" t="str">
        <f t="shared" si="1271"/>
        <v>M0</v>
      </c>
      <c r="XN49" s="6" t="str">
        <f t="shared" si="1271"/>
        <v>M0</v>
      </c>
      <c r="XO49" s="6" t="str">
        <f t="shared" si="1271"/>
        <v>M0</v>
      </c>
      <c r="XP49" s="6" t="str">
        <f t="shared" si="1271"/>
        <v>M0</v>
      </c>
      <c r="XQ49" s="6" t="str">
        <f t="shared" si="1271"/>
        <v>M0</v>
      </c>
      <c r="XR49" s="6" t="str">
        <f t="shared" si="1271"/>
        <v>M0</v>
      </c>
      <c r="XS49" s="6" t="str">
        <f t="shared" si="1271"/>
        <v>M0</v>
      </c>
      <c r="XT49" s="6" t="str">
        <f t="shared" si="1271"/>
        <v>M0</v>
      </c>
      <c r="XU49" s="6" t="str">
        <f t="shared" ref="XU49:AAF49" si="1272">IF(OR(XU$50="M1", XU51="M2",XU53="M3"),"", "M0")</f>
        <v>M0</v>
      </c>
      <c r="XV49" s="6" t="str">
        <f t="shared" si="1272"/>
        <v>M0</v>
      </c>
      <c r="XW49" s="6" t="str">
        <f t="shared" si="1272"/>
        <v>M0</v>
      </c>
      <c r="XX49" s="6" t="str">
        <f t="shared" si="1272"/>
        <v>M0</v>
      </c>
      <c r="XY49" s="6" t="str">
        <f t="shared" si="1272"/>
        <v>M0</v>
      </c>
      <c r="XZ49" s="6" t="str">
        <f t="shared" si="1272"/>
        <v>M0</v>
      </c>
      <c r="YA49" s="6" t="str">
        <f t="shared" si="1272"/>
        <v>M0</v>
      </c>
      <c r="YB49" s="6" t="str">
        <f t="shared" si="1272"/>
        <v>M0</v>
      </c>
      <c r="YC49" s="6" t="str">
        <f t="shared" si="1272"/>
        <v>M0</v>
      </c>
      <c r="YD49" s="6" t="str">
        <f t="shared" si="1272"/>
        <v>M0</v>
      </c>
      <c r="YE49" s="6" t="str">
        <f t="shared" si="1272"/>
        <v>M0</v>
      </c>
      <c r="YF49" s="6" t="str">
        <f t="shared" si="1272"/>
        <v>M0</v>
      </c>
      <c r="YG49" s="6" t="str">
        <f t="shared" si="1272"/>
        <v>M0</v>
      </c>
      <c r="YH49" s="6" t="str">
        <f t="shared" si="1272"/>
        <v>M0</v>
      </c>
      <c r="YI49" s="6" t="str">
        <f t="shared" si="1272"/>
        <v>M0</v>
      </c>
      <c r="YJ49" s="6" t="str">
        <f t="shared" si="1272"/>
        <v>M0</v>
      </c>
      <c r="YK49" s="6" t="str">
        <f t="shared" si="1272"/>
        <v>M0</v>
      </c>
      <c r="YL49" s="6" t="str">
        <f t="shared" si="1272"/>
        <v>M0</v>
      </c>
      <c r="YM49" s="6" t="str">
        <f t="shared" si="1272"/>
        <v>M0</v>
      </c>
      <c r="YN49" s="6" t="str">
        <f t="shared" si="1272"/>
        <v>M0</v>
      </c>
      <c r="YO49" s="6" t="str">
        <f t="shared" si="1272"/>
        <v>M0</v>
      </c>
      <c r="YP49" s="6" t="str">
        <f t="shared" si="1272"/>
        <v>M0</v>
      </c>
      <c r="YQ49" s="6" t="str">
        <f t="shared" si="1272"/>
        <v>M0</v>
      </c>
      <c r="YR49" s="6" t="str">
        <f t="shared" si="1272"/>
        <v>M0</v>
      </c>
      <c r="YS49" s="6" t="str">
        <f t="shared" si="1272"/>
        <v>M0</v>
      </c>
      <c r="YT49" s="6" t="str">
        <f t="shared" si="1272"/>
        <v>M0</v>
      </c>
      <c r="YU49" s="6" t="str">
        <f t="shared" si="1272"/>
        <v>M0</v>
      </c>
      <c r="YV49" s="6" t="str">
        <f t="shared" si="1272"/>
        <v>M0</v>
      </c>
      <c r="YW49" s="6" t="str">
        <f t="shared" si="1272"/>
        <v>M0</v>
      </c>
      <c r="YX49" s="6" t="str">
        <f t="shared" si="1272"/>
        <v>M0</v>
      </c>
      <c r="YY49" s="6" t="str">
        <f t="shared" si="1272"/>
        <v>M0</v>
      </c>
      <c r="YZ49" s="6" t="str">
        <f t="shared" si="1272"/>
        <v>M0</v>
      </c>
      <c r="ZA49" s="6" t="str">
        <f t="shared" si="1272"/>
        <v>M0</v>
      </c>
      <c r="ZB49" s="6" t="str">
        <f t="shared" si="1272"/>
        <v>M0</v>
      </c>
      <c r="ZC49" s="6" t="str">
        <f t="shared" si="1272"/>
        <v>M0</v>
      </c>
      <c r="ZD49" s="6" t="str">
        <f t="shared" si="1272"/>
        <v>M0</v>
      </c>
      <c r="ZE49" s="6" t="str">
        <f t="shared" si="1272"/>
        <v>M0</v>
      </c>
      <c r="ZF49" s="6" t="str">
        <f t="shared" si="1272"/>
        <v>M0</v>
      </c>
      <c r="ZG49" s="6" t="str">
        <f t="shared" si="1272"/>
        <v>M0</v>
      </c>
      <c r="ZH49" s="6" t="str">
        <f t="shared" si="1272"/>
        <v>M0</v>
      </c>
      <c r="ZI49" s="6" t="str">
        <f t="shared" si="1272"/>
        <v>M0</v>
      </c>
      <c r="ZJ49" s="6" t="str">
        <f t="shared" si="1272"/>
        <v>M0</v>
      </c>
      <c r="ZK49" s="6" t="str">
        <f t="shared" si="1272"/>
        <v>M0</v>
      </c>
      <c r="ZL49" s="6" t="str">
        <f t="shared" si="1272"/>
        <v>M0</v>
      </c>
      <c r="ZM49" s="6" t="str">
        <f t="shared" si="1272"/>
        <v>M0</v>
      </c>
      <c r="ZN49" s="6" t="str">
        <f t="shared" si="1272"/>
        <v>M0</v>
      </c>
      <c r="ZO49" s="6" t="str">
        <f t="shared" si="1272"/>
        <v>M0</v>
      </c>
      <c r="ZP49" s="6" t="str">
        <f t="shared" si="1272"/>
        <v>M0</v>
      </c>
      <c r="ZQ49" s="6" t="str">
        <f t="shared" si="1272"/>
        <v>M0</v>
      </c>
      <c r="ZR49" s="6" t="str">
        <f t="shared" si="1272"/>
        <v>M0</v>
      </c>
      <c r="ZS49" s="6" t="str">
        <f t="shared" si="1272"/>
        <v>M0</v>
      </c>
      <c r="ZT49" s="6" t="str">
        <f t="shared" si="1272"/>
        <v>M0</v>
      </c>
      <c r="ZU49" s="6" t="str">
        <f t="shared" si="1272"/>
        <v>M0</v>
      </c>
      <c r="ZV49" s="6" t="str">
        <f t="shared" si="1272"/>
        <v>M0</v>
      </c>
      <c r="ZW49" s="6" t="str">
        <f t="shared" si="1272"/>
        <v>M0</v>
      </c>
      <c r="ZX49" s="6" t="str">
        <f t="shared" si="1272"/>
        <v>M0</v>
      </c>
      <c r="ZY49" s="6" t="str">
        <f t="shared" si="1272"/>
        <v>M0</v>
      </c>
      <c r="ZZ49" s="6" t="str">
        <f t="shared" si="1272"/>
        <v>M0</v>
      </c>
      <c r="AAA49" s="6" t="str">
        <f t="shared" si="1272"/>
        <v>M0</v>
      </c>
      <c r="AAB49" s="6" t="str">
        <f t="shared" si="1272"/>
        <v>M0</v>
      </c>
      <c r="AAC49" s="6" t="str">
        <f t="shared" si="1272"/>
        <v>M0</v>
      </c>
      <c r="AAD49" s="6" t="str">
        <f t="shared" si="1272"/>
        <v>M0</v>
      </c>
      <c r="AAE49" s="6" t="str">
        <f t="shared" si="1272"/>
        <v>M0</v>
      </c>
      <c r="AAF49" s="6" t="str">
        <f t="shared" si="1272"/>
        <v>M0</v>
      </c>
      <c r="AAG49" s="6" t="str">
        <f t="shared" ref="AAG49:ACR49" si="1273">IF(OR(AAG$50="M1", AAG51="M2",AAG53="M3"),"", "M0")</f>
        <v>M0</v>
      </c>
      <c r="AAH49" s="6" t="str">
        <f t="shared" si="1273"/>
        <v>M0</v>
      </c>
      <c r="AAI49" s="6" t="str">
        <f t="shared" si="1273"/>
        <v>M0</v>
      </c>
      <c r="AAJ49" s="6" t="str">
        <f t="shared" si="1273"/>
        <v>M0</v>
      </c>
      <c r="AAK49" s="6" t="str">
        <f t="shared" si="1273"/>
        <v>M0</v>
      </c>
      <c r="AAL49" s="6" t="str">
        <f t="shared" si="1273"/>
        <v>M0</v>
      </c>
      <c r="AAM49" s="6" t="str">
        <f t="shared" si="1273"/>
        <v>M0</v>
      </c>
      <c r="AAN49" s="6" t="str">
        <f t="shared" si="1273"/>
        <v>M0</v>
      </c>
      <c r="AAO49" s="6" t="str">
        <f t="shared" si="1273"/>
        <v>M0</v>
      </c>
      <c r="AAP49" s="6" t="str">
        <f t="shared" si="1273"/>
        <v>M0</v>
      </c>
      <c r="AAQ49" s="6" t="str">
        <f t="shared" si="1273"/>
        <v>M0</v>
      </c>
      <c r="AAR49" s="6" t="str">
        <f t="shared" si="1273"/>
        <v>M0</v>
      </c>
      <c r="AAS49" s="6" t="str">
        <f t="shared" si="1273"/>
        <v>M0</v>
      </c>
      <c r="AAT49" s="6" t="str">
        <f t="shared" si="1273"/>
        <v>M0</v>
      </c>
      <c r="AAU49" s="6" t="str">
        <f t="shared" si="1273"/>
        <v>M0</v>
      </c>
      <c r="AAV49" s="6" t="str">
        <f t="shared" si="1273"/>
        <v>M0</v>
      </c>
      <c r="AAW49" s="6" t="str">
        <f t="shared" si="1273"/>
        <v>M0</v>
      </c>
      <c r="AAX49" s="6" t="str">
        <f t="shared" si="1273"/>
        <v>M0</v>
      </c>
      <c r="AAY49" s="6" t="str">
        <f t="shared" si="1273"/>
        <v>M0</v>
      </c>
      <c r="AAZ49" s="6" t="str">
        <f t="shared" si="1273"/>
        <v>M0</v>
      </c>
      <c r="ABA49" s="6" t="str">
        <f t="shared" si="1273"/>
        <v>M0</v>
      </c>
      <c r="ABB49" s="6" t="str">
        <f t="shared" si="1273"/>
        <v>M0</v>
      </c>
      <c r="ABC49" s="6" t="str">
        <f t="shared" si="1273"/>
        <v>M0</v>
      </c>
      <c r="ABD49" s="6" t="str">
        <f t="shared" si="1273"/>
        <v>M0</v>
      </c>
      <c r="ABE49" s="6" t="str">
        <f t="shared" si="1273"/>
        <v>M0</v>
      </c>
      <c r="ABF49" s="6" t="str">
        <f t="shared" si="1273"/>
        <v>M0</v>
      </c>
      <c r="ABG49" s="6" t="str">
        <f t="shared" si="1273"/>
        <v>M0</v>
      </c>
      <c r="ABH49" s="6" t="str">
        <f t="shared" si="1273"/>
        <v>M0</v>
      </c>
      <c r="ABI49" s="6" t="str">
        <f t="shared" si="1273"/>
        <v>M0</v>
      </c>
      <c r="ABJ49" s="6" t="str">
        <f t="shared" si="1273"/>
        <v>M0</v>
      </c>
      <c r="ABK49" s="6" t="str">
        <f t="shared" si="1273"/>
        <v>M0</v>
      </c>
      <c r="ABL49" s="6" t="str">
        <f t="shared" si="1273"/>
        <v>M0</v>
      </c>
      <c r="ABM49" s="6" t="str">
        <f t="shared" si="1273"/>
        <v>M0</v>
      </c>
      <c r="ABN49" s="6" t="str">
        <f t="shared" si="1273"/>
        <v>M0</v>
      </c>
      <c r="ABO49" s="6" t="str">
        <f t="shared" si="1273"/>
        <v>M0</v>
      </c>
      <c r="ABP49" s="6" t="str">
        <f t="shared" si="1273"/>
        <v>M0</v>
      </c>
      <c r="ABQ49" s="6" t="str">
        <f t="shared" si="1273"/>
        <v>M0</v>
      </c>
      <c r="ABR49" s="6" t="str">
        <f t="shared" si="1273"/>
        <v>M0</v>
      </c>
      <c r="ABS49" s="6" t="str">
        <f t="shared" si="1273"/>
        <v>M0</v>
      </c>
      <c r="ABT49" s="6" t="str">
        <f t="shared" si="1273"/>
        <v>M0</v>
      </c>
      <c r="ABU49" s="6" t="str">
        <f t="shared" si="1273"/>
        <v>M0</v>
      </c>
      <c r="ABV49" s="6" t="str">
        <f t="shared" si="1273"/>
        <v>M0</v>
      </c>
      <c r="ABW49" s="6" t="str">
        <f t="shared" si="1273"/>
        <v>M0</v>
      </c>
      <c r="ABX49" s="6" t="str">
        <f t="shared" si="1273"/>
        <v>M0</v>
      </c>
      <c r="ABY49" s="6" t="str">
        <f t="shared" si="1273"/>
        <v>M0</v>
      </c>
      <c r="ABZ49" s="6" t="str">
        <f t="shared" si="1273"/>
        <v>M0</v>
      </c>
      <c r="ACA49" s="6" t="str">
        <f t="shared" si="1273"/>
        <v>M0</v>
      </c>
      <c r="ACB49" s="6" t="str">
        <f t="shared" si="1273"/>
        <v>M0</v>
      </c>
      <c r="ACC49" s="6" t="str">
        <f t="shared" si="1273"/>
        <v>M0</v>
      </c>
      <c r="ACD49" s="6" t="str">
        <f t="shared" si="1273"/>
        <v>M0</v>
      </c>
      <c r="ACE49" s="6" t="str">
        <f t="shared" si="1273"/>
        <v>M0</v>
      </c>
      <c r="ACF49" s="6" t="str">
        <f t="shared" si="1273"/>
        <v>M0</v>
      </c>
      <c r="ACG49" s="6" t="str">
        <f t="shared" si="1273"/>
        <v>M0</v>
      </c>
      <c r="ACH49" s="6" t="str">
        <f t="shared" si="1273"/>
        <v>M0</v>
      </c>
      <c r="ACI49" s="6" t="str">
        <f t="shared" si="1273"/>
        <v>M0</v>
      </c>
      <c r="ACJ49" s="6" t="str">
        <f t="shared" si="1273"/>
        <v>M0</v>
      </c>
      <c r="ACK49" s="6" t="str">
        <f t="shared" si="1273"/>
        <v>M0</v>
      </c>
      <c r="ACL49" s="6" t="str">
        <f t="shared" si="1273"/>
        <v>M0</v>
      </c>
      <c r="ACM49" s="6" t="str">
        <f t="shared" si="1273"/>
        <v>M0</v>
      </c>
      <c r="ACN49" s="6" t="str">
        <f t="shared" si="1273"/>
        <v>M0</v>
      </c>
      <c r="ACO49" s="6" t="str">
        <f t="shared" si="1273"/>
        <v/>
      </c>
      <c r="ACP49" s="6" t="str">
        <f t="shared" si="1273"/>
        <v/>
      </c>
      <c r="ACQ49" s="6" t="str">
        <f t="shared" si="1273"/>
        <v/>
      </c>
      <c r="ACR49" s="6" t="str">
        <f t="shared" si="1273"/>
        <v/>
      </c>
      <c r="ACS49" s="6" t="str">
        <f t="shared" ref="ACS49:AFD49" si="1274">IF(OR(ACS$50="M1", ACS51="M2",ACS53="M3"),"", "M0")</f>
        <v/>
      </c>
      <c r="ACT49" s="6" t="str">
        <f t="shared" si="1274"/>
        <v/>
      </c>
      <c r="ACU49" s="6" t="str">
        <f t="shared" si="1274"/>
        <v/>
      </c>
      <c r="ACV49" s="6" t="str">
        <f t="shared" si="1274"/>
        <v/>
      </c>
      <c r="ACW49" s="6" t="str">
        <f t="shared" si="1274"/>
        <v/>
      </c>
      <c r="ACX49" s="6" t="str">
        <f t="shared" si="1274"/>
        <v/>
      </c>
      <c r="ACY49" s="6" t="str">
        <f t="shared" si="1274"/>
        <v>M0</v>
      </c>
      <c r="ACZ49" s="6" t="str">
        <f t="shared" si="1274"/>
        <v>M0</v>
      </c>
      <c r="ADA49" s="6" t="str">
        <f t="shared" si="1274"/>
        <v>M0</v>
      </c>
      <c r="ADB49" s="6" t="str">
        <f t="shared" si="1274"/>
        <v>M0</v>
      </c>
      <c r="ADC49" s="6" t="str">
        <f t="shared" si="1274"/>
        <v>M0</v>
      </c>
      <c r="ADD49" s="6" t="str">
        <f t="shared" si="1274"/>
        <v>M0</v>
      </c>
      <c r="ADE49" s="6" t="str">
        <f t="shared" si="1274"/>
        <v>M0</v>
      </c>
      <c r="ADF49" s="6" t="str">
        <f t="shared" si="1274"/>
        <v>M0</v>
      </c>
      <c r="ADG49" s="6" t="str">
        <f t="shared" si="1274"/>
        <v>M0</v>
      </c>
      <c r="ADH49" s="6" t="str">
        <f t="shared" si="1274"/>
        <v>M0</v>
      </c>
      <c r="ADI49" s="6" t="str">
        <f t="shared" si="1274"/>
        <v>M0</v>
      </c>
      <c r="ADJ49" s="6" t="str">
        <f t="shared" si="1274"/>
        <v>M0</v>
      </c>
      <c r="ADK49" s="6" t="str">
        <f t="shared" si="1274"/>
        <v>M0</v>
      </c>
      <c r="ADL49" s="6" t="str">
        <f t="shared" si="1274"/>
        <v>M0</v>
      </c>
      <c r="ADM49" s="6" t="str">
        <f t="shared" si="1274"/>
        <v>M0</v>
      </c>
      <c r="ADN49" s="6" t="str">
        <f t="shared" si="1274"/>
        <v>M0</v>
      </c>
      <c r="ADO49" s="6" t="str">
        <f t="shared" si="1274"/>
        <v>M0</v>
      </c>
      <c r="ADP49" s="6" t="str">
        <f t="shared" si="1274"/>
        <v>M0</v>
      </c>
      <c r="ADQ49" s="6" t="str">
        <f t="shared" si="1274"/>
        <v>M0</v>
      </c>
      <c r="ADR49" s="6" t="str">
        <f t="shared" si="1274"/>
        <v>M0</v>
      </c>
      <c r="ADS49" s="6" t="str">
        <f t="shared" si="1274"/>
        <v>M0</v>
      </c>
      <c r="ADT49" s="6" t="str">
        <f t="shared" si="1274"/>
        <v>M0</v>
      </c>
      <c r="ADU49" s="6" t="str">
        <f t="shared" si="1274"/>
        <v>M0</v>
      </c>
      <c r="ADV49" s="6" t="str">
        <f t="shared" si="1274"/>
        <v>M0</v>
      </c>
      <c r="ADW49" s="6" t="str">
        <f t="shared" si="1274"/>
        <v>M0</v>
      </c>
      <c r="ADX49" s="6" t="str">
        <f t="shared" si="1274"/>
        <v>M0</v>
      </c>
      <c r="ADY49" s="6" t="str">
        <f t="shared" si="1274"/>
        <v>M0</v>
      </c>
      <c r="ADZ49" s="6" t="str">
        <f t="shared" si="1274"/>
        <v>M0</v>
      </c>
      <c r="AEA49" s="6" t="str">
        <f t="shared" si="1274"/>
        <v>M0</v>
      </c>
      <c r="AEB49" s="6" t="str">
        <f t="shared" si="1274"/>
        <v>M0</v>
      </c>
      <c r="AEC49" s="6" t="str">
        <f t="shared" si="1274"/>
        <v>M0</v>
      </c>
      <c r="AED49" s="6" t="str">
        <f t="shared" si="1274"/>
        <v>M0</v>
      </c>
      <c r="AEE49" s="6" t="str">
        <f t="shared" si="1274"/>
        <v>M0</v>
      </c>
      <c r="AEF49" s="6" t="str">
        <f t="shared" si="1274"/>
        <v>M0</v>
      </c>
      <c r="AEG49" s="6" t="str">
        <f t="shared" si="1274"/>
        <v>M0</v>
      </c>
      <c r="AEH49" s="6" t="str">
        <f t="shared" si="1274"/>
        <v>M0</v>
      </c>
      <c r="AEI49" s="6" t="str">
        <f t="shared" si="1274"/>
        <v>M0</v>
      </c>
      <c r="AEJ49" s="6" t="str">
        <f t="shared" si="1274"/>
        <v>M0</v>
      </c>
      <c r="AEK49" s="6" t="str">
        <f t="shared" si="1274"/>
        <v>M0</v>
      </c>
      <c r="AEL49" s="6" t="str">
        <f t="shared" si="1274"/>
        <v>M0</v>
      </c>
      <c r="AEM49" s="6" t="str">
        <f t="shared" si="1274"/>
        <v>M0</v>
      </c>
      <c r="AEN49" s="6" t="str">
        <f t="shared" si="1274"/>
        <v>M0</v>
      </c>
      <c r="AEO49" s="6" t="str">
        <f t="shared" si="1274"/>
        <v>M0</v>
      </c>
      <c r="AEP49" s="6" t="str">
        <f t="shared" si="1274"/>
        <v>M0</v>
      </c>
      <c r="AEQ49" s="6" t="str">
        <f t="shared" si="1274"/>
        <v>M0</v>
      </c>
      <c r="AER49" s="6" t="str">
        <f t="shared" si="1274"/>
        <v>M0</v>
      </c>
      <c r="AES49" s="6" t="str">
        <f t="shared" si="1274"/>
        <v>M0</v>
      </c>
      <c r="AET49" s="6" t="str">
        <f t="shared" si="1274"/>
        <v>M0</v>
      </c>
      <c r="AEU49" s="6" t="str">
        <f t="shared" si="1274"/>
        <v>M0</v>
      </c>
      <c r="AEV49" s="6" t="str">
        <f t="shared" si="1274"/>
        <v>M0</v>
      </c>
      <c r="AEW49" s="6" t="str">
        <f t="shared" si="1274"/>
        <v>M0</v>
      </c>
      <c r="AEX49" s="6" t="str">
        <f t="shared" si="1274"/>
        <v>M0</v>
      </c>
      <c r="AEY49" s="6" t="str">
        <f t="shared" si="1274"/>
        <v>M0</v>
      </c>
      <c r="AEZ49" s="6" t="str">
        <f t="shared" si="1274"/>
        <v>M0</v>
      </c>
      <c r="AFA49" s="6" t="str">
        <f t="shared" si="1274"/>
        <v>M0</v>
      </c>
      <c r="AFB49" s="6" t="str">
        <f t="shared" si="1274"/>
        <v>M0</v>
      </c>
      <c r="AFC49" s="6" t="str">
        <f t="shared" si="1274"/>
        <v>M0</v>
      </c>
      <c r="AFD49" s="6" t="str">
        <f t="shared" si="1274"/>
        <v>M0</v>
      </c>
      <c r="AFE49" s="6" t="str">
        <f t="shared" ref="AFE49:AHP49" si="1275">IF(OR(AFE$50="M1", AFE51="M2",AFE53="M3"),"", "M0")</f>
        <v>M0</v>
      </c>
      <c r="AFF49" s="6" t="str">
        <f t="shared" si="1275"/>
        <v>M0</v>
      </c>
      <c r="AFG49" s="6" t="str">
        <f t="shared" si="1275"/>
        <v>M0</v>
      </c>
      <c r="AFH49" s="6" t="str">
        <f t="shared" si="1275"/>
        <v>M0</v>
      </c>
      <c r="AFI49" s="6" t="str">
        <f t="shared" si="1275"/>
        <v>M0</v>
      </c>
      <c r="AFJ49" s="6" t="str">
        <f t="shared" si="1275"/>
        <v>M0</v>
      </c>
      <c r="AFK49" s="6" t="str">
        <f t="shared" si="1275"/>
        <v>M0</v>
      </c>
      <c r="AFL49" s="6" t="str">
        <f t="shared" si="1275"/>
        <v>M0</v>
      </c>
      <c r="AFM49" s="6" t="str">
        <f t="shared" si="1275"/>
        <v>M0</v>
      </c>
      <c r="AFN49" s="6" t="str">
        <f t="shared" si="1275"/>
        <v>M0</v>
      </c>
      <c r="AFO49" s="6" t="str">
        <f t="shared" si="1275"/>
        <v>M0</v>
      </c>
      <c r="AFP49" s="6" t="str">
        <f t="shared" si="1275"/>
        <v>M0</v>
      </c>
      <c r="AFQ49" s="6" t="str">
        <f t="shared" si="1275"/>
        <v>M0</v>
      </c>
      <c r="AFR49" s="6" t="str">
        <f t="shared" si="1275"/>
        <v>M0</v>
      </c>
      <c r="AFS49" s="6" t="str">
        <f t="shared" si="1275"/>
        <v>M0</v>
      </c>
      <c r="AFT49" s="6" t="str">
        <f t="shared" si="1275"/>
        <v>M0</v>
      </c>
      <c r="AFU49" s="6" t="str">
        <f t="shared" si="1275"/>
        <v>M0</v>
      </c>
      <c r="AFV49" s="6" t="str">
        <f t="shared" si="1275"/>
        <v>M0</v>
      </c>
      <c r="AFW49" s="6" t="str">
        <f t="shared" si="1275"/>
        <v>M0</v>
      </c>
      <c r="AFX49" s="6" t="str">
        <f t="shared" si="1275"/>
        <v>M0</v>
      </c>
      <c r="AFY49" s="6" t="str">
        <f t="shared" si="1275"/>
        <v>M0</v>
      </c>
      <c r="AFZ49" s="6" t="str">
        <f t="shared" si="1275"/>
        <v>M0</v>
      </c>
      <c r="AGA49" s="6" t="str">
        <f t="shared" si="1275"/>
        <v>M0</v>
      </c>
      <c r="AGB49" s="6" t="str">
        <f t="shared" si="1275"/>
        <v>M0</v>
      </c>
      <c r="AGC49" s="6" t="str">
        <f t="shared" si="1275"/>
        <v>M0</v>
      </c>
      <c r="AGD49" s="6" t="str">
        <f t="shared" si="1275"/>
        <v>M0</v>
      </c>
      <c r="AGE49" s="6" t="str">
        <f t="shared" si="1275"/>
        <v>M0</v>
      </c>
      <c r="AGF49" s="6" t="str">
        <f t="shared" si="1275"/>
        <v>M0</v>
      </c>
      <c r="AGG49" s="6" t="str">
        <f t="shared" si="1275"/>
        <v>M0</v>
      </c>
      <c r="AGH49" s="6" t="str">
        <f t="shared" si="1275"/>
        <v>M0</v>
      </c>
      <c r="AGI49" s="6" t="str">
        <f t="shared" si="1275"/>
        <v>M0</v>
      </c>
      <c r="AGJ49" s="6" t="str">
        <f t="shared" si="1275"/>
        <v>M0</v>
      </c>
      <c r="AGK49" s="6" t="str">
        <f t="shared" si="1275"/>
        <v>M0</v>
      </c>
      <c r="AGL49" s="6" t="str">
        <f t="shared" si="1275"/>
        <v>M0</v>
      </c>
      <c r="AGM49" s="6" t="str">
        <f t="shared" si="1275"/>
        <v>M0</v>
      </c>
      <c r="AGN49" s="6" t="str">
        <f t="shared" si="1275"/>
        <v>M0</v>
      </c>
      <c r="AGO49" s="6" t="str">
        <f t="shared" si="1275"/>
        <v>M0</v>
      </c>
      <c r="AGP49" s="6" t="str">
        <f t="shared" si="1275"/>
        <v>M0</v>
      </c>
      <c r="AGQ49" s="6" t="str">
        <f t="shared" si="1275"/>
        <v>M0</v>
      </c>
      <c r="AGR49" s="6" t="str">
        <f t="shared" si="1275"/>
        <v>M0</v>
      </c>
      <c r="AGS49" s="6" t="str">
        <f t="shared" si="1275"/>
        <v>M0</v>
      </c>
      <c r="AGT49" s="6" t="str">
        <f t="shared" si="1275"/>
        <v>M0</v>
      </c>
      <c r="AGU49" s="6" t="str">
        <f t="shared" si="1275"/>
        <v>M0</v>
      </c>
      <c r="AGV49" s="6" t="str">
        <f t="shared" si="1275"/>
        <v>M0</v>
      </c>
      <c r="AGW49" s="6" t="str">
        <f t="shared" si="1275"/>
        <v>M0</v>
      </c>
      <c r="AGX49" s="6" t="str">
        <f t="shared" si="1275"/>
        <v>M0</v>
      </c>
      <c r="AGY49" s="6" t="str">
        <f t="shared" si="1275"/>
        <v>M0</v>
      </c>
      <c r="AGZ49" s="6" t="str">
        <f t="shared" si="1275"/>
        <v>M0</v>
      </c>
      <c r="AHA49" s="6" t="str">
        <f t="shared" si="1275"/>
        <v>M0</v>
      </c>
      <c r="AHB49" s="6" t="str">
        <f t="shared" si="1275"/>
        <v>M0</v>
      </c>
      <c r="AHC49" s="6" t="str">
        <f t="shared" si="1275"/>
        <v>M0</v>
      </c>
      <c r="AHD49" s="6" t="str">
        <f t="shared" si="1275"/>
        <v>M0</v>
      </c>
      <c r="AHE49" s="6" t="str">
        <f t="shared" si="1275"/>
        <v>M0</v>
      </c>
      <c r="AHF49" s="6" t="str">
        <f t="shared" si="1275"/>
        <v>M0</v>
      </c>
      <c r="AHG49" s="6" t="str">
        <f t="shared" si="1275"/>
        <v>M0</v>
      </c>
      <c r="AHH49" s="6" t="str">
        <f t="shared" si="1275"/>
        <v>M0</v>
      </c>
      <c r="AHI49" s="6" t="str">
        <f t="shared" si="1275"/>
        <v>M0</v>
      </c>
      <c r="AHJ49" s="6" t="str">
        <f t="shared" si="1275"/>
        <v>M0</v>
      </c>
      <c r="AHK49" s="6" t="str">
        <f t="shared" si="1275"/>
        <v>M0</v>
      </c>
      <c r="AHL49" s="6" t="str">
        <f t="shared" si="1275"/>
        <v>M0</v>
      </c>
      <c r="AHM49" s="6" t="str">
        <f t="shared" si="1275"/>
        <v>M0</v>
      </c>
      <c r="AHN49" s="6" t="str">
        <f t="shared" si="1275"/>
        <v>M0</v>
      </c>
      <c r="AHO49" s="6" t="str">
        <f t="shared" si="1275"/>
        <v>M0</v>
      </c>
      <c r="AHP49" s="6" t="str">
        <f t="shared" si="1275"/>
        <v>M0</v>
      </c>
      <c r="AHQ49" s="6" t="str">
        <f t="shared" ref="AHQ49:AKB49" si="1276">IF(OR(AHQ$50="M1", AHQ51="M2",AHQ53="M3"),"", "M0")</f>
        <v>M0</v>
      </c>
      <c r="AHR49" s="6" t="str">
        <f t="shared" si="1276"/>
        <v>M0</v>
      </c>
      <c r="AHS49" s="6" t="str">
        <f t="shared" si="1276"/>
        <v>M0</v>
      </c>
      <c r="AHT49" s="6" t="str">
        <f t="shared" si="1276"/>
        <v>M0</v>
      </c>
      <c r="AHU49" s="6" t="str">
        <f t="shared" si="1276"/>
        <v>M0</v>
      </c>
      <c r="AHV49" s="6" t="str">
        <f t="shared" si="1276"/>
        <v>M0</v>
      </c>
      <c r="AHW49" s="6" t="str">
        <f t="shared" si="1276"/>
        <v>M0</v>
      </c>
      <c r="AHX49" s="6" t="str">
        <f t="shared" si="1276"/>
        <v>M0</v>
      </c>
      <c r="AHY49" s="6" t="str">
        <f t="shared" si="1276"/>
        <v>M0</v>
      </c>
      <c r="AHZ49" s="6" t="str">
        <f t="shared" si="1276"/>
        <v>M0</v>
      </c>
      <c r="AIA49" s="6" t="str">
        <f t="shared" si="1276"/>
        <v>M0</v>
      </c>
      <c r="AIB49" s="6" t="str">
        <f t="shared" si="1276"/>
        <v>M0</v>
      </c>
      <c r="AIC49" s="6" t="str">
        <f t="shared" si="1276"/>
        <v/>
      </c>
      <c r="AID49" s="6" t="str">
        <f t="shared" si="1276"/>
        <v/>
      </c>
      <c r="AIE49" s="6" t="str">
        <f t="shared" si="1276"/>
        <v/>
      </c>
      <c r="AIF49" s="6" t="str">
        <f t="shared" si="1276"/>
        <v/>
      </c>
      <c r="AIG49" s="6" t="str">
        <f t="shared" si="1276"/>
        <v/>
      </c>
      <c r="AIH49" s="6" t="str">
        <f t="shared" si="1276"/>
        <v/>
      </c>
      <c r="AII49" s="6" t="str">
        <f t="shared" si="1276"/>
        <v/>
      </c>
      <c r="AIJ49" s="6" t="str">
        <f t="shared" si="1276"/>
        <v/>
      </c>
      <c r="AIK49" s="6" t="str">
        <f t="shared" si="1276"/>
        <v/>
      </c>
      <c r="AIL49" s="6" t="str">
        <f>IF(OR(AIL$50="M1", AIL51="M2",AIL53="M3"),"", "M0")</f>
        <v/>
      </c>
      <c r="AIM49" s="6" t="str">
        <f>IF(OR(AIM$50="M1", AIM51="M2",AIM53="M3"),"", "M0")</f>
        <v>M0</v>
      </c>
      <c r="AIN49" s="6" t="str">
        <f>IF(OR(AIN$50="M1", AIN51="M2",AIN53="M3"),"", "M0")</f>
        <v>M0</v>
      </c>
      <c r="AIO49" s="6" t="str">
        <f t="shared" si="1276"/>
        <v>M0</v>
      </c>
      <c r="AIP49" s="6" t="str">
        <f t="shared" si="1276"/>
        <v>M0</v>
      </c>
      <c r="AIQ49" s="6" t="str">
        <f t="shared" si="1276"/>
        <v>M0</v>
      </c>
      <c r="AIR49" s="6" t="str">
        <f t="shared" si="1276"/>
        <v>M0</v>
      </c>
      <c r="AIS49" s="6" t="str">
        <f t="shared" si="1276"/>
        <v>M0</v>
      </c>
      <c r="AIT49" s="6" t="str">
        <f t="shared" si="1276"/>
        <v>M0</v>
      </c>
      <c r="AIU49" s="6" t="str">
        <f t="shared" si="1276"/>
        <v>M0</v>
      </c>
      <c r="AIV49" s="6" t="str">
        <f t="shared" si="1276"/>
        <v>M0</v>
      </c>
      <c r="AIW49" s="6" t="str">
        <f t="shared" si="1276"/>
        <v>M0</v>
      </c>
      <c r="AIX49" s="6" t="str">
        <f t="shared" si="1276"/>
        <v>M0</v>
      </c>
      <c r="AIY49" s="6" t="str">
        <f t="shared" si="1276"/>
        <v>M0</v>
      </c>
      <c r="AIZ49" s="6" t="str">
        <f t="shared" si="1276"/>
        <v>M0</v>
      </c>
      <c r="AJA49" s="6" t="str">
        <f t="shared" si="1276"/>
        <v>M0</v>
      </c>
      <c r="AJB49" s="6" t="str">
        <f t="shared" si="1276"/>
        <v>M0</v>
      </c>
      <c r="AJC49" s="6" t="str">
        <f t="shared" si="1276"/>
        <v>M0</v>
      </c>
      <c r="AJD49" s="6" t="str">
        <f t="shared" si="1276"/>
        <v>M0</v>
      </c>
      <c r="AJE49" s="6" t="str">
        <f t="shared" si="1276"/>
        <v>M0</v>
      </c>
      <c r="AJF49" s="6" t="str">
        <f t="shared" si="1276"/>
        <v>M0</v>
      </c>
      <c r="AJG49" s="6" t="str">
        <f t="shared" si="1276"/>
        <v>M0</v>
      </c>
      <c r="AJH49" s="6" t="str">
        <f t="shared" si="1276"/>
        <v>M0</v>
      </c>
      <c r="AJI49" s="6" t="str">
        <f t="shared" si="1276"/>
        <v>M0</v>
      </c>
      <c r="AJJ49" s="6" t="str">
        <f t="shared" si="1276"/>
        <v>M0</v>
      </c>
      <c r="AJK49" s="6" t="str">
        <f t="shared" si="1276"/>
        <v>M0</v>
      </c>
      <c r="AJL49" s="6" t="str">
        <f t="shared" si="1276"/>
        <v>M0</v>
      </c>
      <c r="AJM49" s="6" t="str">
        <f t="shared" si="1276"/>
        <v>M0</v>
      </c>
      <c r="AJN49" s="6" t="str">
        <f t="shared" si="1276"/>
        <v>M0</v>
      </c>
      <c r="AJO49" s="6" t="str">
        <f t="shared" si="1276"/>
        <v>M0</v>
      </c>
      <c r="AJP49" s="6" t="str">
        <f t="shared" si="1276"/>
        <v>M0</v>
      </c>
      <c r="AJQ49" s="6" t="str">
        <f t="shared" si="1276"/>
        <v>M0</v>
      </c>
      <c r="AJR49" s="6" t="str">
        <f t="shared" si="1276"/>
        <v>M0</v>
      </c>
      <c r="AJS49" s="6" t="str">
        <f t="shared" si="1276"/>
        <v>M0</v>
      </c>
      <c r="AJT49" s="6" t="str">
        <f t="shared" si="1276"/>
        <v>M0</v>
      </c>
      <c r="AJU49" s="6" t="str">
        <f t="shared" si="1276"/>
        <v>M0</v>
      </c>
      <c r="AJV49" s="6" t="str">
        <f t="shared" si="1276"/>
        <v>M0</v>
      </c>
      <c r="AJW49" s="6" t="str">
        <f t="shared" si="1276"/>
        <v>M0</v>
      </c>
      <c r="AJX49" s="6" t="str">
        <f t="shared" si="1276"/>
        <v>M0</v>
      </c>
      <c r="AJY49" s="6" t="str">
        <f t="shared" si="1276"/>
        <v>M0</v>
      </c>
      <c r="AJZ49" s="6" t="str">
        <f t="shared" si="1276"/>
        <v>M0</v>
      </c>
      <c r="AKA49" s="6" t="str">
        <f t="shared" si="1276"/>
        <v>M0</v>
      </c>
      <c r="AKB49" s="6" t="str">
        <f t="shared" si="1276"/>
        <v>M0</v>
      </c>
      <c r="AKC49" s="6" t="str">
        <f t="shared" ref="AKC49:ALW49" si="1277">IF(OR(AKC$50="M1", AKC51="M2",AKC53="M3"),"", "M0")</f>
        <v>M0</v>
      </c>
      <c r="AKD49" s="6" t="str">
        <f t="shared" si="1277"/>
        <v>M0</v>
      </c>
      <c r="AKE49" s="6" t="str">
        <f t="shared" si="1277"/>
        <v>M0</v>
      </c>
      <c r="AKF49" s="6" t="str">
        <f t="shared" si="1277"/>
        <v>M0</v>
      </c>
      <c r="AKG49" s="6" t="str">
        <f t="shared" si="1277"/>
        <v>M0</v>
      </c>
      <c r="AKH49" s="6" t="str">
        <f t="shared" si="1277"/>
        <v>M0</v>
      </c>
      <c r="AKI49" s="6" t="str">
        <f t="shared" si="1277"/>
        <v>M0</v>
      </c>
      <c r="AKJ49" s="6" t="str">
        <f t="shared" si="1277"/>
        <v>M0</v>
      </c>
      <c r="AKK49" s="6" t="str">
        <f t="shared" si="1277"/>
        <v>M0</v>
      </c>
      <c r="AKL49" s="6" t="str">
        <f t="shared" si="1277"/>
        <v>M0</v>
      </c>
      <c r="AKM49" s="6" t="str">
        <f t="shared" si="1277"/>
        <v>M0</v>
      </c>
      <c r="AKN49" s="6" t="str">
        <f t="shared" si="1277"/>
        <v>M0</v>
      </c>
      <c r="AKO49" s="6" t="str">
        <f t="shared" si="1277"/>
        <v>M0</v>
      </c>
      <c r="AKP49" s="6" t="str">
        <f t="shared" si="1277"/>
        <v>M0</v>
      </c>
      <c r="AKQ49" s="6" t="str">
        <f t="shared" si="1277"/>
        <v>M0</v>
      </c>
      <c r="AKR49" s="6" t="str">
        <f t="shared" si="1277"/>
        <v>M0</v>
      </c>
      <c r="AKS49" s="6" t="str">
        <f t="shared" si="1277"/>
        <v>M0</v>
      </c>
      <c r="AKT49" s="6" t="str">
        <f t="shared" si="1277"/>
        <v>M0</v>
      </c>
      <c r="AKU49" s="6" t="str">
        <f t="shared" si="1277"/>
        <v>M0</v>
      </c>
      <c r="AKV49" s="6" t="str">
        <f t="shared" si="1277"/>
        <v>M0</v>
      </c>
      <c r="AKW49" s="6" t="str">
        <f t="shared" si="1277"/>
        <v>M0</v>
      </c>
      <c r="AKX49" s="6" t="str">
        <f t="shared" si="1277"/>
        <v>M0</v>
      </c>
      <c r="AKY49" s="6" t="str">
        <f t="shared" si="1277"/>
        <v>M0</v>
      </c>
      <c r="AKZ49" s="6" t="str">
        <f t="shared" si="1277"/>
        <v>M0</v>
      </c>
      <c r="ALA49" s="6" t="str">
        <f t="shared" si="1277"/>
        <v>M0</v>
      </c>
      <c r="ALB49" s="6" t="str">
        <f t="shared" si="1277"/>
        <v>M0</v>
      </c>
      <c r="ALC49" s="6" t="str">
        <f t="shared" si="1277"/>
        <v>M0</v>
      </c>
      <c r="ALD49" s="6" t="str">
        <f t="shared" si="1277"/>
        <v>M0</v>
      </c>
      <c r="ALE49" s="6" t="str">
        <f t="shared" si="1277"/>
        <v>M0</v>
      </c>
      <c r="ALF49" s="6" t="str">
        <f t="shared" si="1277"/>
        <v>M0</v>
      </c>
      <c r="ALG49" s="6" t="str">
        <f t="shared" si="1277"/>
        <v>M0</v>
      </c>
      <c r="ALH49" s="6" t="str">
        <f t="shared" si="1277"/>
        <v>M0</v>
      </c>
      <c r="ALI49" s="6" t="str">
        <f t="shared" si="1277"/>
        <v>M0</v>
      </c>
      <c r="ALJ49" s="6" t="str">
        <f t="shared" si="1277"/>
        <v>M0</v>
      </c>
      <c r="ALK49" s="6" t="str">
        <f t="shared" si="1277"/>
        <v>M0</v>
      </c>
      <c r="ALL49" s="6" t="str">
        <f t="shared" si="1277"/>
        <v>M0</v>
      </c>
      <c r="ALM49" s="6" t="str">
        <f t="shared" si="1277"/>
        <v>M0</v>
      </c>
      <c r="ALN49" s="6" t="str">
        <f t="shared" si="1277"/>
        <v>M0</v>
      </c>
      <c r="ALO49" s="6" t="str">
        <f t="shared" si="1277"/>
        <v>M0</v>
      </c>
      <c r="ALP49" s="6" t="str">
        <f t="shared" si="1277"/>
        <v>M0</v>
      </c>
      <c r="ALQ49" s="6" t="str">
        <f t="shared" si="1277"/>
        <v>M0</v>
      </c>
      <c r="ALR49" s="6" t="str">
        <f t="shared" si="1277"/>
        <v>M0</v>
      </c>
      <c r="ALS49" s="6" t="str">
        <f t="shared" si="1277"/>
        <v>M0</v>
      </c>
      <c r="ALT49" s="6" t="str">
        <f t="shared" si="1277"/>
        <v>M0</v>
      </c>
      <c r="ALU49" s="6" t="str">
        <f t="shared" si="1277"/>
        <v>M0</v>
      </c>
      <c r="ALV49" s="6" t="str">
        <f t="shared" si="1277"/>
        <v>M0</v>
      </c>
      <c r="ALW49" s="6" t="str">
        <f t="shared" si="1277"/>
        <v>M0</v>
      </c>
    </row>
    <row r="50" spans="2:1011" outlineLevel="1" x14ac:dyDescent="0.25">
      <c r="C50" s="5" t="s">
        <v>4</v>
      </c>
      <c r="D50" s="5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 t="s">
        <v>4</v>
      </c>
      <c r="AX50" s="6" t="s">
        <v>4</v>
      </c>
      <c r="AY50" s="6" t="s">
        <v>4</v>
      </c>
      <c r="AZ50" s="6" t="s">
        <v>4</v>
      </c>
      <c r="BA50" s="6" t="s">
        <v>4</v>
      </c>
      <c r="BB50" s="6" t="s">
        <v>4</v>
      </c>
      <c r="BC50" s="6" t="s">
        <v>4</v>
      </c>
      <c r="BD50" s="6" t="s">
        <v>4</v>
      </c>
      <c r="BE50" s="6" t="s">
        <v>4</v>
      </c>
      <c r="BF50" s="6" t="s">
        <v>4</v>
      </c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  <c r="GD50" s="6"/>
      <c r="GE50" s="6"/>
      <c r="GF50" s="6"/>
      <c r="GG50" s="6"/>
      <c r="GH50" s="6"/>
      <c r="GI50" s="6"/>
      <c r="GJ50" s="6"/>
      <c r="GK50" s="6"/>
      <c r="GL50" s="6"/>
      <c r="GM50" s="6"/>
      <c r="GN50" s="6"/>
      <c r="GO50" s="6"/>
      <c r="GP50" s="6"/>
      <c r="GQ50" s="6"/>
      <c r="GR50" s="6"/>
      <c r="GS50" s="6"/>
      <c r="GT50" s="6"/>
      <c r="GU50" s="6"/>
      <c r="GV50" s="6"/>
      <c r="GW50" s="6"/>
      <c r="GX50" s="6"/>
      <c r="GY50" s="6"/>
      <c r="GZ50" s="6"/>
      <c r="HA50" s="6"/>
      <c r="HB50" s="6"/>
      <c r="HC50" s="6"/>
      <c r="HD50" s="6"/>
      <c r="HE50" s="6"/>
      <c r="HF50" s="6"/>
      <c r="HG50" s="6"/>
      <c r="HH50" s="6"/>
      <c r="HI50" s="6"/>
      <c r="HJ50" s="6"/>
      <c r="HK50" s="6"/>
      <c r="HL50" s="6"/>
      <c r="HM50" s="6"/>
      <c r="HN50" s="6"/>
      <c r="HO50" s="6"/>
      <c r="HP50" s="6"/>
      <c r="HQ50" s="6"/>
      <c r="HR50" s="6"/>
      <c r="HS50" s="6"/>
      <c r="HT50" s="6"/>
      <c r="HU50" s="6"/>
      <c r="HV50" s="6"/>
      <c r="HW50" s="6"/>
      <c r="HX50" s="6"/>
      <c r="HY50" s="6"/>
      <c r="HZ50" s="6"/>
      <c r="IA50" s="6"/>
      <c r="IB50" s="6"/>
      <c r="IC50" s="6"/>
      <c r="ID50" s="6"/>
      <c r="IE50" s="6"/>
      <c r="IF50" s="6"/>
      <c r="IG50" s="6"/>
      <c r="IH50" s="6"/>
      <c r="II50" s="6"/>
      <c r="IJ50" s="6"/>
      <c r="IK50" s="6"/>
      <c r="IL50" s="6"/>
      <c r="IM50" s="6"/>
      <c r="IN50" s="6"/>
      <c r="IO50" s="6"/>
      <c r="IP50" s="6"/>
      <c r="IQ50" s="6"/>
      <c r="IR50" s="6"/>
      <c r="IS50" s="6"/>
      <c r="IT50" s="6"/>
      <c r="IU50" s="6"/>
      <c r="IV50" s="6"/>
      <c r="IW50" s="6"/>
      <c r="IX50" s="6"/>
      <c r="IY50" s="6"/>
      <c r="IZ50" s="6"/>
      <c r="JA50" s="6"/>
      <c r="JB50" s="6"/>
      <c r="JC50" s="6"/>
      <c r="JD50" s="6"/>
      <c r="JE50" s="6"/>
      <c r="JF50" s="6"/>
      <c r="JG50" s="6"/>
      <c r="JH50" s="6"/>
      <c r="JI50" s="6"/>
      <c r="JJ50" s="6"/>
      <c r="JK50" s="6"/>
      <c r="JL50" s="6"/>
      <c r="JM50" s="6"/>
      <c r="JN50" s="6"/>
      <c r="JO50" s="6"/>
      <c r="JP50" s="6"/>
      <c r="JQ50" s="6"/>
      <c r="JR50" s="6"/>
      <c r="JS50" s="6"/>
      <c r="JT50" s="6"/>
      <c r="JU50" s="6"/>
      <c r="JV50" s="6"/>
      <c r="JW50" s="6"/>
      <c r="JX50" s="6"/>
      <c r="JY50" s="6"/>
      <c r="JZ50" s="6"/>
      <c r="KA50" s="6"/>
      <c r="KB50" s="6"/>
      <c r="KC50" s="6"/>
      <c r="KD50" s="6"/>
      <c r="KE50" s="6"/>
      <c r="KF50" s="6"/>
      <c r="KG50" s="6"/>
      <c r="KH50" s="6"/>
      <c r="KI50" s="6"/>
      <c r="KJ50" s="6"/>
      <c r="KK50" s="6"/>
      <c r="KL50" s="6"/>
      <c r="KM50" s="6"/>
      <c r="KN50" s="6"/>
      <c r="KO50" s="6"/>
      <c r="KP50" s="6"/>
      <c r="KQ50" s="6"/>
      <c r="KR50" s="6"/>
      <c r="KS50" s="6"/>
      <c r="KT50" s="6"/>
      <c r="KU50" s="6"/>
      <c r="KV50" s="6"/>
      <c r="KW50" s="6"/>
      <c r="KX50" s="6"/>
      <c r="KY50" s="6"/>
      <c r="KZ50" s="6"/>
      <c r="LA50" s="6"/>
      <c r="LB50" s="6"/>
      <c r="LC50" s="6"/>
      <c r="LD50" s="6"/>
      <c r="LE50" s="6"/>
      <c r="LF50" s="6"/>
      <c r="LG50" s="6"/>
      <c r="LH50" s="6"/>
      <c r="LI50" s="6"/>
      <c r="LJ50" s="6"/>
      <c r="LK50" s="6"/>
      <c r="LL50" s="6"/>
      <c r="LM50" s="6"/>
      <c r="LN50" s="6"/>
      <c r="LO50" s="6"/>
      <c r="LP50" s="6"/>
      <c r="LQ50" s="6"/>
      <c r="LR50" s="6"/>
      <c r="LS50" s="6"/>
      <c r="LT50" s="6"/>
      <c r="LU50" s="6"/>
      <c r="LV50" s="6"/>
      <c r="LW50" s="6"/>
      <c r="LX50" s="6"/>
      <c r="LY50" s="6" t="s">
        <v>4</v>
      </c>
      <c r="LZ50" s="6" t="s">
        <v>4</v>
      </c>
      <c r="MA50" s="6" t="s">
        <v>4</v>
      </c>
      <c r="MB50" s="6" t="s">
        <v>4</v>
      </c>
      <c r="MC50" s="6" t="s">
        <v>4</v>
      </c>
      <c r="MD50" s="6" t="s">
        <v>4</v>
      </c>
      <c r="ME50" s="6" t="s">
        <v>4</v>
      </c>
      <c r="MF50" s="6" t="s">
        <v>4</v>
      </c>
      <c r="MG50" s="6" t="s">
        <v>4</v>
      </c>
      <c r="MH50" s="6" t="s">
        <v>4</v>
      </c>
      <c r="MI50" s="6"/>
      <c r="MJ50" s="6"/>
      <c r="MK50" s="6"/>
      <c r="ML50" s="6"/>
      <c r="MM50" s="6"/>
      <c r="MN50" s="6"/>
      <c r="MO50" s="6"/>
      <c r="MP50" s="6"/>
      <c r="MQ50" s="6"/>
      <c r="MR50" s="6"/>
      <c r="MS50" s="6"/>
      <c r="MT50" s="6"/>
      <c r="MU50" s="6"/>
      <c r="MV50" s="6"/>
      <c r="MW50" s="6"/>
      <c r="MX50" s="6"/>
      <c r="MY50" s="6"/>
      <c r="MZ50" s="6"/>
      <c r="NA50" s="6"/>
      <c r="NB50" s="6"/>
      <c r="NC50" s="6"/>
      <c r="ND50" s="6"/>
      <c r="NE50" s="6"/>
      <c r="NF50" s="6"/>
      <c r="NG50" s="6"/>
      <c r="NH50" s="6"/>
      <c r="NI50" s="6"/>
      <c r="NJ50" s="6"/>
      <c r="NK50" s="6"/>
      <c r="NL50" s="6"/>
      <c r="NM50" s="6"/>
      <c r="NN50" s="6"/>
      <c r="NO50" s="6"/>
      <c r="NP50" s="6"/>
      <c r="NQ50" s="6"/>
      <c r="NR50" s="6"/>
      <c r="NS50" s="6"/>
      <c r="NT50" s="6"/>
      <c r="NU50" s="6"/>
      <c r="NV50" s="6"/>
      <c r="NW50" s="6"/>
      <c r="NX50" s="6"/>
      <c r="NY50" s="6"/>
      <c r="NZ50" s="6"/>
      <c r="OA50" s="6"/>
      <c r="OB50" s="6"/>
      <c r="OC50" s="6"/>
      <c r="OD50" s="6"/>
      <c r="OE50" s="6"/>
      <c r="OF50" s="6"/>
      <c r="OG50" s="6"/>
      <c r="OH50" s="6"/>
      <c r="OI50" s="6"/>
      <c r="OJ50" s="6"/>
      <c r="OK50" s="6"/>
      <c r="OL50" s="6"/>
      <c r="OM50" s="6"/>
      <c r="ON50" s="6"/>
      <c r="OO50" s="6"/>
      <c r="OP50" s="6"/>
      <c r="OQ50" s="6"/>
      <c r="OR50" s="6"/>
      <c r="OS50" s="6"/>
      <c r="OT50" s="6"/>
      <c r="OU50" s="6"/>
      <c r="OV50" s="6"/>
      <c r="OW50" s="6"/>
      <c r="OX50" s="6"/>
      <c r="OY50" s="6"/>
      <c r="OZ50" s="6"/>
      <c r="PA50" s="6"/>
      <c r="PB50" s="6"/>
      <c r="PC50" s="6"/>
      <c r="PD50" s="6"/>
      <c r="PE50" s="6"/>
      <c r="PF50" s="6"/>
      <c r="PG50" s="6"/>
      <c r="PH50" s="6"/>
      <c r="PI50" s="6"/>
      <c r="PJ50" s="6"/>
      <c r="PK50" s="6"/>
      <c r="PL50" s="6"/>
      <c r="PM50" s="6"/>
      <c r="PN50" s="6"/>
      <c r="PO50" s="6"/>
      <c r="PP50" s="6"/>
      <c r="PQ50" s="6"/>
      <c r="PR50" s="6"/>
      <c r="PS50" s="6"/>
      <c r="PT50" s="6"/>
      <c r="PU50" s="6"/>
      <c r="PV50" s="6"/>
      <c r="PW50" s="6"/>
      <c r="PX50" s="6"/>
      <c r="PY50" s="6"/>
      <c r="PZ50" s="6"/>
      <c r="QA50" s="6"/>
      <c r="QB50" s="6"/>
      <c r="QC50" s="6"/>
      <c r="QD50" s="6"/>
      <c r="QE50" s="6"/>
      <c r="QF50" s="6"/>
      <c r="QG50" s="6"/>
      <c r="QH50" s="6"/>
      <c r="QI50" s="6"/>
      <c r="QJ50" s="6"/>
      <c r="QK50" s="6"/>
      <c r="QL50" s="6"/>
      <c r="QM50" s="6"/>
      <c r="QN50" s="6"/>
      <c r="QO50" s="6"/>
      <c r="QP50" s="6"/>
      <c r="QQ50" s="6"/>
      <c r="QR50" s="6"/>
      <c r="QS50" s="6"/>
      <c r="QT50" s="6"/>
      <c r="QU50" s="6"/>
      <c r="QV50" s="6"/>
      <c r="QW50" s="6"/>
      <c r="QX50" s="6"/>
      <c r="QY50" s="6"/>
      <c r="QZ50" s="6"/>
      <c r="RA50" s="6"/>
      <c r="RB50" s="6"/>
      <c r="RC50" s="6"/>
      <c r="RD50" s="6"/>
      <c r="RE50" s="6"/>
      <c r="RF50" s="6"/>
      <c r="RG50" s="6"/>
      <c r="RH50" s="6"/>
      <c r="RI50" s="6"/>
      <c r="RJ50" s="6"/>
      <c r="RK50" s="6"/>
      <c r="RL50" s="6"/>
      <c r="RM50" s="6" t="s">
        <v>4</v>
      </c>
      <c r="RN50" s="6" t="s">
        <v>4</v>
      </c>
      <c r="RO50" s="6" t="s">
        <v>4</v>
      </c>
      <c r="RP50" s="6" t="s">
        <v>4</v>
      </c>
      <c r="RQ50" s="6" t="s">
        <v>4</v>
      </c>
      <c r="RR50" s="6" t="s">
        <v>4</v>
      </c>
      <c r="RS50" s="6" t="s">
        <v>4</v>
      </c>
      <c r="RT50" s="6" t="s">
        <v>4</v>
      </c>
      <c r="RU50" s="6" t="s">
        <v>4</v>
      </c>
      <c r="RV50" s="6" t="s">
        <v>4</v>
      </c>
      <c r="RW50" s="6"/>
      <c r="RX50" s="6"/>
      <c r="RY50" s="6"/>
      <c r="RZ50" s="6"/>
      <c r="SA50" s="6"/>
      <c r="SB50" s="6"/>
      <c r="SC50" s="6"/>
      <c r="SD50" s="6"/>
      <c r="SE50" s="6"/>
      <c r="SF50" s="6"/>
      <c r="SG50" s="6"/>
      <c r="SH50" s="6"/>
      <c r="SI50" s="6"/>
      <c r="SJ50" s="6"/>
      <c r="SK50" s="6"/>
      <c r="SL50" s="6"/>
      <c r="SM50" s="6"/>
      <c r="SN50" s="6"/>
      <c r="SO50" s="6"/>
      <c r="SP50" s="6"/>
      <c r="SQ50" s="6"/>
      <c r="SR50" s="6"/>
      <c r="SS50" s="6"/>
      <c r="ST50" s="6"/>
      <c r="SU50" s="6"/>
      <c r="SV50" s="6"/>
      <c r="SW50" s="6"/>
      <c r="SX50" s="6"/>
      <c r="SY50" s="6"/>
      <c r="SZ50" s="6"/>
      <c r="TA50" s="6"/>
      <c r="TB50" s="6"/>
      <c r="TC50" s="6"/>
      <c r="TD50" s="6"/>
      <c r="TE50" s="6"/>
      <c r="TF50" s="6"/>
      <c r="TG50" s="6"/>
      <c r="TH50" s="6"/>
      <c r="TI50" s="6"/>
      <c r="TJ50" s="6"/>
      <c r="TK50" s="6"/>
      <c r="TL50" s="6"/>
      <c r="TM50" s="6"/>
      <c r="TN50" s="6"/>
      <c r="TO50" s="6"/>
      <c r="TP50" s="6"/>
      <c r="TQ50" s="6"/>
      <c r="TR50" s="6"/>
      <c r="TS50" s="6"/>
      <c r="TT50" s="6"/>
      <c r="TU50" s="6"/>
      <c r="TV50" s="6"/>
      <c r="TW50" s="6"/>
      <c r="TX50" s="6"/>
      <c r="TY50" s="6"/>
      <c r="TZ50" s="6"/>
      <c r="UA50" s="6"/>
      <c r="UB50" s="6"/>
      <c r="UC50" s="6"/>
      <c r="UD50" s="6"/>
      <c r="UE50" s="6"/>
      <c r="UF50" s="6"/>
      <c r="UG50" s="6"/>
      <c r="UH50" s="6"/>
      <c r="UI50" s="6"/>
      <c r="UJ50" s="6"/>
      <c r="UK50" s="6"/>
      <c r="UL50" s="6"/>
      <c r="UM50" s="6"/>
      <c r="UN50" s="6"/>
      <c r="UO50" s="6"/>
      <c r="UP50" s="6"/>
      <c r="UQ50" s="6"/>
      <c r="UR50" s="6"/>
      <c r="US50" s="6"/>
      <c r="UT50" s="6"/>
      <c r="UU50" s="6"/>
      <c r="UV50" s="6"/>
      <c r="UW50" s="6"/>
      <c r="UX50" s="6"/>
      <c r="UY50" s="6"/>
      <c r="UZ50" s="6"/>
      <c r="VA50" s="6"/>
      <c r="VB50" s="6"/>
      <c r="VC50" s="6"/>
      <c r="VD50" s="6"/>
      <c r="VE50" s="6"/>
      <c r="VF50" s="6"/>
      <c r="VG50" s="6"/>
      <c r="VH50" s="6"/>
      <c r="VI50" s="6"/>
      <c r="VJ50" s="6"/>
      <c r="VK50" s="6"/>
      <c r="VL50" s="6"/>
      <c r="VM50" s="6"/>
      <c r="VN50" s="6"/>
      <c r="VO50" s="6"/>
      <c r="VP50" s="6"/>
      <c r="VQ50" s="6"/>
      <c r="VR50" s="6"/>
      <c r="VS50" s="6"/>
      <c r="VT50" s="6"/>
      <c r="VU50" s="6"/>
      <c r="VV50" s="6"/>
      <c r="VW50" s="6"/>
      <c r="VX50" s="6"/>
      <c r="VY50" s="6"/>
      <c r="VZ50" s="6"/>
      <c r="WA50" s="6"/>
      <c r="WB50" s="6"/>
      <c r="WC50" s="6"/>
      <c r="WD50" s="6"/>
      <c r="WE50" s="6"/>
      <c r="WF50" s="6"/>
      <c r="WG50" s="6"/>
      <c r="WH50" s="6"/>
      <c r="WI50" s="6"/>
      <c r="WJ50" s="6"/>
      <c r="WK50" s="6"/>
      <c r="WL50" s="6"/>
      <c r="WM50" s="6"/>
      <c r="WN50" s="6"/>
      <c r="WO50" s="6"/>
      <c r="WP50" s="6"/>
      <c r="WQ50" s="6"/>
      <c r="WR50" s="6"/>
      <c r="WS50" s="6"/>
      <c r="WT50" s="6"/>
      <c r="WU50" s="6"/>
      <c r="WV50" s="6"/>
      <c r="WW50" s="6"/>
      <c r="WX50" s="6"/>
      <c r="WY50" s="6"/>
      <c r="WZ50" s="6"/>
      <c r="XA50" s="6" t="s">
        <v>4</v>
      </c>
      <c r="XB50" s="6" t="s">
        <v>4</v>
      </c>
      <c r="XC50" s="6" t="s">
        <v>4</v>
      </c>
      <c r="XD50" s="6" t="s">
        <v>4</v>
      </c>
      <c r="XE50" s="6" t="s">
        <v>4</v>
      </c>
      <c r="XF50" s="6" t="s">
        <v>4</v>
      </c>
      <c r="XG50" s="6" t="s">
        <v>4</v>
      </c>
      <c r="XH50" s="6" t="s">
        <v>4</v>
      </c>
      <c r="XI50" s="6" t="s">
        <v>4</v>
      </c>
      <c r="XJ50" s="6" t="s">
        <v>4</v>
      </c>
      <c r="XK50" s="6"/>
      <c r="XL50" s="6"/>
      <c r="XM50" s="6"/>
      <c r="XN50" s="6"/>
      <c r="XO50" s="6"/>
      <c r="XP50" s="6"/>
      <c r="XQ50" s="6"/>
      <c r="XR50" s="6"/>
      <c r="XS50" s="6"/>
      <c r="XT50" s="6"/>
      <c r="XU50" s="6"/>
      <c r="XV50" s="6"/>
      <c r="XW50" s="6"/>
      <c r="XX50" s="6"/>
      <c r="XY50" s="6"/>
      <c r="XZ50" s="6"/>
      <c r="YA50" s="6"/>
      <c r="YB50" s="6"/>
      <c r="YC50" s="6"/>
      <c r="YD50" s="6"/>
      <c r="YE50" s="6"/>
      <c r="YF50" s="6"/>
      <c r="YG50" s="6"/>
      <c r="YH50" s="6"/>
      <c r="YI50" s="6"/>
      <c r="YJ50" s="6"/>
      <c r="YK50" s="6"/>
      <c r="YL50" s="6"/>
      <c r="YM50" s="6"/>
      <c r="YN50" s="6"/>
      <c r="YO50" s="6"/>
      <c r="YP50" s="6"/>
      <c r="YQ50" s="6"/>
      <c r="YR50" s="6"/>
      <c r="YS50" s="6"/>
      <c r="YT50" s="6"/>
      <c r="YU50" s="6"/>
      <c r="YV50" s="6"/>
      <c r="YW50" s="6"/>
      <c r="YX50" s="6"/>
      <c r="YY50" s="6"/>
      <c r="YZ50" s="6"/>
      <c r="ZA50" s="6"/>
      <c r="ZB50" s="6"/>
      <c r="ZC50" s="6"/>
      <c r="ZD50" s="6"/>
      <c r="ZE50" s="6"/>
      <c r="ZF50" s="6"/>
      <c r="ZG50" s="6"/>
      <c r="ZH50" s="6"/>
      <c r="ZI50" s="6"/>
      <c r="ZJ50" s="6"/>
      <c r="ZK50" s="6"/>
      <c r="ZL50" s="6"/>
      <c r="ZM50" s="6"/>
      <c r="ZN50" s="6"/>
      <c r="ZO50" s="6"/>
      <c r="ZP50" s="6"/>
      <c r="ZQ50" s="6"/>
      <c r="ZR50" s="6"/>
      <c r="ZS50" s="6"/>
      <c r="ZT50" s="6"/>
      <c r="ZU50" s="6"/>
      <c r="ZV50" s="6"/>
      <c r="ZW50" s="6"/>
      <c r="ZX50" s="6"/>
      <c r="ZY50" s="6"/>
      <c r="ZZ50" s="6"/>
      <c r="AAA50" s="6"/>
      <c r="AAB50" s="6"/>
      <c r="AAC50" s="6"/>
      <c r="AAD50" s="6"/>
      <c r="AAE50" s="6"/>
      <c r="AAF50" s="6"/>
      <c r="AAG50" s="6"/>
      <c r="AAH50" s="6"/>
      <c r="AAI50" s="6"/>
      <c r="AAJ50" s="6"/>
      <c r="AAK50" s="6"/>
      <c r="AAL50" s="6"/>
      <c r="AAM50" s="6"/>
      <c r="AAN50" s="6"/>
      <c r="AAO50" s="6"/>
      <c r="AAP50" s="6"/>
      <c r="AAQ50" s="6"/>
      <c r="AAR50" s="6"/>
      <c r="AAS50" s="6"/>
      <c r="AAT50" s="6"/>
      <c r="AAU50" s="6"/>
      <c r="AAV50" s="6"/>
      <c r="AAW50" s="6"/>
      <c r="AAX50" s="6"/>
      <c r="AAY50" s="6"/>
      <c r="AAZ50" s="6"/>
      <c r="ABA50" s="6"/>
      <c r="ABB50" s="6"/>
      <c r="ABC50" s="6"/>
      <c r="ABD50" s="6"/>
      <c r="ABE50" s="6"/>
      <c r="ABF50" s="6"/>
      <c r="ABG50" s="6"/>
      <c r="ABH50" s="6"/>
      <c r="ABI50" s="6"/>
      <c r="ABJ50" s="6"/>
      <c r="ABK50" s="6"/>
      <c r="ABL50" s="6"/>
      <c r="ABM50" s="6"/>
      <c r="ABN50" s="6"/>
      <c r="ABO50" s="6"/>
      <c r="ABP50" s="6"/>
      <c r="ABQ50" s="6"/>
      <c r="ABR50" s="6"/>
      <c r="ABS50" s="6"/>
      <c r="ABT50" s="6"/>
      <c r="ABU50" s="6"/>
      <c r="ABV50" s="6"/>
      <c r="ABW50" s="6"/>
      <c r="ABX50" s="6"/>
      <c r="ABY50" s="6"/>
      <c r="ABZ50" s="6"/>
      <c r="ACA50" s="6"/>
      <c r="ACB50" s="6"/>
      <c r="ACC50" s="6"/>
      <c r="ACD50" s="6"/>
      <c r="ACE50" s="6"/>
      <c r="ACF50" s="6"/>
      <c r="ACG50" s="6"/>
      <c r="ACH50" s="6"/>
      <c r="ACI50" s="6"/>
      <c r="ACJ50" s="6"/>
      <c r="ACK50" s="6"/>
      <c r="ACL50" s="6"/>
      <c r="ACM50" s="6"/>
      <c r="ACN50" s="6"/>
      <c r="ACO50" s="6" t="s">
        <v>4</v>
      </c>
      <c r="ACP50" s="6" t="s">
        <v>4</v>
      </c>
      <c r="ACQ50" s="6" t="s">
        <v>4</v>
      </c>
      <c r="ACR50" s="6" t="s">
        <v>4</v>
      </c>
      <c r="ACS50" s="6" t="s">
        <v>4</v>
      </c>
      <c r="ACT50" s="6" t="s">
        <v>4</v>
      </c>
      <c r="ACU50" s="6" t="s">
        <v>4</v>
      </c>
      <c r="ACV50" s="6" t="s">
        <v>4</v>
      </c>
      <c r="ACW50" s="6" t="s">
        <v>4</v>
      </c>
      <c r="ACX50" s="6" t="s">
        <v>4</v>
      </c>
      <c r="ACY50" s="6"/>
      <c r="ACZ50" s="6"/>
      <c r="ADA50" s="6"/>
      <c r="ADB50" s="6"/>
      <c r="ADC50" s="6"/>
      <c r="ADD50" s="6"/>
      <c r="ADE50" s="6"/>
      <c r="ADF50" s="6"/>
      <c r="ADG50" s="6"/>
      <c r="ADH50" s="6"/>
      <c r="ADI50" s="6"/>
      <c r="ADJ50" s="6"/>
      <c r="ADK50" s="6"/>
      <c r="ADL50" s="6"/>
      <c r="ADM50" s="6"/>
      <c r="ADN50" s="6"/>
      <c r="ADO50" s="6"/>
      <c r="ADP50" s="6"/>
      <c r="ADQ50" s="6"/>
      <c r="ADR50" s="6"/>
      <c r="ADS50" s="6"/>
      <c r="ADT50" s="6"/>
      <c r="ADU50" s="6"/>
      <c r="ADV50" s="6"/>
      <c r="ADW50" s="6"/>
      <c r="ADX50" s="6"/>
      <c r="ADY50" s="6"/>
      <c r="ADZ50" s="6"/>
      <c r="AEA50" s="6"/>
      <c r="AEB50" s="6"/>
      <c r="AEC50" s="6"/>
      <c r="AED50" s="6"/>
      <c r="AEE50" s="6"/>
      <c r="AEF50" s="6"/>
      <c r="AEG50" s="6"/>
      <c r="AEH50" s="6"/>
      <c r="AEI50" s="6"/>
      <c r="AEJ50" s="6"/>
      <c r="AEK50" s="6"/>
      <c r="AEL50" s="6"/>
      <c r="AEM50" s="6"/>
      <c r="AEN50" s="6"/>
      <c r="AEO50" s="6"/>
      <c r="AEP50" s="6"/>
      <c r="AEQ50" s="6"/>
      <c r="AER50" s="6"/>
      <c r="AES50" s="6"/>
      <c r="AET50" s="6"/>
      <c r="AEU50" s="6"/>
      <c r="AEV50" s="6"/>
      <c r="AEW50" s="6"/>
      <c r="AEX50" s="6"/>
      <c r="AEY50" s="6"/>
      <c r="AEZ50" s="6"/>
      <c r="AFA50" s="6"/>
      <c r="AFB50" s="6"/>
      <c r="AFC50" s="6"/>
      <c r="AFD50" s="6"/>
      <c r="AFE50" s="6"/>
      <c r="AFF50" s="6"/>
      <c r="AFG50" s="6"/>
      <c r="AFH50" s="6"/>
      <c r="AFI50" s="6"/>
      <c r="AFJ50" s="6"/>
      <c r="AFK50" s="6"/>
      <c r="AFL50" s="6"/>
      <c r="AFM50" s="6"/>
      <c r="AFN50" s="6"/>
      <c r="AFO50" s="6"/>
      <c r="AFP50" s="6"/>
      <c r="AFQ50" s="6"/>
      <c r="AFR50" s="6"/>
      <c r="AFS50" s="6"/>
      <c r="AFT50" s="6"/>
      <c r="AFU50" s="6"/>
      <c r="AFV50" s="6"/>
      <c r="AFW50" s="6"/>
      <c r="AFX50" s="6"/>
      <c r="AFY50" s="6"/>
      <c r="AFZ50" s="6"/>
      <c r="AGA50" s="6"/>
      <c r="AGB50" s="6"/>
      <c r="AGC50" s="6"/>
      <c r="AGD50" s="6"/>
      <c r="AGE50" s="6"/>
      <c r="AGF50" s="6"/>
      <c r="AGG50" s="6"/>
      <c r="AGH50" s="6"/>
      <c r="AGI50" s="6"/>
      <c r="AGJ50" s="6"/>
      <c r="AGK50" s="6"/>
      <c r="AGL50" s="6"/>
      <c r="AGM50" s="6"/>
      <c r="AGN50" s="6"/>
      <c r="AGO50" s="6"/>
      <c r="AGP50" s="6"/>
      <c r="AGQ50" s="6"/>
      <c r="AGR50" s="6"/>
      <c r="AGS50" s="6"/>
      <c r="AGT50" s="6"/>
      <c r="AGU50" s="6"/>
      <c r="AGV50" s="6"/>
      <c r="AGW50" s="6"/>
      <c r="AGX50" s="6"/>
      <c r="AGY50" s="6"/>
      <c r="AGZ50" s="6"/>
      <c r="AHA50" s="6"/>
      <c r="AHB50" s="6"/>
      <c r="AHC50" s="6"/>
      <c r="AHD50" s="6"/>
      <c r="AHE50" s="6"/>
      <c r="AHF50" s="6"/>
      <c r="AHG50" s="6"/>
      <c r="AHH50" s="6"/>
      <c r="AHI50" s="6"/>
      <c r="AHJ50" s="6"/>
      <c r="AHK50" s="6"/>
      <c r="AHL50" s="6"/>
      <c r="AHM50" s="6"/>
      <c r="AHN50" s="6"/>
      <c r="AHO50" s="6"/>
      <c r="AHP50" s="6"/>
      <c r="AHQ50" s="6"/>
      <c r="AHR50" s="6"/>
      <c r="AHS50" s="6"/>
      <c r="AHT50" s="6"/>
      <c r="AHU50" s="6"/>
      <c r="AHV50" s="6"/>
      <c r="AHW50" s="6"/>
      <c r="AHX50" s="6"/>
      <c r="AHY50" s="6"/>
      <c r="AHZ50" s="6"/>
      <c r="AIA50" s="6"/>
      <c r="AIB50" s="6"/>
      <c r="AIC50" s="6" t="s">
        <v>4</v>
      </c>
      <c r="AID50" s="6" t="s">
        <v>4</v>
      </c>
      <c r="AIE50" s="6" t="s">
        <v>4</v>
      </c>
      <c r="AIF50" s="6" t="s">
        <v>4</v>
      </c>
      <c r="AIG50" s="6" t="s">
        <v>4</v>
      </c>
      <c r="AIH50" s="6" t="s">
        <v>4</v>
      </c>
      <c r="AII50" s="6" t="s">
        <v>4</v>
      </c>
      <c r="AIJ50" s="6" t="s">
        <v>4</v>
      </c>
      <c r="AIK50" s="6" t="s">
        <v>4</v>
      </c>
      <c r="AIL50" s="6" t="s">
        <v>4</v>
      </c>
      <c r="AIM50" s="6"/>
      <c r="AIN50" s="6"/>
      <c r="AIO50" s="6"/>
      <c r="AIP50" s="6"/>
      <c r="AIQ50" s="6"/>
      <c r="AIR50" s="6"/>
      <c r="AIS50" s="6"/>
      <c r="AIT50" s="6"/>
      <c r="AIU50" s="6"/>
      <c r="AIV50" s="6"/>
      <c r="AIW50" s="6"/>
      <c r="AIX50" s="6"/>
      <c r="AIY50" s="6"/>
      <c r="AIZ50" s="6"/>
      <c r="AJA50" s="6"/>
      <c r="AJB50" s="6"/>
      <c r="AJC50" s="6"/>
      <c r="AJD50" s="6"/>
      <c r="AJE50" s="6"/>
      <c r="AJF50" s="6"/>
      <c r="AJG50" s="6"/>
      <c r="AJH50" s="6"/>
      <c r="AJI50" s="6"/>
      <c r="AJJ50" s="6"/>
      <c r="AJK50" s="6"/>
      <c r="AJL50" s="6"/>
      <c r="AJM50" s="6"/>
      <c r="AJN50" s="6"/>
      <c r="AJO50" s="6"/>
      <c r="AJP50" s="6"/>
      <c r="AJQ50" s="6"/>
      <c r="AJR50" s="6"/>
      <c r="AJS50" s="6"/>
      <c r="AJT50" s="6"/>
      <c r="AJU50" s="6"/>
      <c r="AJV50" s="6"/>
      <c r="AJW50" s="6"/>
      <c r="AJX50" s="6"/>
      <c r="AJY50" s="6"/>
      <c r="AJZ50" s="6"/>
      <c r="AKA50" s="6"/>
      <c r="AKB50" s="6"/>
      <c r="AKC50" s="6"/>
      <c r="AKD50" s="6"/>
      <c r="AKE50" s="6"/>
      <c r="AKF50" s="6"/>
      <c r="AKG50" s="6"/>
      <c r="AKH50" s="6"/>
      <c r="AKI50" s="6"/>
      <c r="AKJ50" s="6"/>
      <c r="AKK50" s="6"/>
      <c r="AKL50" s="6"/>
      <c r="AKM50" s="6"/>
      <c r="AKN50" s="6"/>
      <c r="AKO50" s="6"/>
      <c r="AKP50" s="6"/>
      <c r="AKQ50" s="6"/>
      <c r="AKR50" s="6"/>
      <c r="AKS50" s="6"/>
      <c r="AKT50" s="6"/>
      <c r="AKU50" s="6"/>
      <c r="AKV50" s="6"/>
      <c r="AKW50" s="6"/>
      <c r="AKX50" s="6"/>
      <c r="AKY50" s="6"/>
      <c r="AKZ50" s="6"/>
      <c r="ALA50" s="6"/>
      <c r="ALB50" s="6"/>
      <c r="ALC50" s="6"/>
      <c r="ALD50" s="6"/>
      <c r="ALE50" s="6"/>
      <c r="ALF50" s="6"/>
      <c r="ALG50" s="6"/>
      <c r="ALH50" s="6"/>
      <c r="ALI50" s="6"/>
      <c r="ALJ50" s="6"/>
      <c r="ALK50" s="6"/>
      <c r="ALL50" s="6"/>
      <c r="ALM50" s="6"/>
      <c r="ALN50" s="6"/>
      <c r="ALO50" s="6"/>
      <c r="ALP50" s="6"/>
      <c r="ALQ50" s="6"/>
      <c r="ALR50" s="6"/>
      <c r="ALS50" s="6"/>
      <c r="ALT50" s="6"/>
      <c r="ALU50" s="6"/>
      <c r="ALV50" s="6"/>
      <c r="ALW50" s="6"/>
    </row>
    <row r="51" spans="2:1011" outlineLevel="1" x14ac:dyDescent="0.25">
      <c r="C51" s="5" t="s">
        <v>12</v>
      </c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  <c r="GS51" s="6"/>
      <c r="GT51" s="6"/>
      <c r="GU51" s="6"/>
      <c r="GV51" s="6"/>
      <c r="GW51" s="6"/>
      <c r="GX51" s="6"/>
      <c r="GY51" s="6"/>
      <c r="GZ51" s="6"/>
      <c r="HA51" s="6"/>
      <c r="HB51" s="6"/>
      <c r="HC51" s="6"/>
      <c r="HD51" s="6"/>
      <c r="HE51" s="6"/>
      <c r="HF51" s="6"/>
      <c r="HG51" s="6"/>
      <c r="HH51" s="6"/>
      <c r="HI51" s="6"/>
      <c r="HJ51" s="6"/>
      <c r="HK51" s="6"/>
      <c r="HL51" s="6"/>
      <c r="HM51" s="6"/>
      <c r="HN51" s="6"/>
      <c r="HO51" s="6"/>
      <c r="HP51" s="6"/>
      <c r="HQ51" s="6"/>
      <c r="HR51" s="6"/>
      <c r="HS51" s="6"/>
      <c r="HT51" s="6"/>
      <c r="HU51" s="6"/>
      <c r="HV51" s="6"/>
      <c r="HW51" s="6"/>
      <c r="HX51" s="6"/>
      <c r="HY51" s="6"/>
      <c r="HZ51" s="6"/>
      <c r="IA51" s="6"/>
      <c r="IB51" s="6"/>
      <c r="IC51" s="6"/>
      <c r="ID51" s="6"/>
      <c r="IE51" s="6"/>
      <c r="IF51" s="6"/>
      <c r="IG51" s="6"/>
      <c r="IH51" s="6"/>
      <c r="II51" s="6"/>
      <c r="IJ51" s="6"/>
      <c r="IK51" s="6"/>
      <c r="IL51" s="6"/>
      <c r="IM51" s="6"/>
      <c r="IN51" s="6"/>
      <c r="IO51" s="6"/>
      <c r="IP51" s="6"/>
      <c r="IQ51" s="6"/>
      <c r="IR51" s="6"/>
      <c r="IS51" s="6"/>
      <c r="IT51" s="6"/>
      <c r="IU51" s="6"/>
      <c r="IV51" s="6"/>
      <c r="IW51" s="6"/>
      <c r="IX51" s="6"/>
      <c r="IY51" s="6"/>
      <c r="IZ51" s="6"/>
      <c r="JA51" s="6"/>
      <c r="JB51" s="6"/>
      <c r="JC51" s="6"/>
      <c r="JD51" s="6"/>
      <c r="JE51" s="6"/>
      <c r="JF51" s="6"/>
      <c r="JG51" s="6"/>
      <c r="JH51" s="6"/>
      <c r="JI51" s="6"/>
      <c r="JJ51" s="6"/>
      <c r="JK51" s="6"/>
      <c r="JL51" s="6"/>
      <c r="JM51" s="6"/>
      <c r="JN51" s="6"/>
      <c r="JO51" s="6"/>
      <c r="JP51" s="6"/>
      <c r="JQ51" s="6"/>
      <c r="JR51" s="6"/>
      <c r="JS51" s="6"/>
      <c r="JT51" s="6"/>
      <c r="JU51" s="6"/>
      <c r="JV51" s="6"/>
      <c r="JW51" s="6"/>
      <c r="JX51" s="6"/>
      <c r="JY51" s="6"/>
      <c r="JZ51" s="6"/>
      <c r="KA51" s="6"/>
      <c r="KB51" s="6"/>
      <c r="KC51" s="6"/>
      <c r="KD51" s="6"/>
      <c r="KE51" s="6"/>
      <c r="KF51" s="6"/>
      <c r="KG51" s="6"/>
      <c r="KH51" s="6"/>
      <c r="KI51" s="6"/>
      <c r="KJ51" s="6"/>
      <c r="KK51" s="6"/>
      <c r="KL51" s="6"/>
      <c r="KM51" s="6"/>
      <c r="KN51" s="6"/>
      <c r="KO51" s="6"/>
      <c r="KP51" s="6"/>
      <c r="KQ51" s="6"/>
      <c r="KR51" s="6"/>
      <c r="KS51" s="6"/>
      <c r="KT51" s="6"/>
      <c r="KU51" s="6"/>
      <c r="KV51" s="6"/>
      <c r="KW51" s="6"/>
      <c r="KX51" s="6"/>
      <c r="KY51" s="6"/>
      <c r="KZ51" s="6"/>
      <c r="LA51" s="6"/>
      <c r="LB51" s="6"/>
      <c r="LC51" s="6"/>
      <c r="LD51" s="6"/>
      <c r="LE51" s="6"/>
      <c r="LF51" s="6"/>
      <c r="LG51" s="6"/>
      <c r="LH51" s="6"/>
      <c r="LI51" s="6"/>
      <c r="LJ51" s="6"/>
      <c r="LK51" s="6"/>
      <c r="LL51" s="6"/>
      <c r="LM51" s="6"/>
      <c r="LN51" s="6"/>
      <c r="LO51" s="6"/>
      <c r="LP51" s="6"/>
      <c r="LQ51" s="6"/>
      <c r="LR51" s="6"/>
      <c r="LS51" s="6"/>
      <c r="LT51" s="6"/>
      <c r="LU51" s="6"/>
      <c r="LV51" s="6"/>
      <c r="LW51" s="6"/>
      <c r="LX51" s="6"/>
      <c r="LY51" s="6"/>
      <c r="LZ51" s="6"/>
      <c r="MA51" s="6"/>
      <c r="MB51" s="6"/>
      <c r="MC51" s="6"/>
      <c r="MD51" s="6"/>
      <c r="ME51" s="6"/>
      <c r="MF51" s="6"/>
      <c r="MG51" s="6"/>
      <c r="MH51" s="6"/>
      <c r="MI51" s="6"/>
      <c r="MJ51" s="6"/>
      <c r="MK51" s="6"/>
      <c r="ML51" s="6"/>
      <c r="MM51" s="6"/>
      <c r="MN51" s="6"/>
      <c r="MO51" s="6"/>
      <c r="MP51" s="6"/>
      <c r="MQ51" s="6"/>
      <c r="MR51" s="6"/>
      <c r="MS51" s="6"/>
      <c r="MT51" s="6"/>
      <c r="MU51" s="6"/>
      <c r="MV51" s="6"/>
      <c r="MW51" s="6"/>
      <c r="MX51" s="6"/>
      <c r="MY51" s="6"/>
      <c r="MZ51" s="6"/>
      <c r="NA51" s="6"/>
      <c r="NB51" s="6"/>
      <c r="NC51" s="6"/>
      <c r="ND51" s="6"/>
      <c r="NE51" s="6"/>
      <c r="NF51" s="6"/>
      <c r="NG51" s="6"/>
      <c r="NH51" s="6"/>
      <c r="NI51" s="6"/>
      <c r="NJ51" s="6"/>
      <c r="NK51" s="6"/>
      <c r="NL51" s="6"/>
      <c r="NM51" s="6"/>
      <c r="NN51" s="6"/>
      <c r="NO51" s="6"/>
      <c r="NP51" s="6"/>
      <c r="NQ51" s="6"/>
      <c r="NR51" s="6"/>
      <c r="NS51" s="6"/>
      <c r="NT51" s="6"/>
      <c r="NU51" s="6"/>
      <c r="NV51" s="6"/>
      <c r="NW51" s="6"/>
      <c r="NX51" s="6"/>
      <c r="NY51" s="6"/>
      <c r="NZ51" s="6"/>
      <c r="OA51" s="6"/>
      <c r="OB51" s="6"/>
      <c r="OC51" s="6"/>
      <c r="OD51" s="6"/>
      <c r="OE51" s="6"/>
      <c r="OF51" s="6"/>
      <c r="OG51" s="6"/>
      <c r="OH51" s="6"/>
      <c r="OI51" s="6"/>
      <c r="OJ51" s="6"/>
      <c r="OK51" s="6"/>
      <c r="OL51" s="6"/>
      <c r="OM51" s="6"/>
      <c r="ON51" s="6"/>
      <c r="OO51" s="6"/>
      <c r="OP51" s="6"/>
      <c r="OQ51" s="6"/>
      <c r="OR51" s="6"/>
      <c r="OS51" s="6"/>
      <c r="OT51" s="6"/>
      <c r="OU51" s="6"/>
      <c r="OV51" s="6"/>
      <c r="OW51" s="6"/>
      <c r="OX51" s="6"/>
      <c r="OY51" s="6"/>
      <c r="OZ51" s="6"/>
      <c r="PA51" s="6"/>
      <c r="PB51" s="6"/>
      <c r="PC51" s="6"/>
      <c r="PD51" s="6"/>
      <c r="PE51" s="6"/>
      <c r="PF51" s="6"/>
      <c r="PG51" s="6"/>
      <c r="PH51" s="6"/>
      <c r="PI51" s="6"/>
      <c r="PJ51" s="6"/>
      <c r="PK51" s="6"/>
      <c r="PL51" s="6"/>
      <c r="PM51" s="6"/>
      <c r="PN51" s="6"/>
      <c r="PO51" s="6"/>
      <c r="PP51" s="6"/>
      <c r="PQ51" s="6"/>
      <c r="PR51" s="6"/>
      <c r="PS51" s="6"/>
      <c r="PT51" s="6"/>
      <c r="PU51" s="6"/>
      <c r="PV51" s="6"/>
      <c r="PW51" s="6"/>
      <c r="PX51" s="6"/>
      <c r="PY51" s="6"/>
      <c r="PZ51" s="6"/>
      <c r="QA51" s="6"/>
      <c r="QB51" s="6"/>
      <c r="QC51" s="6"/>
      <c r="QD51" s="6"/>
      <c r="QE51" s="6"/>
      <c r="QF51" s="6"/>
      <c r="QG51" s="6"/>
      <c r="QH51" s="6"/>
      <c r="QI51" s="6"/>
      <c r="QJ51" s="6"/>
      <c r="QK51" s="6"/>
      <c r="QL51" s="6"/>
      <c r="QM51" s="6"/>
      <c r="QN51" s="6"/>
      <c r="QO51" s="6"/>
      <c r="QP51" s="6"/>
      <c r="QQ51" s="6"/>
      <c r="QR51" s="6"/>
      <c r="QS51" s="6"/>
      <c r="QT51" s="6"/>
      <c r="QU51" s="6"/>
      <c r="QV51" s="6"/>
      <c r="QW51" s="6"/>
      <c r="QX51" s="6"/>
      <c r="QY51" s="6"/>
      <c r="QZ51" s="6"/>
      <c r="RA51" s="6"/>
      <c r="RB51" s="6"/>
      <c r="RC51" s="6"/>
      <c r="RD51" s="6"/>
      <c r="RE51" s="6"/>
      <c r="RF51" s="6"/>
      <c r="RG51" s="6"/>
      <c r="RH51" s="6"/>
      <c r="RI51" s="6"/>
      <c r="RJ51" s="6"/>
      <c r="RK51" s="6"/>
      <c r="RL51" s="6"/>
      <c r="RM51" s="6"/>
      <c r="RN51" s="6"/>
      <c r="RO51" s="6"/>
      <c r="RP51" s="6"/>
      <c r="RQ51" s="6"/>
      <c r="RR51" s="6"/>
      <c r="RS51" s="6"/>
      <c r="RT51" s="6"/>
      <c r="RU51" s="6"/>
      <c r="RV51" s="6"/>
      <c r="RW51" s="6"/>
      <c r="RX51" s="6"/>
      <c r="RY51" s="6"/>
      <c r="RZ51" s="6"/>
      <c r="SA51" s="6"/>
      <c r="SB51" s="6"/>
      <c r="SC51" s="6"/>
      <c r="SD51" s="6"/>
      <c r="SE51" s="6"/>
      <c r="SF51" s="6"/>
      <c r="SG51" s="6"/>
      <c r="SH51" s="6"/>
      <c r="SI51" s="6"/>
      <c r="SJ51" s="6"/>
      <c r="SK51" s="6"/>
      <c r="SL51" s="6"/>
      <c r="SM51" s="6"/>
      <c r="SN51" s="6"/>
      <c r="SO51" s="6"/>
      <c r="SP51" s="6"/>
      <c r="SQ51" s="6"/>
      <c r="SR51" s="6"/>
      <c r="SS51" s="6"/>
      <c r="ST51" s="6"/>
      <c r="SU51" s="6"/>
      <c r="SV51" s="6"/>
      <c r="SW51" s="6"/>
      <c r="SX51" s="6"/>
      <c r="SY51" s="6"/>
      <c r="SZ51" s="6"/>
      <c r="TA51" s="6"/>
      <c r="TB51" s="6"/>
      <c r="TC51" s="6"/>
      <c r="TD51" s="6"/>
      <c r="TE51" s="6"/>
      <c r="TF51" s="6"/>
      <c r="TG51" s="6"/>
      <c r="TH51" s="6"/>
      <c r="TI51" s="6"/>
      <c r="TJ51" s="6"/>
      <c r="TK51" s="6"/>
      <c r="TL51" s="6"/>
      <c r="TM51" s="6"/>
      <c r="TN51" s="6"/>
      <c r="TO51" s="6"/>
      <c r="TP51" s="6"/>
      <c r="TQ51" s="6"/>
      <c r="TR51" s="6"/>
      <c r="TS51" s="6"/>
      <c r="TT51" s="6"/>
      <c r="TU51" s="6"/>
      <c r="TV51" s="6"/>
      <c r="TW51" s="6"/>
      <c r="TX51" s="6"/>
      <c r="TY51" s="6"/>
      <c r="TZ51" s="6"/>
      <c r="UA51" s="6"/>
      <c r="UB51" s="6"/>
      <c r="UC51" s="6"/>
      <c r="UD51" s="6"/>
      <c r="UE51" s="6"/>
      <c r="UF51" s="6"/>
      <c r="UG51" s="6"/>
      <c r="UH51" s="6"/>
      <c r="UI51" s="6"/>
      <c r="UJ51" s="6"/>
      <c r="UK51" s="6"/>
      <c r="UL51" s="6"/>
      <c r="UM51" s="6"/>
      <c r="UN51" s="6"/>
      <c r="UO51" s="6"/>
      <c r="UP51" s="6"/>
      <c r="UQ51" s="6"/>
      <c r="UR51" s="6"/>
      <c r="US51" s="6"/>
      <c r="UT51" s="6"/>
      <c r="UU51" s="6"/>
      <c r="UV51" s="6"/>
      <c r="UW51" s="6"/>
      <c r="UX51" s="6"/>
      <c r="UY51" s="6"/>
      <c r="UZ51" s="6"/>
      <c r="VA51" s="6"/>
      <c r="VB51" s="6"/>
      <c r="VC51" s="6"/>
      <c r="VD51" s="6"/>
      <c r="VE51" s="6"/>
      <c r="VF51" s="6"/>
      <c r="VG51" s="6"/>
      <c r="VH51" s="6"/>
      <c r="VI51" s="6"/>
      <c r="VJ51" s="6"/>
      <c r="VK51" s="6"/>
      <c r="VL51" s="6"/>
      <c r="VM51" s="6"/>
      <c r="VN51" s="6"/>
      <c r="VO51" s="6"/>
      <c r="VP51" s="6"/>
      <c r="VQ51" s="6"/>
      <c r="VR51" s="6"/>
      <c r="VS51" s="6"/>
      <c r="VT51" s="6"/>
      <c r="VU51" s="6"/>
      <c r="VV51" s="6"/>
      <c r="VW51" s="6"/>
      <c r="VX51" s="6"/>
      <c r="VY51" s="6"/>
      <c r="VZ51" s="6"/>
      <c r="WA51" s="6"/>
      <c r="WB51" s="6"/>
      <c r="WC51" s="6"/>
      <c r="WD51" s="6"/>
      <c r="WE51" s="6"/>
      <c r="WF51" s="6"/>
      <c r="WG51" s="6"/>
      <c r="WH51" s="6"/>
      <c r="WI51" s="6"/>
      <c r="WJ51" s="6"/>
      <c r="WK51" s="6"/>
      <c r="WL51" s="6"/>
      <c r="WM51" s="6"/>
      <c r="WN51" s="6"/>
      <c r="WO51" s="6"/>
      <c r="WP51" s="6"/>
      <c r="WQ51" s="6"/>
      <c r="WR51" s="6"/>
      <c r="WS51" s="6"/>
      <c r="WT51" s="6"/>
      <c r="WU51" s="6"/>
      <c r="WV51" s="6"/>
      <c r="WW51" s="6"/>
      <c r="WX51" s="6"/>
      <c r="WY51" s="6"/>
      <c r="WZ51" s="6"/>
      <c r="XA51" s="6"/>
      <c r="XB51" s="6"/>
      <c r="XC51" s="6"/>
      <c r="XD51" s="6"/>
      <c r="XE51" s="6"/>
      <c r="XF51" s="6"/>
      <c r="XG51" s="6"/>
      <c r="XH51" s="6"/>
      <c r="XI51" s="6"/>
      <c r="XJ51" s="6"/>
      <c r="XK51" s="6"/>
      <c r="XL51" s="6"/>
      <c r="XM51" s="6"/>
      <c r="XN51" s="6"/>
      <c r="XO51" s="6"/>
      <c r="XP51" s="6"/>
      <c r="XQ51" s="6"/>
      <c r="XR51" s="6"/>
      <c r="XS51" s="6"/>
      <c r="XT51" s="6"/>
      <c r="XU51" s="6"/>
      <c r="XV51" s="6"/>
      <c r="XW51" s="6"/>
      <c r="XX51" s="6"/>
      <c r="XY51" s="6"/>
      <c r="XZ51" s="6"/>
      <c r="YA51" s="6"/>
      <c r="YB51" s="6"/>
      <c r="YC51" s="6"/>
      <c r="YD51" s="6"/>
      <c r="YE51" s="6"/>
      <c r="YF51" s="6"/>
      <c r="YG51" s="6"/>
      <c r="YH51" s="6"/>
      <c r="YI51" s="6"/>
      <c r="YJ51" s="6"/>
      <c r="YK51" s="6"/>
      <c r="YL51" s="6"/>
      <c r="YM51" s="6"/>
      <c r="YN51" s="6"/>
      <c r="YO51" s="6"/>
      <c r="YP51" s="6"/>
      <c r="YQ51" s="6"/>
      <c r="YR51" s="6"/>
      <c r="YS51" s="6"/>
      <c r="YT51" s="6"/>
      <c r="YU51" s="6"/>
      <c r="YV51" s="6"/>
      <c r="YW51" s="6"/>
      <c r="YX51" s="6"/>
      <c r="YY51" s="6"/>
      <c r="YZ51" s="6"/>
      <c r="ZA51" s="6"/>
      <c r="ZB51" s="6"/>
      <c r="ZC51" s="6"/>
      <c r="ZD51" s="6"/>
      <c r="ZE51" s="6"/>
      <c r="ZF51" s="6"/>
      <c r="ZG51" s="6"/>
      <c r="ZH51" s="6"/>
      <c r="ZI51" s="6"/>
      <c r="ZJ51" s="6"/>
      <c r="ZK51" s="6"/>
      <c r="ZL51" s="6"/>
      <c r="ZM51" s="6"/>
      <c r="ZN51" s="6"/>
      <c r="ZO51" s="6"/>
      <c r="ZP51" s="6"/>
      <c r="ZQ51" s="6"/>
      <c r="ZR51" s="6"/>
      <c r="ZS51" s="6"/>
      <c r="ZT51" s="6"/>
      <c r="ZU51" s="6"/>
      <c r="ZV51" s="6"/>
      <c r="ZW51" s="6"/>
      <c r="ZX51" s="6"/>
      <c r="ZY51" s="6"/>
      <c r="ZZ51" s="6"/>
      <c r="AAA51" s="6"/>
      <c r="AAB51" s="6"/>
      <c r="AAC51" s="6"/>
      <c r="AAD51" s="6"/>
      <c r="AAE51" s="6"/>
      <c r="AAF51" s="6"/>
      <c r="AAG51" s="6"/>
      <c r="AAH51" s="6"/>
      <c r="AAI51" s="6"/>
      <c r="AAJ51" s="6"/>
      <c r="AAK51" s="6"/>
      <c r="AAL51" s="6"/>
      <c r="AAM51" s="6"/>
      <c r="AAN51" s="6"/>
      <c r="AAO51" s="6"/>
      <c r="AAP51" s="6"/>
      <c r="AAQ51" s="6"/>
      <c r="AAR51" s="6"/>
      <c r="AAS51" s="6"/>
      <c r="AAT51" s="6"/>
      <c r="AAU51" s="6"/>
      <c r="AAV51" s="6"/>
      <c r="AAW51" s="6"/>
      <c r="AAX51" s="6"/>
      <c r="AAY51" s="6"/>
      <c r="AAZ51" s="6"/>
      <c r="ABA51" s="6"/>
      <c r="ABB51" s="6"/>
      <c r="ABC51" s="6"/>
      <c r="ABD51" s="6"/>
      <c r="ABE51" s="6"/>
      <c r="ABF51" s="6"/>
      <c r="ABG51" s="6"/>
      <c r="ABH51" s="6"/>
      <c r="ABI51" s="6"/>
      <c r="ABJ51" s="6"/>
      <c r="ABK51" s="6"/>
      <c r="ABL51" s="6"/>
      <c r="ABM51" s="6"/>
      <c r="ABN51" s="6"/>
      <c r="ABO51" s="6"/>
      <c r="ABP51" s="6"/>
      <c r="ABQ51" s="6"/>
      <c r="ABR51" s="6"/>
      <c r="ABS51" s="6"/>
      <c r="ABT51" s="6"/>
      <c r="ABU51" s="6"/>
      <c r="ABV51" s="6"/>
      <c r="ABW51" s="6"/>
      <c r="ABX51" s="6"/>
      <c r="ABY51" s="6"/>
      <c r="ABZ51" s="6"/>
      <c r="ACA51" s="6"/>
      <c r="ACB51" s="6"/>
      <c r="ACC51" s="6"/>
      <c r="ACD51" s="6"/>
      <c r="ACE51" s="6"/>
      <c r="ACF51" s="6"/>
      <c r="ACG51" s="6"/>
      <c r="ACH51" s="6"/>
      <c r="ACI51" s="6"/>
      <c r="ACJ51" s="6"/>
      <c r="ACK51" s="6"/>
      <c r="ACL51" s="6"/>
      <c r="ACM51" s="6"/>
      <c r="ACN51" s="6"/>
      <c r="ACO51" s="6"/>
      <c r="ACP51" s="6"/>
      <c r="ACQ51" s="6"/>
      <c r="ACR51" s="6"/>
      <c r="ACS51" s="6"/>
      <c r="ACT51" s="6"/>
      <c r="ACU51" s="6"/>
      <c r="ACV51" s="6"/>
      <c r="ACW51" s="6"/>
      <c r="ACX51" s="6"/>
      <c r="ACY51" s="6"/>
      <c r="ACZ51" s="6"/>
      <c r="ADA51" s="6"/>
      <c r="ADB51" s="6"/>
      <c r="ADC51" s="6"/>
      <c r="ADD51" s="6"/>
      <c r="ADE51" s="6"/>
      <c r="ADF51" s="6"/>
      <c r="ADG51" s="6"/>
      <c r="ADH51" s="6"/>
      <c r="ADI51" s="6"/>
      <c r="ADJ51" s="6"/>
      <c r="ADK51" s="6"/>
      <c r="ADL51" s="6"/>
      <c r="ADM51" s="6"/>
      <c r="ADN51" s="6"/>
      <c r="ADO51" s="6"/>
      <c r="ADP51" s="6"/>
      <c r="ADQ51" s="6"/>
      <c r="ADR51" s="6"/>
      <c r="ADS51" s="6"/>
      <c r="ADT51" s="6"/>
      <c r="ADU51" s="6"/>
      <c r="ADV51" s="6"/>
      <c r="ADW51" s="6"/>
      <c r="ADX51" s="6"/>
      <c r="ADY51" s="6"/>
      <c r="ADZ51" s="6"/>
      <c r="AEA51" s="6"/>
      <c r="AEB51" s="6"/>
      <c r="AEC51" s="6"/>
      <c r="AED51" s="6"/>
      <c r="AEE51" s="6"/>
      <c r="AEF51" s="6"/>
      <c r="AEG51" s="6"/>
      <c r="AEH51" s="6"/>
      <c r="AEI51" s="6"/>
      <c r="AEJ51" s="6"/>
      <c r="AEK51" s="6"/>
      <c r="AEL51" s="6"/>
      <c r="AEM51" s="6"/>
      <c r="AEN51" s="6"/>
      <c r="AEO51" s="6"/>
      <c r="AEP51" s="6"/>
      <c r="AEQ51" s="6"/>
      <c r="AER51" s="6"/>
      <c r="AES51" s="6"/>
      <c r="AET51" s="6"/>
      <c r="AEU51" s="6"/>
      <c r="AEV51" s="6"/>
      <c r="AEW51" s="6"/>
      <c r="AEX51" s="6"/>
      <c r="AEY51" s="6"/>
      <c r="AEZ51" s="6"/>
      <c r="AFA51" s="6"/>
      <c r="AFB51" s="6"/>
      <c r="AFC51" s="6"/>
      <c r="AFD51" s="6"/>
      <c r="AFE51" s="6"/>
      <c r="AFF51" s="6"/>
      <c r="AFG51" s="6"/>
      <c r="AFH51" s="6"/>
      <c r="AFI51" s="6"/>
      <c r="AFJ51" s="6"/>
      <c r="AFK51" s="6"/>
      <c r="AFL51" s="6"/>
      <c r="AFM51" s="6"/>
      <c r="AFN51" s="6"/>
      <c r="AFO51" s="6"/>
      <c r="AFP51" s="6"/>
      <c r="AFQ51" s="6"/>
      <c r="AFR51" s="6"/>
      <c r="AFS51" s="6"/>
      <c r="AFT51" s="6"/>
      <c r="AFU51" s="6"/>
      <c r="AFV51" s="6"/>
      <c r="AFW51" s="6"/>
      <c r="AFX51" s="6"/>
      <c r="AFY51" s="6"/>
      <c r="AFZ51" s="6"/>
      <c r="AGA51" s="6"/>
      <c r="AGB51" s="6"/>
      <c r="AGC51" s="6"/>
      <c r="AGD51" s="6"/>
      <c r="AGE51" s="6"/>
      <c r="AGF51" s="6"/>
      <c r="AGG51" s="6"/>
      <c r="AGH51" s="6"/>
      <c r="AGI51" s="6"/>
      <c r="AGJ51" s="6"/>
      <c r="AGK51" s="6"/>
      <c r="AGL51" s="6"/>
      <c r="AGM51" s="6"/>
      <c r="AGN51" s="6"/>
      <c r="AGO51" s="6"/>
      <c r="AGP51" s="6"/>
      <c r="AGQ51" s="6"/>
      <c r="AGR51" s="6"/>
      <c r="AGS51" s="6"/>
      <c r="AGT51" s="6"/>
      <c r="AGU51" s="6"/>
      <c r="AGV51" s="6"/>
      <c r="AGW51" s="6"/>
      <c r="AGX51" s="6"/>
      <c r="AGY51" s="6"/>
      <c r="AGZ51" s="6"/>
      <c r="AHA51" s="6"/>
      <c r="AHB51" s="6"/>
      <c r="AHC51" s="6"/>
      <c r="AHD51" s="6"/>
      <c r="AHE51" s="6"/>
      <c r="AHF51" s="6"/>
      <c r="AHG51" s="6"/>
      <c r="AHH51" s="6"/>
      <c r="AHI51" s="6"/>
      <c r="AHJ51" s="6"/>
      <c r="AHK51" s="6"/>
      <c r="AHL51" s="6"/>
      <c r="AHM51" s="6"/>
      <c r="AHN51" s="6"/>
      <c r="AHO51" s="6"/>
      <c r="AHP51" s="6"/>
      <c r="AHQ51" s="6"/>
      <c r="AHR51" s="6"/>
      <c r="AHS51" s="6"/>
      <c r="AHT51" s="6"/>
      <c r="AHU51" s="6"/>
      <c r="AHV51" s="6"/>
      <c r="AHW51" s="6"/>
      <c r="AHX51" s="6"/>
      <c r="AHY51" s="6"/>
      <c r="AHZ51" s="6"/>
      <c r="AIA51" s="6"/>
      <c r="AIB51" s="6"/>
      <c r="AIC51" s="6"/>
      <c r="AID51" s="6"/>
      <c r="AIE51" s="6"/>
      <c r="AIF51" s="6"/>
      <c r="AIG51" s="6"/>
      <c r="AIH51" s="6"/>
      <c r="AII51" s="6"/>
      <c r="AIJ51" s="6"/>
      <c r="AIK51" s="6"/>
      <c r="AIL51" s="6"/>
      <c r="AIM51" s="6"/>
      <c r="AIN51" s="6"/>
      <c r="AIO51" s="6"/>
      <c r="AIP51" s="6"/>
      <c r="AIQ51" s="6"/>
      <c r="AIR51" s="6"/>
      <c r="AIS51" s="6"/>
      <c r="AIT51" s="6"/>
      <c r="AIU51" s="6"/>
      <c r="AIV51" s="6"/>
      <c r="AIW51" s="6"/>
      <c r="AIX51" s="6"/>
      <c r="AIY51" s="6"/>
      <c r="AIZ51" s="6"/>
      <c r="AJA51" s="6"/>
      <c r="AJB51" s="6"/>
      <c r="AJC51" s="6"/>
      <c r="AJD51" s="6"/>
      <c r="AJE51" s="6"/>
      <c r="AJF51" s="6"/>
      <c r="AJG51" s="6"/>
      <c r="AJH51" s="6"/>
      <c r="AJI51" s="6"/>
      <c r="AJJ51" s="6"/>
      <c r="AJK51" s="6"/>
      <c r="AJL51" s="6"/>
      <c r="AJM51" s="6"/>
      <c r="AJN51" s="6"/>
      <c r="AJO51" s="6"/>
      <c r="AJP51" s="6"/>
      <c r="AJQ51" s="6"/>
      <c r="AJR51" s="6"/>
      <c r="AJS51" s="6"/>
      <c r="AJT51" s="6"/>
      <c r="AJU51" s="6"/>
      <c r="AJV51" s="6"/>
      <c r="AJW51" s="6"/>
      <c r="AJX51" s="6"/>
      <c r="AJY51" s="6"/>
      <c r="AJZ51" s="6"/>
      <c r="AKA51" s="6"/>
      <c r="AKB51" s="6"/>
      <c r="AKC51" s="6"/>
      <c r="AKD51" s="6"/>
      <c r="AKE51" s="6"/>
      <c r="AKF51" s="6"/>
      <c r="AKG51" s="6"/>
      <c r="AKH51" s="6"/>
      <c r="AKI51" s="6"/>
      <c r="AKJ51" s="6"/>
      <c r="AKK51" s="6"/>
      <c r="AKL51" s="6"/>
      <c r="AKM51" s="6"/>
      <c r="AKN51" s="6"/>
      <c r="AKO51" s="6"/>
      <c r="AKP51" s="6"/>
      <c r="AKQ51" s="6"/>
      <c r="AKR51" s="6"/>
      <c r="AKS51" s="6"/>
      <c r="AKT51" s="6"/>
      <c r="AKU51" s="6"/>
      <c r="AKV51" s="6"/>
      <c r="AKW51" s="6"/>
      <c r="AKX51" s="6"/>
      <c r="AKY51" s="6"/>
      <c r="AKZ51" s="6"/>
      <c r="ALA51" s="6"/>
      <c r="ALB51" s="6"/>
      <c r="ALC51" s="6"/>
      <c r="ALD51" s="6"/>
      <c r="ALE51" s="6"/>
      <c r="ALF51" s="6"/>
      <c r="ALG51" s="6"/>
      <c r="ALH51" s="6"/>
      <c r="ALI51" s="6"/>
      <c r="ALJ51" s="6"/>
      <c r="ALK51" s="6"/>
      <c r="ALL51" s="6"/>
      <c r="ALM51" s="6"/>
      <c r="ALN51" s="6"/>
      <c r="ALO51" s="6"/>
      <c r="ALP51" s="6"/>
      <c r="ALQ51" s="6"/>
      <c r="ALR51" s="6"/>
      <c r="ALS51" s="6"/>
      <c r="ALT51" s="6"/>
      <c r="ALU51" s="6"/>
      <c r="ALV51" s="6"/>
      <c r="ALW51" s="6"/>
    </row>
    <row r="52" spans="2:1011" hidden="1" outlineLevel="1" x14ac:dyDescent="0.25">
      <c r="C52" s="5" t="s">
        <v>13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"/>
      <c r="GC52" s="6"/>
      <c r="GD52" s="6"/>
      <c r="GE52" s="6"/>
      <c r="GF52" s="6"/>
      <c r="GG52" s="6"/>
      <c r="GH52" s="6"/>
      <c r="GI52" s="6"/>
      <c r="GJ52" s="6"/>
      <c r="GK52" s="6"/>
      <c r="GL52" s="6"/>
      <c r="GM52" s="6"/>
      <c r="GN52" s="6"/>
      <c r="GO52" s="6"/>
      <c r="GP52" s="6"/>
      <c r="GQ52" s="6"/>
      <c r="GR52" s="6"/>
      <c r="GS52" s="6"/>
      <c r="GT52" s="6"/>
      <c r="GU52" s="6"/>
      <c r="GV52" s="6"/>
      <c r="GW52" s="6"/>
      <c r="GX52" s="6"/>
      <c r="GY52" s="6"/>
      <c r="GZ52" s="6"/>
      <c r="HA52" s="6"/>
      <c r="HB52" s="6"/>
      <c r="HC52" s="6"/>
      <c r="HD52" s="6"/>
      <c r="HE52" s="6"/>
      <c r="HF52" s="6"/>
      <c r="HG52" s="6"/>
      <c r="HH52" s="6"/>
      <c r="HI52" s="6"/>
      <c r="HJ52" s="6"/>
      <c r="HK52" s="6"/>
      <c r="HL52" s="6"/>
      <c r="HM52" s="6"/>
      <c r="HN52" s="6"/>
      <c r="HO52" s="6"/>
      <c r="HP52" s="6"/>
      <c r="HQ52" s="6"/>
      <c r="HR52" s="6"/>
      <c r="HS52" s="6"/>
      <c r="HT52" s="6"/>
      <c r="HU52" s="6"/>
      <c r="HV52" s="6"/>
      <c r="HW52" s="6"/>
      <c r="HX52" s="6"/>
      <c r="HY52" s="6"/>
      <c r="HZ52" s="6"/>
      <c r="IA52" s="6"/>
      <c r="IB52" s="6"/>
      <c r="IC52" s="6"/>
      <c r="ID52" s="6"/>
      <c r="IE52" s="6"/>
      <c r="IF52" s="6"/>
      <c r="IG52" s="6"/>
      <c r="IH52" s="6"/>
      <c r="II52" s="6"/>
      <c r="IJ52" s="6"/>
      <c r="IK52" s="6"/>
      <c r="IL52" s="6"/>
      <c r="IM52" s="6"/>
      <c r="IN52" s="6"/>
      <c r="IO52" s="6"/>
      <c r="IP52" s="6"/>
      <c r="IQ52" s="6"/>
      <c r="IR52" s="6"/>
      <c r="IS52" s="6"/>
      <c r="IT52" s="6"/>
      <c r="IU52" s="6"/>
      <c r="IV52" s="6"/>
      <c r="IW52" s="6"/>
      <c r="IX52" s="6"/>
      <c r="IY52" s="6"/>
      <c r="IZ52" s="6"/>
      <c r="JA52" s="6"/>
      <c r="JB52" s="6"/>
      <c r="JC52" s="6"/>
      <c r="JD52" s="6"/>
      <c r="JE52" s="6"/>
      <c r="JF52" s="6"/>
      <c r="JG52" s="6"/>
      <c r="JH52" s="6"/>
      <c r="JI52" s="6"/>
      <c r="JJ52" s="6"/>
      <c r="JK52" s="6"/>
      <c r="JL52" s="6"/>
      <c r="JM52" s="6"/>
      <c r="JN52" s="6"/>
      <c r="JO52" s="6"/>
      <c r="JP52" s="6"/>
      <c r="JQ52" s="6"/>
      <c r="JR52" s="6"/>
      <c r="JS52" s="6"/>
      <c r="JT52" s="6"/>
      <c r="JU52" s="6"/>
      <c r="JV52" s="6"/>
      <c r="JW52" s="6"/>
      <c r="JX52" s="6"/>
      <c r="JY52" s="6"/>
      <c r="JZ52" s="6"/>
      <c r="KA52" s="6"/>
      <c r="KB52" s="6"/>
      <c r="KC52" s="6"/>
      <c r="KD52" s="6"/>
      <c r="KE52" s="6"/>
      <c r="KF52" s="6"/>
      <c r="KG52" s="6"/>
      <c r="KH52" s="6"/>
      <c r="KI52" s="6"/>
      <c r="KJ52" s="6"/>
      <c r="KK52" s="6"/>
      <c r="KL52" s="6"/>
      <c r="KM52" s="6"/>
      <c r="KN52" s="6"/>
      <c r="KO52" s="6"/>
      <c r="KP52" s="6"/>
      <c r="KQ52" s="6"/>
      <c r="KR52" s="6"/>
      <c r="KS52" s="6"/>
      <c r="KT52" s="6"/>
      <c r="KU52" s="6"/>
      <c r="KV52" s="6"/>
      <c r="KW52" s="6"/>
      <c r="KX52" s="6"/>
      <c r="KY52" s="6"/>
      <c r="KZ52" s="6"/>
      <c r="LA52" s="6"/>
      <c r="LB52" s="6"/>
      <c r="LC52" s="6"/>
      <c r="LD52" s="6"/>
      <c r="LE52" s="6"/>
      <c r="LF52" s="6"/>
      <c r="LG52" s="6"/>
      <c r="LH52" s="6"/>
      <c r="LI52" s="6"/>
      <c r="LJ52" s="6"/>
      <c r="LK52" s="6"/>
      <c r="LL52" s="6"/>
      <c r="LM52" s="6"/>
      <c r="LN52" s="6"/>
      <c r="LO52" s="6"/>
      <c r="LP52" s="6"/>
      <c r="LQ52" s="6"/>
      <c r="LR52" s="6"/>
      <c r="LS52" s="6"/>
      <c r="LT52" s="6"/>
      <c r="LU52" s="6"/>
      <c r="LV52" s="6"/>
      <c r="LW52" s="6"/>
      <c r="LX52" s="6"/>
      <c r="LY52" s="6"/>
      <c r="LZ52" s="6"/>
      <c r="MA52" s="6"/>
      <c r="MB52" s="6"/>
      <c r="MC52" s="6"/>
      <c r="MD52" s="6"/>
      <c r="ME52" s="6"/>
      <c r="MF52" s="6"/>
      <c r="MG52" s="6"/>
      <c r="MH52" s="6"/>
      <c r="MI52" s="6"/>
      <c r="MJ52" s="6"/>
      <c r="MK52" s="6"/>
      <c r="ML52" s="6"/>
      <c r="MM52" s="6"/>
      <c r="MN52" s="6"/>
      <c r="MO52" s="6"/>
      <c r="MP52" s="6"/>
      <c r="MQ52" s="6"/>
      <c r="MR52" s="6"/>
      <c r="MS52" s="6"/>
      <c r="MT52" s="6"/>
      <c r="MU52" s="6"/>
      <c r="MV52" s="6"/>
      <c r="MW52" s="6"/>
      <c r="MX52" s="6"/>
      <c r="MY52" s="6"/>
      <c r="MZ52" s="6"/>
      <c r="NA52" s="6"/>
      <c r="NB52" s="6"/>
      <c r="NC52" s="6"/>
      <c r="ND52" s="6"/>
      <c r="NE52" s="6"/>
      <c r="NF52" s="6"/>
      <c r="NG52" s="6"/>
      <c r="NH52" s="6"/>
      <c r="NI52" s="6"/>
      <c r="NJ52" s="6"/>
      <c r="NK52" s="6"/>
      <c r="NL52" s="6"/>
      <c r="NM52" s="6"/>
      <c r="NN52" s="6"/>
      <c r="NO52" s="6"/>
      <c r="NP52" s="6"/>
      <c r="NQ52" s="6"/>
      <c r="NR52" s="6"/>
      <c r="NS52" s="6"/>
      <c r="NT52" s="6"/>
      <c r="NU52" s="6"/>
      <c r="NV52" s="6"/>
      <c r="NW52" s="6"/>
      <c r="NX52" s="6"/>
      <c r="NY52" s="6"/>
      <c r="NZ52" s="6"/>
      <c r="OA52" s="6"/>
      <c r="OB52" s="6"/>
      <c r="OC52" s="6"/>
      <c r="OD52" s="6"/>
      <c r="OE52" s="6"/>
      <c r="OF52" s="6"/>
      <c r="OG52" s="6"/>
      <c r="OH52" s="6"/>
      <c r="OI52" s="6"/>
      <c r="OJ52" s="6"/>
      <c r="OK52" s="6"/>
      <c r="OL52" s="6"/>
      <c r="OM52" s="6"/>
      <c r="ON52" s="6"/>
      <c r="OO52" s="6"/>
      <c r="OP52" s="6"/>
      <c r="OQ52" s="6"/>
      <c r="OR52" s="6"/>
      <c r="OS52" s="6"/>
      <c r="OT52" s="6"/>
      <c r="OU52" s="6"/>
      <c r="OV52" s="6"/>
      <c r="OW52" s="6"/>
      <c r="OX52" s="6"/>
      <c r="OY52" s="6"/>
      <c r="OZ52" s="6"/>
      <c r="PA52" s="6"/>
      <c r="PB52" s="6"/>
      <c r="PC52" s="6"/>
      <c r="PD52" s="6"/>
      <c r="PE52" s="6"/>
      <c r="PF52" s="6"/>
      <c r="PG52" s="6"/>
      <c r="PH52" s="6"/>
      <c r="PI52" s="6"/>
      <c r="PJ52" s="6"/>
      <c r="PK52" s="6"/>
      <c r="PL52" s="6"/>
      <c r="PM52" s="6"/>
      <c r="PN52" s="6"/>
      <c r="PO52" s="6"/>
      <c r="PP52" s="6"/>
      <c r="PQ52" s="6"/>
      <c r="PR52" s="6"/>
      <c r="PS52" s="6"/>
      <c r="PT52" s="6"/>
      <c r="PU52" s="6"/>
      <c r="PV52" s="6"/>
      <c r="PW52" s="6"/>
      <c r="PX52" s="6"/>
      <c r="PY52" s="6"/>
      <c r="PZ52" s="6"/>
      <c r="QA52" s="6"/>
      <c r="QB52" s="6"/>
      <c r="QC52" s="6"/>
      <c r="QD52" s="6"/>
      <c r="QE52" s="6"/>
      <c r="QF52" s="6"/>
      <c r="QG52" s="6"/>
      <c r="QH52" s="6"/>
      <c r="QI52" s="6"/>
      <c r="QJ52" s="6"/>
      <c r="QK52" s="6"/>
      <c r="QL52" s="6"/>
      <c r="QM52" s="6"/>
      <c r="QN52" s="6"/>
      <c r="QO52" s="6"/>
      <c r="QP52" s="6"/>
      <c r="QQ52" s="6"/>
      <c r="QR52" s="6"/>
      <c r="QS52" s="6"/>
      <c r="QT52" s="6"/>
      <c r="QU52" s="6"/>
      <c r="QV52" s="6"/>
      <c r="QW52" s="6"/>
      <c r="QX52" s="6"/>
      <c r="QY52" s="6"/>
      <c r="QZ52" s="6"/>
      <c r="RA52" s="6"/>
      <c r="RB52" s="6"/>
      <c r="RC52" s="6"/>
      <c r="RD52" s="6"/>
      <c r="RE52" s="6"/>
      <c r="RF52" s="6"/>
      <c r="RG52" s="6"/>
      <c r="RH52" s="6"/>
      <c r="RI52" s="6"/>
      <c r="RJ52" s="6"/>
      <c r="RK52" s="6"/>
      <c r="RL52" s="6"/>
      <c r="RM52" s="6"/>
      <c r="RN52" s="6"/>
      <c r="RO52" s="6"/>
      <c r="RP52" s="6"/>
      <c r="RQ52" s="6"/>
      <c r="RR52" s="6"/>
      <c r="RS52" s="6"/>
      <c r="RT52" s="6"/>
      <c r="RU52" s="6"/>
      <c r="RV52" s="6"/>
      <c r="RW52" s="6"/>
      <c r="RX52" s="6"/>
      <c r="RY52" s="6"/>
      <c r="RZ52" s="6"/>
      <c r="SA52" s="6"/>
      <c r="SB52" s="6"/>
      <c r="SC52" s="6"/>
      <c r="SD52" s="6"/>
      <c r="SE52" s="6"/>
      <c r="SF52" s="6"/>
      <c r="SG52" s="6"/>
      <c r="SH52" s="6"/>
      <c r="SI52" s="6"/>
      <c r="SJ52" s="6"/>
      <c r="SK52" s="6"/>
      <c r="SL52" s="6"/>
      <c r="SM52" s="6"/>
      <c r="SN52" s="6"/>
      <c r="SO52" s="6"/>
      <c r="SP52" s="6"/>
      <c r="SQ52" s="6"/>
      <c r="SR52" s="6"/>
      <c r="SS52" s="6"/>
      <c r="ST52" s="6"/>
      <c r="SU52" s="6"/>
      <c r="SV52" s="6"/>
      <c r="SW52" s="6"/>
      <c r="SX52" s="6"/>
      <c r="SY52" s="6"/>
      <c r="SZ52" s="6"/>
      <c r="TA52" s="6"/>
      <c r="TB52" s="6"/>
      <c r="TC52" s="6"/>
      <c r="TD52" s="6"/>
      <c r="TE52" s="6"/>
      <c r="TF52" s="6"/>
      <c r="TG52" s="6"/>
      <c r="TH52" s="6"/>
      <c r="TI52" s="6"/>
      <c r="TJ52" s="6"/>
      <c r="TK52" s="6"/>
      <c r="TL52" s="6"/>
      <c r="TM52" s="6"/>
      <c r="TN52" s="6"/>
      <c r="TO52" s="6"/>
      <c r="TP52" s="6"/>
      <c r="TQ52" s="6"/>
      <c r="TR52" s="6"/>
      <c r="TS52" s="6"/>
      <c r="TT52" s="6"/>
      <c r="TU52" s="6"/>
      <c r="TV52" s="6"/>
      <c r="TW52" s="6"/>
      <c r="TX52" s="6"/>
      <c r="TY52" s="6"/>
      <c r="TZ52" s="6"/>
      <c r="UA52" s="6"/>
      <c r="UB52" s="6"/>
      <c r="UC52" s="6"/>
      <c r="UD52" s="6"/>
      <c r="UE52" s="6"/>
      <c r="UF52" s="6"/>
      <c r="UG52" s="6"/>
      <c r="UH52" s="6"/>
      <c r="UI52" s="6"/>
      <c r="UJ52" s="6"/>
      <c r="UK52" s="6"/>
      <c r="UL52" s="6"/>
      <c r="UM52" s="6"/>
      <c r="UN52" s="6"/>
      <c r="UO52" s="6"/>
      <c r="UP52" s="6"/>
      <c r="UQ52" s="6"/>
      <c r="UR52" s="6"/>
      <c r="US52" s="6"/>
      <c r="UT52" s="6"/>
      <c r="UU52" s="6"/>
      <c r="UV52" s="6"/>
      <c r="UW52" s="6"/>
      <c r="UX52" s="6"/>
      <c r="UY52" s="6"/>
      <c r="UZ52" s="6"/>
      <c r="VA52" s="6"/>
      <c r="VB52" s="6"/>
      <c r="VC52" s="6"/>
      <c r="VD52" s="6"/>
      <c r="VE52" s="6"/>
      <c r="VF52" s="6"/>
      <c r="VG52" s="6"/>
      <c r="VH52" s="6"/>
      <c r="VI52" s="6"/>
      <c r="VJ52" s="6"/>
      <c r="VK52" s="6"/>
      <c r="VL52" s="6"/>
      <c r="VM52" s="6"/>
      <c r="VN52" s="6"/>
      <c r="VO52" s="6"/>
      <c r="VP52" s="6"/>
      <c r="VQ52" s="6"/>
      <c r="VR52" s="6"/>
      <c r="VS52" s="6"/>
      <c r="VT52" s="6"/>
      <c r="VU52" s="6"/>
      <c r="VV52" s="6"/>
      <c r="VW52" s="6"/>
      <c r="VX52" s="6"/>
      <c r="VY52" s="6"/>
      <c r="VZ52" s="6"/>
      <c r="WA52" s="6"/>
      <c r="WB52" s="6"/>
      <c r="WC52" s="6"/>
      <c r="WD52" s="6"/>
      <c r="WE52" s="6"/>
      <c r="WF52" s="6"/>
      <c r="WG52" s="6"/>
      <c r="WH52" s="6"/>
      <c r="WI52" s="6"/>
      <c r="WJ52" s="6"/>
      <c r="WK52" s="6"/>
      <c r="WL52" s="6"/>
      <c r="WM52" s="6"/>
      <c r="WN52" s="6"/>
      <c r="WO52" s="6"/>
      <c r="WP52" s="6"/>
      <c r="WQ52" s="6"/>
      <c r="WR52" s="6"/>
      <c r="WS52" s="6"/>
      <c r="WT52" s="6"/>
      <c r="WU52" s="6"/>
      <c r="WV52" s="6"/>
      <c r="WW52" s="6"/>
      <c r="WX52" s="6"/>
      <c r="WY52" s="6"/>
      <c r="WZ52" s="6"/>
      <c r="XA52" s="6"/>
      <c r="XB52" s="6"/>
      <c r="XC52" s="6"/>
      <c r="XD52" s="6"/>
      <c r="XE52" s="6"/>
      <c r="XF52" s="6"/>
      <c r="XG52" s="6"/>
      <c r="XH52" s="6"/>
      <c r="XI52" s="6"/>
      <c r="XJ52" s="6"/>
      <c r="XK52" s="6"/>
      <c r="XL52" s="6"/>
      <c r="XM52" s="6"/>
      <c r="XN52" s="6"/>
      <c r="XO52" s="6"/>
      <c r="XP52" s="6"/>
      <c r="XQ52" s="6"/>
      <c r="XR52" s="6"/>
      <c r="XS52" s="6"/>
      <c r="XT52" s="6"/>
      <c r="XU52" s="6"/>
      <c r="XV52" s="6"/>
      <c r="XW52" s="6"/>
      <c r="XX52" s="6"/>
      <c r="XY52" s="6"/>
      <c r="XZ52" s="6"/>
      <c r="YA52" s="6"/>
      <c r="YB52" s="6"/>
      <c r="YC52" s="6"/>
      <c r="YD52" s="6"/>
      <c r="YE52" s="6"/>
      <c r="YF52" s="6"/>
      <c r="YG52" s="6"/>
      <c r="YH52" s="6"/>
      <c r="YI52" s="6"/>
      <c r="YJ52" s="6"/>
      <c r="YK52" s="6"/>
      <c r="YL52" s="6"/>
      <c r="YM52" s="6"/>
      <c r="YN52" s="6"/>
      <c r="YO52" s="6"/>
      <c r="YP52" s="6"/>
      <c r="YQ52" s="6"/>
      <c r="YR52" s="6"/>
      <c r="YS52" s="6"/>
      <c r="YT52" s="6"/>
      <c r="YU52" s="6"/>
      <c r="YV52" s="6"/>
      <c r="YW52" s="6"/>
      <c r="YX52" s="6"/>
      <c r="YY52" s="6"/>
      <c r="YZ52" s="6"/>
      <c r="ZA52" s="6"/>
      <c r="ZB52" s="6"/>
      <c r="ZC52" s="6"/>
      <c r="ZD52" s="6"/>
      <c r="ZE52" s="6"/>
      <c r="ZF52" s="6"/>
      <c r="ZG52" s="6"/>
      <c r="ZH52" s="6"/>
      <c r="ZI52" s="6"/>
      <c r="ZJ52" s="6"/>
      <c r="ZK52" s="6"/>
      <c r="ZL52" s="6"/>
      <c r="ZM52" s="6"/>
      <c r="ZN52" s="6"/>
      <c r="ZO52" s="6"/>
      <c r="ZP52" s="6"/>
      <c r="ZQ52" s="6"/>
      <c r="ZR52" s="6"/>
      <c r="ZS52" s="6"/>
      <c r="ZT52" s="6"/>
      <c r="ZU52" s="6"/>
      <c r="ZV52" s="6"/>
      <c r="ZW52" s="6"/>
      <c r="ZX52" s="6"/>
      <c r="ZY52" s="6"/>
      <c r="ZZ52" s="6"/>
      <c r="AAA52" s="6"/>
      <c r="AAB52" s="6"/>
      <c r="AAC52" s="6"/>
      <c r="AAD52" s="6"/>
      <c r="AAE52" s="6"/>
      <c r="AAF52" s="6"/>
      <c r="AAG52" s="6"/>
      <c r="AAH52" s="6"/>
      <c r="AAI52" s="6"/>
      <c r="AAJ52" s="6"/>
      <c r="AAK52" s="6"/>
      <c r="AAL52" s="6"/>
      <c r="AAM52" s="6"/>
      <c r="AAN52" s="6"/>
      <c r="AAO52" s="6"/>
      <c r="AAP52" s="6"/>
      <c r="AAQ52" s="6"/>
      <c r="AAR52" s="6"/>
      <c r="AAS52" s="6"/>
      <c r="AAT52" s="6"/>
      <c r="AAU52" s="6"/>
      <c r="AAV52" s="6"/>
      <c r="AAW52" s="6"/>
      <c r="AAX52" s="6"/>
      <c r="AAY52" s="6"/>
      <c r="AAZ52" s="6"/>
      <c r="ABA52" s="6"/>
      <c r="ABB52" s="6"/>
      <c r="ABC52" s="6"/>
      <c r="ABD52" s="6"/>
      <c r="ABE52" s="6"/>
      <c r="ABF52" s="6"/>
      <c r="ABG52" s="6"/>
      <c r="ABH52" s="6"/>
      <c r="ABI52" s="6"/>
      <c r="ABJ52" s="6"/>
      <c r="ABK52" s="6"/>
      <c r="ABL52" s="6"/>
      <c r="ABM52" s="6"/>
      <c r="ABN52" s="6"/>
      <c r="ABO52" s="6"/>
      <c r="ABP52" s="6"/>
      <c r="ABQ52" s="6"/>
      <c r="ABR52" s="6"/>
      <c r="ABS52" s="6"/>
      <c r="ABT52" s="6"/>
      <c r="ABU52" s="6"/>
      <c r="ABV52" s="6"/>
      <c r="ABW52" s="6"/>
      <c r="ABX52" s="6"/>
      <c r="ABY52" s="6"/>
      <c r="ABZ52" s="6"/>
      <c r="ACA52" s="6"/>
      <c r="ACB52" s="6"/>
      <c r="ACC52" s="6"/>
      <c r="ACD52" s="6"/>
      <c r="ACE52" s="6"/>
      <c r="ACF52" s="6"/>
      <c r="ACG52" s="6"/>
      <c r="ACH52" s="6"/>
      <c r="ACI52" s="6"/>
      <c r="ACJ52" s="6"/>
      <c r="ACK52" s="6"/>
      <c r="ACL52" s="6"/>
      <c r="ACM52" s="6"/>
      <c r="ACN52" s="6"/>
      <c r="ACO52" s="6"/>
      <c r="ACP52" s="6"/>
      <c r="ACQ52" s="6"/>
      <c r="ACR52" s="6"/>
      <c r="ACS52" s="6"/>
      <c r="ACT52" s="6"/>
      <c r="ACU52" s="6"/>
      <c r="ACV52" s="6"/>
      <c r="ACW52" s="6"/>
      <c r="ACX52" s="6"/>
      <c r="ACY52" s="6"/>
      <c r="ACZ52" s="6"/>
      <c r="ADA52" s="6"/>
      <c r="ADB52" s="6"/>
      <c r="ADC52" s="6"/>
      <c r="ADD52" s="6"/>
      <c r="ADE52" s="6"/>
      <c r="ADF52" s="6"/>
      <c r="ADG52" s="6"/>
      <c r="ADH52" s="6"/>
      <c r="ADI52" s="6"/>
      <c r="ADJ52" s="6"/>
      <c r="ADK52" s="6"/>
      <c r="ADL52" s="6"/>
      <c r="ADM52" s="6"/>
      <c r="ADN52" s="6"/>
      <c r="ADO52" s="6"/>
      <c r="ADP52" s="6"/>
      <c r="ADQ52" s="6"/>
      <c r="ADR52" s="6"/>
      <c r="ADS52" s="6"/>
      <c r="ADT52" s="6"/>
      <c r="ADU52" s="6"/>
      <c r="ADV52" s="6"/>
      <c r="ADW52" s="6"/>
      <c r="ADX52" s="6"/>
      <c r="ADY52" s="6"/>
      <c r="ADZ52" s="6"/>
      <c r="AEA52" s="6"/>
      <c r="AEB52" s="6"/>
      <c r="AEC52" s="6"/>
      <c r="AED52" s="6"/>
      <c r="AEE52" s="6"/>
      <c r="AEF52" s="6"/>
      <c r="AEG52" s="6"/>
      <c r="AEH52" s="6"/>
      <c r="AEI52" s="6"/>
      <c r="AEJ52" s="6"/>
      <c r="AEK52" s="6"/>
      <c r="AEL52" s="6"/>
      <c r="AEM52" s="6"/>
      <c r="AEN52" s="6"/>
      <c r="AEO52" s="6"/>
      <c r="AEP52" s="6"/>
      <c r="AEQ52" s="6"/>
      <c r="AER52" s="6"/>
      <c r="AES52" s="6"/>
      <c r="AET52" s="6"/>
      <c r="AEU52" s="6"/>
      <c r="AEV52" s="6"/>
      <c r="AEW52" s="6"/>
      <c r="AEX52" s="6"/>
      <c r="AEY52" s="6"/>
      <c r="AEZ52" s="6"/>
      <c r="AFA52" s="6"/>
      <c r="AFB52" s="6"/>
      <c r="AFC52" s="6"/>
      <c r="AFD52" s="6"/>
      <c r="AFE52" s="6"/>
      <c r="AFF52" s="6"/>
      <c r="AFG52" s="6"/>
      <c r="AFH52" s="6"/>
      <c r="AFI52" s="6"/>
      <c r="AFJ52" s="6"/>
      <c r="AFK52" s="6"/>
      <c r="AFL52" s="6"/>
      <c r="AFM52" s="6"/>
      <c r="AFN52" s="6"/>
      <c r="AFO52" s="6"/>
      <c r="AFP52" s="6"/>
      <c r="AFQ52" s="6"/>
      <c r="AFR52" s="6"/>
      <c r="AFS52" s="6"/>
      <c r="AFT52" s="6"/>
      <c r="AFU52" s="6"/>
      <c r="AFV52" s="6"/>
      <c r="AFW52" s="6"/>
      <c r="AFX52" s="6"/>
      <c r="AFY52" s="6"/>
      <c r="AFZ52" s="6"/>
      <c r="AGA52" s="6"/>
      <c r="AGB52" s="6"/>
      <c r="AGC52" s="6"/>
      <c r="AGD52" s="6"/>
      <c r="AGE52" s="6"/>
      <c r="AGF52" s="6"/>
      <c r="AGG52" s="6"/>
      <c r="AGH52" s="6"/>
      <c r="AGI52" s="6"/>
      <c r="AGJ52" s="6"/>
      <c r="AGK52" s="6"/>
      <c r="AGL52" s="6"/>
      <c r="AGM52" s="6"/>
      <c r="AGN52" s="6"/>
      <c r="AGO52" s="6"/>
      <c r="AGP52" s="6"/>
      <c r="AGQ52" s="6"/>
      <c r="AGR52" s="6"/>
      <c r="AGS52" s="6"/>
      <c r="AGT52" s="6"/>
      <c r="AGU52" s="6"/>
      <c r="AGV52" s="6"/>
      <c r="AGW52" s="6"/>
      <c r="AGX52" s="6"/>
      <c r="AGY52" s="6"/>
      <c r="AGZ52" s="6"/>
      <c r="AHA52" s="6"/>
      <c r="AHB52" s="6"/>
      <c r="AHC52" s="6"/>
      <c r="AHD52" s="6"/>
      <c r="AHE52" s="6"/>
      <c r="AHF52" s="6"/>
      <c r="AHG52" s="6"/>
      <c r="AHH52" s="6"/>
      <c r="AHI52" s="6"/>
      <c r="AHJ52" s="6"/>
      <c r="AHK52" s="6"/>
      <c r="AHL52" s="6"/>
      <c r="AHM52" s="6"/>
      <c r="AHN52" s="6"/>
      <c r="AHO52" s="6"/>
      <c r="AHP52" s="6"/>
      <c r="AHQ52" s="6"/>
      <c r="AHR52" s="6"/>
      <c r="AHS52" s="6"/>
      <c r="AHT52" s="6"/>
      <c r="AHU52" s="6"/>
      <c r="AHV52" s="6"/>
      <c r="AHW52" s="6"/>
      <c r="AHX52" s="6"/>
      <c r="AHY52" s="6"/>
      <c r="AHZ52" s="6"/>
      <c r="AIA52" s="6"/>
      <c r="AIB52" s="6"/>
      <c r="AIC52" s="6"/>
      <c r="AID52" s="6"/>
      <c r="AIE52" s="6"/>
      <c r="AIF52" s="6"/>
      <c r="AIG52" s="6"/>
      <c r="AIH52" s="6"/>
      <c r="AII52" s="6"/>
      <c r="AIJ52" s="6"/>
      <c r="AIK52" s="6"/>
      <c r="AIL52" s="6"/>
      <c r="AIM52" s="6"/>
      <c r="AIN52" s="6"/>
      <c r="AIO52" s="6"/>
      <c r="AIP52" s="6"/>
      <c r="AIQ52" s="6"/>
      <c r="AIR52" s="6"/>
      <c r="AIS52" s="6"/>
      <c r="AIT52" s="6"/>
      <c r="AIU52" s="6"/>
      <c r="AIV52" s="6"/>
      <c r="AIW52" s="6"/>
      <c r="AIX52" s="6"/>
      <c r="AIY52" s="6"/>
      <c r="AIZ52" s="6"/>
      <c r="AJA52" s="6"/>
      <c r="AJB52" s="6"/>
      <c r="AJC52" s="6"/>
      <c r="AJD52" s="6"/>
      <c r="AJE52" s="6"/>
      <c r="AJF52" s="6"/>
      <c r="AJG52" s="6"/>
      <c r="AJH52" s="6"/>
      <c r="AJI52" s="6"/>
      <c r="AJJ52" s="6"/>
      <c r="AJK52" s="6"/>
      <c r="AJL52" s="6"/>
      <c r="AJM52" s="6"/>
      <c r="AJN52" s="6"/>
      <c r="AJO52" s="6"/>
      <c r="AJP52" s="6"/>
      <c r="AJQ52" s="6"/>
      <c r="AJR52" s="6"/>
      <c r="AJS52" s="6"/>
      <c r="AJT52" s="6"/>
      <c r="AJU52" s="6"/>
      <c r="AJV52" s="6"/>
      <c r="AJW52" s="6"/>
      <c r="AJX52" s="6"/>
      <c r="AJY52" s="6"/>
      <c r="AJZ52" s="6"/>
      <c r="AKA52" s="6"/>
      <c r="AKB52" s="6"/>
      <c r="AKC52" s="6"/>
      <c r="AKD52" s="6"/>
      <c r="AKE52" s="6"/>
      <c r="AKF52" s="6"/>
      <c r="AKG52" s="6"/>
      <c r="AKH52" s="6"/>
      <c r="AKI52" s="6"/>
      <c r="AKJ52" s="6"/>
      <c r="AKK52" s="6"/>
      <c r="AKL52" s="6"/>
      <c r="AKM52" s="6"/>
      <c r="AKN52" s="6"/>
      <c r="AKO52" s="6"/>
      <c r="AKP52" s="6"/>
      <c r="AKQ52" s="6"/>
      <c r="AKR52" s="6"/>
      <c r="AKS52" s="6"/>
      <c r="AKT52" s="6"/>
      <c r="AKU52" s="6"/>
      <c r="AKV52" s="6"/>
      <c r="AKW52" s="6"/>
      <c r="AKX52" s="6"/>
      <c r="AKY52" s="6"/>
      <c r="AKZ52" s="6"/>
      <c r="ALA52" s="6"/>
      <c r="ALB52" s="6"/>
      <c r="ALC52" s="6"/>
      <c r="ALD52" s="6"/>
      <c r="ALE52" s="6"/>
      <c r="ALF52" s="6"/>
      <c r="ALG52" s="6"/>
      <c r="ALH52" s="6"/>
      <c r="ALI52" s="6"/>
      <c r="ALJ52" s="6"/>
      <c r="ALK52" s="6"/>
      <c r="ALL52" s="6"/>
      <c r="ALM52" s="6"/>
      <c r="ALN52" s="6"/>
      <c r="ALO52" s="6"/>
      <c r="ALP52" s="6"/>
      <c r="ALQ52" s="6"/>
      <c r="ALR52" s="6"/>
      <c r="ALS52" s="6"/>
      <c r="ALT52" s="6"/>
      <c r="ALU52" s="6"/>
      <c r="ALV52" s="6"/>
      <c r="ALW52" s="6"/>
    </row>
    <row r="53" spans="2:1011" hidden="1" outlineLevel="1" x14ac:dyDescent="0.25">
      <c r="B53" s="8"/>
      <c r="C53" s="5" t="s">
        <v>14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  <c r="GD53" s="6"/>
      <c r="GE53" s="6"/>
      <c r="GF53" s="6"/>
      <c r="GG53" s="6"/>
      <c r="GH53" s="6"/>
      <c r="GI53" s="6"/>
      <c r="GJ53" s="6"/>
      <c r="GK53" s="6"/>
      <c r="GL53" s="6"/>
      <c r="GM53" s="6"/>
      <c r="GN53" s="6"/>
      <c r="GO53" s="6"/>
      <c r="GP53" s="6"/>
      <c r="GQ53" s="6"/>
      <c r="GR53" s="6"/>
      <c r="GS53" s="6"/>
      <c r="GT53" s="6"/>
      <c r="GU53" s="6"/>
      <c r="GV53" s="6"/>
      <c r="GW53" s="6"/>
      <c r="GX53" s="6"/>
      <c r="GY53" s="6"/>
      <c r="GZ53" s="6"/>
      <c r="HA53" s="6"/>
      <c r="HB53" s="6"/>
      <c r="HC53" s="6"/>
      <c r="HD53" s="6"/>
      <c r="HE53" s="6"/>
      <c r="HF53" s="6"/>
      <c r="HG53" s="6"/>
      <c r="HH53" s="6"/>
      <c r="HI53" s="6"/>
      <c r="HJ53" s="6"/>
      <c r="HK53" s="6"/>
      <c r="HL53" s="6"/>
      <c r="HM53" s="6"/>
      <c r="HN53" s="6"/>
      <c r="HO53" s="6"/>
      <c r="HP53" s="6"/>
      <c r="HQ53" s="6"/>
      <c r="HR53" s="6"/>
      <c r="HS53" s="6"/>
      <c r="HT53" s="6"/>
      <c r="HU53" s="6"/>
      <c r="HV53" s="6"/>
      <c r="HW53" s="6"/>
      <c r="HX53" s="6"/>
      <c r="HY53" s="6"/>
      <c r="HZ53" s="6"/>
      <c r="IA53" s="6"/>
      <c r="IB53" s="6"/>
      <c r="IC53" s="6"/>
      <c r="ID53" s="6"/>
      <c r="IE53" s="6"/>
      <c r="IF53" s="6"/>
      <c r="IG53" s="6"/>
      <c r="IH53" s="6"/>
      <c r="II53" s="6"/>
      <c r="IJ53" s="6"/>
      <c r="IK53" s="6"/>
      <c r="IL53" s="6"/>
      <c r="IM53" s="6"/>
      <c r="IN53" s="6"/>
      <c r="IO53" s="6"/>
      <c r="IP53" s="6"/>
      <c r="IQ53" s="6"/>
      <c r="IR53" s="6"/>
      <c r="IS53" s="6"/>
      <c r="IT53" s="6"/>
      <c r="IU53" s="6"/>
      <c r="IV53" s="6"/>
      <c r="IW53" s="6"/>
      <c r="IX53" s="6"/>
      <c r="IY53" s="6"/>
      <c r="IZ53" s="6"/>
      <c r="JA53" s="6"/>
      <c r="JB53" s="6"/>
      <c r="JC53" s="6"/>
      <c r="JD53" s="6"/>
      <c r="JE53" s="6"/>
      <c r="JF53" s="6"/>
      <c r="JG53" s="6"/>
      <c r="JH53" s="6"/>
      <c r="JI53" s="6"/>
      <c r="JJ53" s="6"/>
      <c r="JK53" s="6"/>
      <c r="JL53" s="6"/>
      <c r="JM53" s="6"/>
      <c r="JN53" s="6"/>
      <c r="JO53" s="6"/>
      <c r="JP53" s="6"/>
      <c r="JQ53" s="6"/>
      <c r="JR53" s="6"/>
      <c r="JS53" s="6"/>
      <c r="JT53" s="6"/>
      <c r="JU53" s="6"/>
      <c r="JV53" s="6"/>
      <c r="JW53" s="6"/>
      <c r="JX53" s="6"/>
      <c r="JY53" s="6"/>
      <c r="JZ53" s="6"/>
      <c r="KA53" s="6"/>
      <c r="KB53" s="6"/>
      <c r="KC53" s="6"/>
      <c r="KD53" s="6"/>
      <c r="KE53" s="6"/>
      <c r="KF53" s="6"/>
      <c r="KG53" s="6"/>
      <c r="KH53" s="6"/>
      <c r="KI53" s="6"/>
      <c r="KJ53" s="6"/>
      <c r="KK53" s="6"/>
      <c r="KL53" s="6"/>
      <c r="KM53" s="6"/>
      <c r="KN53" s="6"/>
      <c r="KO53" s="6"/>
      <c r="KP53" s="6"/>
      <c r="KQ53" s="6"/>
      <c r="KR53" s="6"/>
      <c r="KS53" s="6"/>
      <c r="KT53" s="6"/>
      <c r="KU53" s="6"/>
      <c r="KV53" s="6"/>
      <c r="KW53" s="6"/>
      <c r="KX53" s="6"/>
      <c r="KY53" s="6"/>
      <c r="KZ53" s="6"/>
      <c r="LA53" s="6"/>
      <c r="LB53" s="6"/>
      <c r="LC53" s="6"/>
      <c r="LD53" s="6"/>
      <c r="LE53" s="6"/>
      <c r="LF53" s="6"/>
      <c r="LG53" s="6"/>
      <c r="LH53" s="6"/>
      <c r="LI53" s="6"/>
      <c r="LJ53" s="6"/>
      <c r="LK53" s="6"/>
      <c r="LL53" s="6"/>
      <c r="LM53" s="6"/>
      <c r="LN53" s="6"/>
      <c r="LO53" s="6"/>
      <c r="LP53" s="6"/>
      <c r="LQ53" s="6"/>
      <c r="LR53" s="6"/>
      <c r="LS53" s="6"/>
      <c r="LT53" s="6"/>
      <c r="LU53" s="6"/>
      <c r="LV53" s="6"/>
      <c r="LW53" s="6"/>
      <c r="LX53" s="6"/>
      <c r="LY53" s="6"/>
      <c r="LZ53" s="6"/>
      <c r="MA53" s="6"/>
      <c r="MB53" s="6"/>
      <c r="MC53" s="6"/>
      <c r="MD53" s="6"/>
      <c r="ME53" s="6"/>
      <c r="MF53" s="6"/>
      <c r="MG53" s="6"/>
      <c r="MH53" s="6"/>
      <c r="MI53" s="6"/>
      <c r="MJ53" s="6"/>
      <c r="MK53" s="6"/>
      <c r="ML53" s="6"/>
      <c r="MM53" s="6"/>
      <c r="MN53" s="6"/>
      <c r="MO53" s="6"/>
      <c r="MP53" s="6"/>
      <c r="MQ53" s="6"/>
      <c r="MR53" s="6"/>
      <c r="MS53" s="6"/>
      <c r="MT53" s="6"/>
      <c r="MU53" s="6"/>
      <c r="MV53" s="6"/>
      <c r="MW53" s="6"/>
      <c r="MX53" s="6"/>
      <c r="MY53" s="6"/>
      <c r="MZ53" s="6"/>
      <c r="NA53" s="6"/>
      <c r="NB53" s="6"/>
      <c r="NC53" s="6"/>
      <c r="ND53" s="6"/>
      <c r="NE53" s="6"/>
      <c r="NF53" s="6"/>
      <c r="NG53" s="6"/>
      <c r="NH53" s="6"/>
      <c r="NI53" s="6"/>
      <c r="NJ53" s="6"/>
      <c r="NK53" s="6"/>
      <c r="NL53" s="6"/>
      <c r="NM53" s="6"/>
      <c r="NN53" s="6"/>
      <c r="NO53" s="6"/>
      <c r="NP53" s="6"/>
      <c r="NQ53" s="6"/>
      <c r="NR53" s="6"/>
      <c r="NS53" s="6"/>
      <c r="NT53" s="6"/>
      <c r="NU53" s="6"/>
      <c r="NV53" s="6"/>
      <c r="NW53" s="6"/>
      <c r="NX53" s="6"/>
      <c r="NY53" s="6"/>
      <c r="NZ53" s="6"/>
      <c r="OA53" s="6"/>
      <c r="OB53" s="6"/>
      <c r="OC53" s="6"/>
      <c r="OD53" s="6"/>
      <c r="OE53" s="6"/>
      <c r="OF53" s="6"/>
      <c r="OG53" s="6"/>
      <c r="OH53" s="6"/>
      <c r="OI53" s="6"/>
      <c r="OJ53" s="6"/>
      <c r="OK53" s="6"/>
      <c r="OL53" s="6"/>
      <c r="OM53" s="6"/>
      <c r="ON53" s="6"/>
      <c r="OO53" s="6"/>
      <c r="OP53" s="6"/>
      <c r="OQ53" s="6"/>
      <c r="OR53" s="6"/>
      <c r="OS53" s="6"/>
      <c r="OT53" s="6"/>
      <c r="OU53" s="6"/>
      <c r="OV53" s="6"/>
      <c r="OW53" s="6"/>
      <c r="OX53" s="6"/>
      <c r="OY53" s="6"/>
      <c r="OZ53" s="6"/>
      <c r="PA53" s="6"/>
      <c r="PB53" s="6"/>
      <c r="PC53" s="6"/>
      <c r="PD53" s="6"/>
      <c r="PE53" s="6"/>
      <c r="PF53" s="6"/>
      <c r="PG53" s="6"/>
      <c r="PH53" s="6"/>
      <c r="PI53" s="6"/>
      <c r="PJ53" s="6"/>
      <c r="PK53" s="6"/>
      <c r="PL53" s="6"/>
      <c r="PM53" s="6"/>
      <c r="PN53" s="6"/>
      <c r="PO53" s="6"/>
      <c r="PP53" s="6"/>
      <c r="PQ53" s="6"/>
      <c r="PR53" s="6"/>
      <c r="PS53" s="6"/>
      <c r="PT53" s="6"/>
      <c r="PU53" s="6"/>
      <c r="PV53" s="6"/>
      <c r="PW53" s="6"/>
      <c r="PX53" s="6"/>
      <c r="PY53" s="6"/>
      <c r="PZ53" s="6"/>
      <c r="QA53" s="6"/>
      <c r="QB53" s="6"/>
      <c r="QC53" s="6"/>
      <c r="QD53" s="6"/>
      <c r="QE53" s="6"/>
      <c r="QF53" s="6"/>
      <c r="QG53" s="6"/>
      <c r="QH53" s="6"/>
      <c r="QI53" s="6"/>
      <c r="QJ53" s="6"/>
      <c r="QK53" s="6"/>
      <c r="QL53" s="6"/>
      <c r="QM53" s="6"/>
      <c r="QN53" s="6"/>
      <c r="QO53" s="6"/>
      <c r="QP53" s="6"/>
      <c r="QQ53" s="6"/>
      <c r="QR53" s="6"/>
      <c r="QS53" s="6"/>
      <c r="QT53" s="6"/>
      <c r="QU53" s="6"/>
      <c r="QV53" s="6"/>
      <c r="QW53" s="6"/>
      <c r="QX53" s="6"/>
      <c r="QY53" s="6"/>
      <c r="QZ53" s="6"/>
      <c r="RA53" s="6"/>
      <c r="RB53" s="6"/>
      <c r="RC53" s="6"/>
      <c r="RD53" s="6"/>
      <c r="RE53" s="6"/>
      <c r="RF53" s="6"/>
      <c r="RG53" s="6"/>
      <c r="RH53" s="6"/>
      <c r="RI53" s="6"/>
      <c r="RJ53" s="6"/>
      <c r="RK53" s="6"/>
      <c r="RL53" s="6"/>
      <c r="RM53" s="6"/>
      <c r="RN53" s="6"/>
      <c r="RO53" s="6"/>
      <c r="RP53" s="6"/>
      <c r="RQ53" s="6"/>
      <c r="RR53" s="6"/>
      <c r="RS53" s="6"/>
      <c r="RT53" s="6"/>
      <c r="RU53" s="6"/>
      <c r="RV53" s="6"/>
      <c r="RW53" s="6"/>
      <c r="RX53" s="6"/>
      <c r="RY53" s="6"/>
      <c r="RZ53" s="6"/>
      <c r="SA53" s="6"/>
      <c r="SB53" s="6"/>
      <c r="SC53" s="6"/>
      <c r="SD53" s="6"/>
      <c r="SE53" s="6"/>
      <c r="SF53" s="6"/>
      <c r="SG53" s="6"/>
      <c r="SH53" s="6"/>
      <c r="SI53" s="6"/>
      <c r="SJ53" s="6"/>
      <c r="SK53" s="6"/>
      <c r="SL53" s="6"/>
      <c r="SM53" s="6"/>
      <c r="SN53" s="6"/>
      <c r="SO53" s="6"/>
      <c r="SP53" s="6"/>
      <c r="SQ53" s="6"/>
      <c r="SR53" s="6"/>
      <c r="SS53" s="6"/>
      <c r="ST53" s="6"/>
      <c r="SU53" s="6"/>
      <c r="SV53" s="6"/>
      <c r="SW53" s="6"/>
      <c r="SX53" s="6"/>
      <c r="SY53" s="6"/>
      <c r="SZ53" s="6"/>
      <c r="TA53" s="6"/>
      <c r="TB53" s="6"/>
      <c r="TC53" s="6"/>
      <c r="TD53" s="6"/>
      <c r="TE53" s="6"/>
      <c r="TF53" s="6"/>
      <c r="TG53" s="6"/>
      <c r="TH53" s="6"/>
      <c r="TI53" s="6"/>
      <c r="TJ53" s="6"/>
      <c r="TK53" s="6"/>
      <c r="TL53" s="6"/>
      <c r="TM53" s="6"/>
      <c r="TN53" s="6"/>
      <c r="TO53" s="6"/>
      <c r="TP53" s="6"/>
      <c r="TQ53" s="6"/>
      <c r="TR53" s="6"/>
      <c r="TS53" s="6"/>
      <c r="TT53" s="6"/>
      <c r="TU53" s="6"/>
      <c r="TV53" s="6"/>
      <c r="TW53" s="6"/>
      <c r="TX53" s="6"/>
      <c r="TY53" s="6"/>
      <c r="TZ53" s="6"/>
      <c r="UA53" s="6"/>
      <c r="UB53" s="6"/>
      <c r="UC53" s="6"/>
      <c r="UD53" s="6"/>
      <c r="UE53" s="6"/>
      <c r="UF53" s="6"/>
      <c r="UG53" s="6"/>
      <c r="UH53" s="6"/>
      <c r="UI53" s="6"/>
      <c r="UJ53" s="6"/>
      <c r="UK53" s="6"/>
      <c r="UL53" s="6"/>
      <c r="UM53" s="6"/>
      <c r="UN53" s="6"/>
      <c r="UO53" s="6"/>
      <c r="UP53" s="6"/>
      <c r="UQ53" s="6"/>
      <c r="UR53" s="6"/>
      <c r="US53" s="6"/>
      <c r="UT53" s="6"/>
      <c r="UU53" s="6"/>
      <c r="UV53" s="6"/>
      <c r="UW53" s="6"/>
      <c r="UX53" s="6"/>
      <c r="UY53" s="6"/>
      <c r="UZ53" s="6"/>
      <c r="VA53" s="6"/>
      <c r="VB53" s="6"/>
      <c r="VC53" s="6"/>
      <c r="VD53" s="6"/>
      <c r="VE53" s="6"/>
      <c r="VF53" s="6"/>
      <c r="VG53" s="6"/>
      <c r="VH53" s="6"/>
      <c r="VI53" s="6"/>
      <c r="VJ53" s="6"/>
      <c r="VK53" s="6"/>
      <c r="VL53" s="6"/>
      <c r="VM53" s="6"/>
      <c r="VN53" s="6"/>
      <c r="VO53" s="6"/>
      <c r="VP53" s="6"/>
      <c r="VQ53" s="6"/>
      <c r="VR53" s="6"/>
      <c r="VS53" s="6"/>
      <c r="VT53" s="6"/>
      <c r="VU53" s="6"/>
      <c r="VV53" s="6"/>
      <c r="VW53" s="6"/>
      <c r="VX53" s="6"/>
      <c r="VY53" s="6"/>
      <c r="VZ53" s="6"/>
      <c r="WA53" s="6"/>
      <c r="WB53" s="6"/>
      <c r="WC53" s="6"/>
      <c r="WD53" s="6"/>
      <c r="WE53" s="6"/>
      <c r="WF53" s="6"/>
      <c r="WG53" s="6"/>
      <c r="WH53" s="6"/>
      <c r="WI53" s="6"/>
      <c r="WJ53" s="6"/>
      <c r="WK53" s="6"/>
      <c r="WL53" s="6"/>
      <c r="WM53" s="6"/>
      <c r="WN53" s="6"/>
      <c r="WO53" s="6"/>
      <c r="WP53" s="6"/>
      <c r="WQ53" s="6"/>
      <c r="WR53" s="6"/>
      <c r="WS53" s="6"/>
      <c r="WT53" s="6"/>
      <c r="WU53" s="6"/>
      <c r="WV53" s="6"/>
      <c r="WW53" s="6"/>
      <c r="WX53" s="6"/>
      <c r="WY53" s="6"/>
      <c r="WZ53" s="6"/>
      <c r="XA53" s="6"/>
      <c r="XB53" s="6"/>
      <c r="XC53" s="6"/>
      <c r="XD53" s="6"/>
      <c r="XE53" s="6"/>
      <c r="XF53" s="6"/>
      <c r="XG53" s="6"/>
      <c r="XH53" s="6"/>
      <c r="XI53" s="6"/>
      <c r="XJ53" s="6"/>
      <c r="XK53" s="6"/>
      <c r="XL53" s="6"/>
      <c r="XM53" s="6"/>
      <c r="XN53" s="6"/>
      <c r="XO53" s="6"/>
      <c r="XP53" s="6"/>
      <c r="XQ53" s="6"/>
      <c r="XR53" s="6"/>
      <c r="XS53" s="6"/>
      <c r="XT53" s="6"/>
      <c r="XU53" s="6"/>
      <c r="XV53" s="6"/>
      <c r="XW53" s="6"/>
      <c r="XX53" s="6"/>
      <c r="XY53" s="6"/>
      <c r="XZ53" s="6"/>
      <c r="YA53" s="6"/>
      <c r="YB53" s="6"/>
      <c r="YC53" s="6"/>
      <c r="YD53" s="6"/>
      <c r="YE53" s="6"/>
      <c r="YF53" s="6"/>
      <c r="YG53" s="6"/>
      <c r="YH53" s="6"/>
      <c r="YI53" s="6"/>
      <c r="YJ53" s="6"/>
      <c r="YK53" s="6"/>
      <c r="YL53" s="6"/>
      <c r="YM53" s="6"/>
      <c r="YN53" s="6"/>
      <c r="YO53" s="6"/>
      <c r="YP53" s="6"/>
      <c r="YQ53" s="6"/>
      <c r="YR53" s="6"/>
      <c r="YS53" s="6"/>
      <c r="YT53" s="6"/>
      <c r="YU53" s="6"/>
      <c r="YV53" s="6"/>
      <c r="YW53" s="6"/>
      <c r="YX53" s="6"/>
      <c r="YY53" s="6"/>
      <c r="YZ53" s="6"/>
      <c r="ZA53" s="6"/>
      <c r="ZB53" s="6"/>
      <c r="ZC53" s="6"/>
      <c r="ZD53" s="6"/>
      <c r="ZE53" s="6"/>
      <c r="ZF53" s="6"/>
      <c r="ZG53" s="6"/>
      <c r="ZH53" s="6"/>
      <c r="ZI53" s="6"/>
      <c r="ZJ53" s="6"/>
      <c r="ZK53" s="6"/>
      <c r="ZL53" s="6"/>
      <c r="ZM53" s="6"/>
      <c r="ZN53" s="6"/>
      <c r="ZO53" s="6"/>
      <c r="ZP53" s="6"/>
      <c r="ZQ53" s="6"/>
      <c r="ZR53" s="6"/>
      <c r="ZS53" s="6"/>
      <c r="ZT53" s="6"/>
      <c r="ZU53" s="6"/>
      <c r="ZV53" s="6"/>
      <c r="ZW53" s="6"/>
      <c r="ZX53" s="6"/>
      <c r="ZY53" s="6"/>
      <c r="ZZ53" s="6"/>
      <c r="AAA53" s="6"/>
      <c r="AAB53" s="6"/>
      <c r="AAC53" s="6"/>
      <c r="AAD53" s="6"/>
      <c r="AAE53" s="6"/>
      <c r="AAF53" s="6"/>
      <c r="AAG53" s="6"/>
      <c r="AAH53" s="6"/>
      <c r="AAI53" s="6"/>
      <c r="AAJ53" s="6"/>
      <c r="AAK53" s="6"/>
      <c r="AAL53" s="6"/>
      <c r="AAM53" s="6"/>
      <c r="AAN53" s="6"/>
      <c r="AAO53" s="6"/>
      <c r="AAP53" s="6"/>
      <c r="AAQ53" s="6"/>
      <c r="AAR53" s="6"/>
      <c r="AAS53" s="6"/>
      <c r="AAT53" s="6"/>
      <c r="AAU53" s="6"/>
      <c r="AAV53" s="6"/>
      <c r="AAW53" s="6"/>
      <c r="AAX53" s="6"/>
      <c r="AAY53" s="6"/>
      <c r="AAZ53" s="6"/>
      <c r="ABA53" s="6"/>
      <c r="ABB53" s="6"/>
      <c r="ABC53" s="6"/>
      <c r="ABD53" s="6"/>
      <c r="ABE53" s="6"/>
      <c r="ABF53" s="6"/>
      <c r="ABG53" s="6"/>
      <c r="ABH53" s="6"/>
      <c r="ABI53" s="6"/>
      <c r="ABJ53" s="6"/>
      <c r="ABK53" s="6"/>
      <c r="ABL53" s="6"/>
      <c r="ABM53" s="6"/>
      <c r="ABN53" s="6"/>
      <c r="ABO53" s="6"/>
      <c r="ABP53" s="6"/>
      <c r="ABQ53" s="6"/>
      <c r="ABR53" s="6"/>
      <c r="ABS53" s="6"/>
      <c r="ABT53" s="6"/>
      <c r="ABU53" s="6"/>
      <c r="ABV53" s="6"/>
      <c r="ABW53" s="6"/>
      <c r="ABX53" s="6"/>
      <c r="ABY53" s="6"/>
      <c r="ABZ53" s="6"/>
      <c r="ACA53" s="6"/>
      <c r="ACB53" s="6"/>
      <c r="ACC53" s="6"/>
      <c r="ACD53" s="6"/>
      <c r="ACE53" s="6"/>
      <c r="ACF53" s="6"/>
      <c r="ACG53" s="6"/>
      <c r="ACH53" s="6"/>
      <c r="ACI53" s="6"/>
      <c r="ACJ53" s="6"/>
      <c r="ACK53" s="6"/>
      <c r="ACL53" s="6"/>
      <c r="ACM53" s="6"/>
      <c r="ACN53" s="6"/>
      <c r="ACO53" s="6"/>
      <c r="ACP53" s="6"/>
      <c r="ACQ53" s="6"/>
      <c r="ACR53" s="6"/>
      <c r="ACS53" s="6"/>
      <c r="ACT53" s="6"/>
      <c r="ACU53" s="6"/>
      <c r="ACV53" s="6"/>
      <c r="ACW53" s="6"/>
      <c r="ACX53" s="6"/>
      <c r="ACY53" s="6"/>
      <c r="ACZ53" s="6"/>
      <c r="ADA53" s="6"/>
      <c r="ADB53" s="6"/>
      <c r="ADC53" s="6"/>
      <c r="ADD53" s="6"/>
      <c r="ADE53" s="6"/>
      <c r="ADF53" s="6"/>
      <c r="ADG53" s="6"/>
      <c r="ADH53" s="6"/>
      <c r="ADI53" s="6"/>
      <c r="ADJ53" s="6"/>
      <c r="ADK53" s="6"/>
      <c r="ADL53" s="6"/>
      <c r="ADM53" s="6"/>
      <c r="ADN53" s="6"/>
      <c r="ADO53" s="6"/>
      <c r="ADP53" s="6"/>
      <c r="ADQ53" s="6"/>
      <c r="ADR53" s="6"/>
      <c r="ADS53" s="6"/>
      <c r="ADT53" s="6"/>
      <c r="ADU53" s="6"/>
      <c r="ADV53" s="6"/>
      <c r="ADW53" s="6"/>
      <c r="ADX53" s="6"/>
      <c r="ADY53" s="6"/>
      <c r="ADZ53" s="6"/>
      <c r="AEA53" s="6"/>
      <c r="AEB53" s="6"/>
      <c r="AEC53" s="6"/>
      <c r="AED53" s="6"/>
      <c r="AEE53" s="6"/>
      <c r="AEF53" s="6"/>
      <c r="AEG53" s="6"/>
      <c r="AEH53" s="6"/>
      <c r="AEI53" s="6"/>
      <c r="AEJ53" s="6"/>
      <c r="AEK53" s="6"/>
      <c r="AEL53" s="6"/>
      <c r="AEM53" s="6"/>
      <c r="AEN53" s="6"/>
      <c r="AEO53" s="6"/>
      <c r="AEP53" s="6"/>
      <c r="AEQ53" s="6"/>
      <c r="AER53" s="6"/>
      <c r="AES53" s="6"/>
      <c r="AET53" s="6"/>
      <c r="AEU53" s="6"/>
      <c r="AEV53" s="6"/>
      <c r="AEW53" s="6"/>
      <c r="AEX53" s="6"/>
      <c r="AEY53" s="6"/>
      <c r="AEZ53" s="6"/>
      <c r="AFA53" s="6"/>
      <c r="AFB53" s="6"/>
      <c r="AFC53" s="6"/>
      <c r="AFD53" s="6"/>
      <c r="AFE53" s="6"/>
      <c r="AFF53" s="6"/>
      <c r="AFG53" s="6"/>
      <c r="AFH53" s="6"/>
      <c r="AFI53" s="6"/>
      <c r="AFJ53" s="6"/>
      <c r="AFK53" s="6"/>
      <c r="AFL53" s="6"/>
      <c r="AFM53" s="6"/>
      <c r="AFN53" s="6"/>
      <c r="AFO53" s="6"/>
      <c r="AFP53" s="6"/>
      <c r="AFQ53" s="6"/>
      <c r="AFR53" s="6"/>
      <c r="AFS53" s="6"/>
      <c r="AFT53" s="6"/>
      <c r="AFU53" s="6"/>
      <c r="AFV53" s="6"/>
      <c r="AFW53" s="6"/>
      <c r="AFX53" s="6"/>
      <c r="AFY53" s="6"/>
      <c r="AFZ53" s="6"/>
      <c r="AGA53" s="6"/>
      <c r="AGB53" s="6"/>
      <c r="AGC53" s="6"/>
      <c r="AGD53" s="6"/>
      <c r="AGE53" s="6"/>
      <c r="AGF53" s="6"/>
      <c r="AGG53" s="6"/>
      <c r="AGH53" s="6"/>
      <c r="AGI53" s="6"/>
      <c r="AGJ53" s="6"/>
      <c r="AGK53" s="6"/>
      <c r="AGL53" s="6"/>
      <c r="AGM53" s="6"/>
      <c r="AGN53" s="6"/>
      <c r="AGO53" s="6"/>
      <c r="AGP53" s="6"/>
      <c r="AGQ53" s="6"/>
      <c r="AGR53" s="6"/>
      <c r="AGS53" s="6"/>
      <c r="AGT53" s="6"/>
      <c r="AGU53" s="6"/>
      <c r="AGV53" s="6"/>
      <c r="AGW53" s="6"/>
      <c r="AGX53" s="6"/>
      <c r="AGY53" s="6"/>
      <c r="AGZ53" s="6"/>
      <c r="AHA53" s="6"/>
      <c r="AHB53" s="6"/>
      <c r="AHC53" s="6"/>
      <c r="AHD53" s="6"/>
      <c r="AHE53" s="6"/>
      <c r="AHF53" s="6"/>
      <c r="AHG53" s="6"/>
      <c r="AHH53" s="6"/>
      <c r="AHI53" s="6"/>
      <c r="AHJ53" s="6"/>
      <c r="AHK53" s="6"/>
      <c r="AHL53" s="6"/>
      <c r="AHM53" s="6"/>
      <c r="AHN53" s="6"/>
      <c r="AHO53" s="6"/>
      <c r="AHP53" s="6"/>
      <c r="AHQ53" s="6"/>
      <c r="AHR53" s="6"/>
      <c r="AHS53" s="6"/>
      <c r="AHT53" s="6"/>
      <c r="AHU53" s="6"/>
      <c r="AHV53" s="6"/>
      <c r="AHW53" s="6"/>
      <c r="AHX53" s="6"/>
      <c r="AHY53" s="6"/>
      <c r="AHZ53" s="6"/>
      <c r="AIA53" s="6"/>
      <c r="AIB53" s="6"/>
      <c r="AIC53" s="6"/>
      <c r="AID53" s="6"/>
      <c r="AIE53" s="6"/>
      <c r="AIF53" s="6"/>
      <c r="AIG53" s="6"/>
      <c r="AIH53" s="6"/>
      <c r="AII53" s="6"/>
      <c r="AIJ53" s="6"/>
      <c r="AIK53" s="6"/>
      <c r="AIL53" s="6"/>
      <c r="AIM53" s="6"/>
      <c r="AIN53" s="6"/>
      <c r="AIO53" s="6"/>
      <c r="AIP53" s="6"/>
      <c r="AIQ53" s="6"/>
      <c r="AIR53" s="6"/>
      <c r="AIS53" s="6"/>
      <c r="AIT53" s="6"/>
      <c r="AIU53" s="6"/>
      <c r="AIV53" s="6"/>
      <c r="AIW53" s="6"/>
      <c r="AIX53" s="6"/>
      <c r="AIY53" s="6"/>
      <c r="AIZ53" s="6"/>
      <c r="AJA53" s="6"/>
      <c r="AJB53" s="6"/>
      <c r="AJC53" s="6"/>
      <c r="AJD53" s="6"/>
      <c r="AJE53" s="6"/>
      <c r="AJF53" s="6"/>
      <c r="AJG53" s="6"/>
      <c r="AJH53" s="6"/>
      <c r="AJI53" s="6"/>
      <c r="AJJ53" s="6"/>
      <c r="AJK53" s="6"/>
      <c r="AJL53" s="6"/>
      <c r="AJM53" s="6"/>
      <c r="AJN53" s="6"/>
      <c r="AJO53" s="6"/>
      <c r="AJP53" s="6"/>
      <c r="AJQ53" s="6"/>
      <c r="AJR53" s="6"/>
      <c r="AJS53" s="6"/>
      <c r="AJT53" s="6"/>
      <c r="AJU53" s="6"/>
      <c r="AJV53" s="6"/>
      <c r="AJW53" s="6"/>
      <c r="AJX53" s="6"/>
      <c r="AJY53" s="6"/>
      <c r="AJZ53" s="6"/>
      <c r="AKA53" s="6"/>
      <c r="AKB53" s="6"/>
      <c r="AKC53" s="6"/>
      <c r="AKD53" s="6"/>
      <c r="AKE53" s="6"/>
      <c r="AKF53" s="6"/>
      <c r="AKG53" s="6"/>
      <c r="AKH53" s="6"/>
      <c r="AKI53" s="6"/>
      <c r="AKJ53" s="6"/>
      <c r="AKK53" s="6"/>
      <c r="AKL53" s="6"/>
      <c r="AKM53" s="6"/>
      <c r="AKN53" s="6"/>
      <c r="AKO53" s="6"/>
      <c r="AKP53" s="6"/>
      <c r="AKQ53" s="6"/>
      <c r="AKR53" s="6"/>
      <c r="AKS53" s="6"/>
      <c r="AKT53" s="6"/>
      <c r="AKU53" s="6"/>
      <c r="AKV53" s="6"/>
      <c r="AKW53" s="6"/>
      <c r="AKX53" s="6"/>
      <c r="AKY53" s="6"/>
      <c r="AKZ53" s="6"/>
      <c r="ALA53" s="6"/>
      <c r="ALB53" s="6"/>
      <c r="ALC53" s="6"/>
      <c r="ALD53" s="6"/>
      <c r="ALE53" s="6"/>
      <c r="ALF53" s="6"/>
      <c r="ALG53" s="6"/>
      <c r="ALH53" s="6"/>
      <c r="ALI53" s="6"/>
      <c r="ALJ53" s="6"/>
      <c r="ALK53" s="6"/>
      <c r="ALL53" s="6"/>
      <c r="ALM53" s="6"/>
      <c r="ALN53" s="6"/>
      <c r="ALO53" s="6"/>
      <c r="ALP53" s="6"/>
      <c r="ALQ53" s="6"/>
      <c r="ALR53" s="6"/>
      <c r="ALS53" s="6"/>
      <c r="ALT53" s="6"/>
      <c r="ALU53" s="6"/>
      <c r="ALV53" s="6"/>
      <c r="ALW53" s="6"/>
    </row>
    <row r="54" spans="2:1011" x14ac:dyDescent="0.25"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39"/>
      <c r="DH54" s="39"/>
      <c r="DI54" s="39"/>
      <c r="DJ54" s="39"/>
      <c r="DK54" s="39"/>
      <c r="DL54" s="39"/>
      <c r="DM54" s="39"/>
      <c r="DN54" s="39"/>
      <c r="DO54" s="39"/>
      <c r="DP54" s="39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39"/>
      <c r="FV54" s="39"/>
      <c r="FW54" s="39"/>
      <c r="FX54" s="39"/>
      <c r="FY54" s="39"/>
      <c r="FZ54" s="39"/>
      <c r="GA54" s="39"/>
      <c r="GB54" s="39"/>
      <c r="GC54" s="39"/>
      <c r="GD54" s="39"/>
      <c r="GE54" s="39"/>
      <c r="GF54" s="39"/>
      <c r="GG54" s="39"/>
      <c r="GH54" s="39"/>
      <c r="GI54" s="39"/>
      <c r="GJ54" s="39"/>
      <c r="GK54" s="39"/>
      <c r="GL54" s="39"/>
      <c r="GM54" s="39"/>
      <c r="GN54" s="39"/>
      <c r="GO54" s="39"/>
      <c r="GP54" s="39"/>
      <c r="GQ54" s="39"/>
      <c r="GR54" s="39"/>
      <c r="GS54" s="39"/>
      <c r="GT54" s="39"/>
      <c r="GU54" s="39"/>
      <c r="GV54" s="39"/>
      <c r="GW54" s="39"/>
      <c r="GX54" s="39"/>
      <c r="GY54" s="39"/>
      <c r="GZ54" s="39"/>
      <c r="HA54" s="39"/>
      <c r="HB54" s="39"/>
      <c r="HC54" s="39"/>
      <c r="HD54" s="39"/>
      <c r="HE54" s="39"/>
      <c r="HF54" s="39"/>
      <c r="HG54" s="39"/>
      <c r="HH54" s="39"/>
      <c r="HI54" s="39"/>
      <c r="HJ54" s="39"/>
      <c r="HK54" s="39"/>
      <c r="HL54" s="39"/>
      <c r="HM54" s="39"/>
      <c r="HN54" s="39"/>
      <c r="HO54" s="39"/>
      <c r="HP54" s="39"/>
      <c r="HQ54" s="39"/>
      <c r="HR54" s="39"/>
      <c r="HS54" s="39"/>
      <c r="HT54" s="39"/>
      <c r="HU54" s="39"/>
      <c r="HV54" s="39"/>
      <c r="HW54" s="39"/>
      <c r="HX54" s="39"/>
      <c r="HY54" s="39"/>
      <c r="HZ54" s="39"/>
      <c r="IA54" s="39"/>
      <c r="IB54" s="39"/>
      <c r="IC54" s="39"/>
      <c r="ID54" s="39"/>
      <c r="IE54" s="39"/>
      <c r="IF54" s="39"/>
      <c r="IG54" s="39"/>
      <c r="IH54" s="39"/>
      <c r="II54" s="39"/>
      <c r="IJ54" s="39"/>
      <c r="IK54" s="39"/>
      <c r="IL54" s="39"/>
      <c r="IM54" s="39"/>
      <c r="IN54" s="39"/>
      <c r="IO54" s="39"/>
      <c r="IP54" s="39"/>
      <c r="IQ54" s="39"/>
      <c r="IR54" s="39"/>
      <c r="IS54" s="39"/>
      <c r="IT54" s="39"/>
      <c r="IU54" s="39"/>
      <c r="IV54" s="39"/>
      <c r="IW54" s="39"/>
      <c r="IX54" s="39"/>
      <c r="IY54" s="39"/>
      <c r="IZ54" s="39"/>
      <c r="JA54" s="39"/>
      <c r="JB54" s="39"/>
      <c r="JC54" s="39"/>
      <c r="JD54" s="39"/>
      <c r="JE54" s="39"/>
      <c r="JF54" s="39"/>
      <c r="JG54" s="39"/>
      <c r="JH54" s="39"/>
      <c r="JI54" s="39"/>
      <c r="JJ54" s="39"/>
      <c r="JK54" s="39"/>
      <c r="JL54" s="39"/>
      <c r="JM54" s="39"/>
      <c r="JN54" s="39"/>
      <c r="JO54" s="39"/>
      <c r="JP54" s="39"/>
      <c r="JQ54" s="39"/>
      <c r="JR54" s="39"/>
      <c r="JS54" s="39"/>
      <c r="JT54" s="39"/>
      <c r="JU54" s="39"/>
      <c r="JV54" s="39"/>
      <c r="JW54" s="39"/>
      <c r="JX54" s="39"/>
      <c r="JY54" s="39"/>
      <c r="JZ54" s="39"/>
      <c r="KA54" s="39"/>
      <c r="KB54" s="39"/>
      <c r="KC54" s="39"/>
      <c r="KD54" s="39"/>
      <c r="KE54" s="39"/>
      <c r="KF54" s="39"/>
      <c r="KG54" s="39"/>
      <c r="KH54" s="39"/>
      <c r="KI54" s="39"/>
      <c r="KJ54" s="39"/>
      <c r="KK54" s="39"/>
      <c r="KL54" s="39"/>
      <c r="KM54" s="39"/>
      <c r="KN54" s="39"/>
      <c r="KO54" s="39"/>
      <c r="KP54" s="39"/>
      <c r="KQ54" s="39"/>
      <c r="KR54" s="39"/>
      <c r="KS54" s="39"/>
      <c r="KT54" s="39"/>
      <c r="KU54" s="39"/>
      <c r="KV54" s="39"/>
      <c r="KW54" s="39"/>
      <c r="KX54" s="39"/>
      <c r="KY54" s="39"/>
      <c r="KZ54" s="39"/>
      <c r="LA54" s="39"/>
      <c r="LB54" s="39"/>
      <c r="LC54" s="39"/>
      <c r="LD54" s="39"/>
      <c r="LE54" s="39"/>
      <c r="LF54" s="39"/>
      <c r="LG54" s="39"/>
      <c r="LH54" s="39"/>
      <c r="LI54" s="39"/>
      <c r="LJ54" s="39"/>
      <c r="LK54" s="39"/>
      <c r="LL54" s="39"/>
      <c r="LM54" s="39"/>
      <c r="LN54" s="39"/>
      <c r="LO54" s="39"/>
      <c r="LP54" s="39"/>
      <c r="LQ54" s="39"/>
      <c r="LR54" s="39"/>
      <c r="LS54" s="39"/>
      <c r="LT54" s="39"/>
      <c r="LU54" s="39"/>
      <c r="LV54" s="39"/>
      <c r="LW54" s="39"/>
      <c r="LX54" s="39"/>
      <c r="LY54" s="39"/>
      <c r="LZ54" s="39"/>
      <c r="MA54" s="39"/>
      <c r="MB54" s="39"/>
      <c r="MC54" s="39"/>
      <c r="MD54" s="39"/>
      <c r="ME54" s="39"/>
      <c r="MF54" s="39"/>
      <c r="MG54" s="39"/>
      <c r="MH54" s="39"/>
      <c r="MI54" s="39"/>
      <c r="MJ54" s="39"/>
      <c r="MK54" s="39"/>
      <c r="ML54" s="39"/>
      <c r="MM54" s="39"/>
      <c r="MN54" s="39"/>
      <c r="MO54" s="39"/>
      <c r="MP54" s="39"/>
      <c r="MQ54" s="39"/>
      <c r="MR54" s="39"/>
      <c r="MS54" s="39"/>
      <c r="MT54" s="39"/>
      <c r="MU54" s="39"/>
      <c r="MV54" s="39"/>
      <c r="MW54" s="39"/>
      <c r="MX54" s="39"/>
      <c r="MY54" s="39"/>
      <c r="MZ54" s="39"/>
      <c r="NA54" s="39"/>
      <c r="NB54" s="39"/>
      <c r="NC54" s="39"/>
      <c r="ND54" s="39"/>
      <c r="NE54" s="39"/>
      <c r="NF54" s="39"/>
      <c r="NG54" s="39"/>
      <c r="NH54" s="39"/>
      <c r="NI54" s="39"/>
      <c r="NJ54" s="39"/>
      <c r="NK54" s="39"/>
      <c r="NL54" s="39"/>
      <c r="NM54" s="39"/>
      <c r="NN54" s="39"/>
      <c r="NO54" s="39"/>
      <c r="NP54" s="39"/>
      <c r="NQ54" s="39"/>
      <c r="NR54" s="39"/>
      <c r="NS54" s="39"/>
      <c r="NT54" s="39"/>
      <c r="NU54" s="39"/>
      <c r="NV54" s="39"/>
      <c r="NW54" s="39"/>
      <c r="NX54" s="39"/>
      <c r="NY54" s="39"/>
      <c r="NZ54" s="39"/>
      <c r="OA54" s="39"/>
      <c r="OB54" s="39"/>
      <c r="OC54" s="39"/>
      <c r="OD54" s="39"/>
      <c r="OE54" s="39"/>
      <c r="OF54" s="39"/>
      <c r="OG54" s="39"/>
      <c r="OH54" s="39"/>
      <c r="OI54" s="39"/>
      <c r="OJ54" s="39"/>
      <c r="OK54" s="39"/>
      <c r="OL54" s="39"/>
      <c r="OM54" s="39"/>
      <c r="ON54" s="39"/>
      <c r="OO54" s="39"/>
      <c r="OP54" s="39"/>
      <c r="OQ54" s="39"/>
      <c r="OR54" s="39"/>
      <c r="OS54" s="39"/>
      <c r="OT54" s="39"/>
      <c r="OU54" s="39"/>
      <c r="OV54" s="39"/>
      <c r="OW54" s="39"/>
      <c r="OX54" s="39"/>
      <c r="OY54" s="39"/>
      <c r="OZ54" s="39"/>
      <c r="PA54" s="39"/>
      <c r="PB54" s="39"/>
      <c r="PC54" s="39"/>
      <c r="PD54" s="39"/>
      <c r="PE54" s="39"/>
      <c r="PF54" s="39"/>
      <c r="PG54" s="39"/>
      <c r="PH54" s="39"/>
      <c r="PI54" s="39"/>
      <c r="PJ54" s="39"/>
      <c r="PK54" s="39"/>
      <c r="PL54" s="39"/>
      <c r="PM54" s="39"/>
      <c r="PN54" s="39"/>
      <c r="PO54" s="39"/>
      <c r="PP54" s="39"/>
      <c r="PQ54" s="39"/>
      <c r="PR54" s="39"/>
      <c r="PS54" s="39"/>
      <c r="PT54" s="39"/>
      <c r="PU54" s="39"/>
      <c r="PV54" s="39"/>
      <c r="PW54" s="39"/>
      <c r="PX54" s="39"/>
      <c r="PY54" s="39"/>
      <c r="PZ54" s="39"/>
      <c r="QA54" s="39"/>
      <c r="QB54" s="39"/>
      <c r="QC54" s="39"/>
      <c r="QD54" s="39"/>
      <c r="QE54" s="39"/>
      <c r="QF54" s="39"/>
      <c r="QG54" s="39"/>
      <c r="QH54" s="39"/>
      <c r="QI54" s="39"/>
      <c r="QJ54" s="39"/>
      <c r="QK54" s="39"/>
      <c r="QL54" s="39"/>
      <c r="QM54" s="39"/>
      <c r="QN54" s="39"/>
      <c r="QO54" s="39"/>
      <c r="QP54" s="39"/>
      <c r="QQ54" s="39"/>
      <c r="QR54" s="39"/>
      <c r="QS54" s="39"/>
      <c r="QT54" s="39"/>
      <c r="QU54" s="39"/>
      <c r="QV54" s="39"/>
      <c r="QW54" s="39"/>
      <c r="QX54" s="39"/>
      <c r="QY54" s="39"/>
      <c r="QZ54" s="39"/>
      <c r="RA54" s="39"/>
      <c r="RB54" s="39"/>
      <c r="RC54" s="39"/>
      <c r="RD54" s="39"/>
      <c r="RE54" s="39"/>
      <c r="RF54" s="39"/>
      <c r="RG54" s="39"/>
      <c r="RH54" s="39"/>
      <c r="RI54" s="39"/>
      <c r="RJ54" s="39"/>
      <c r="RK54" s="39"/>
      <c r="RL54" s="39"/>
      <c r="RM54" s="39"/>
      <c r="RN54" s="39"/>
      <c r="RO54" s="39"/>
      <c r="RP54" s="39"/>
      <c r="RQ54" s="39"/>
      <c r="RR54" s="39"/>
      <c r="RS54" s="39"/>
      <c r="RT54" s="39"/>
      <c r="RU54" s="39"/>
      <c r="RV54" s="39"/>
      <c r="RW54" s="39"/>
      <c r="RX54" s="39"/>
      <c r="RY54" s="39"/>
      <c r="RZ54" s="39"/>
      <c r="SA54" s="39"/>
      <c r="SB54" s="39"/>
      <c r="SC54" s="39"/>
      <c r="SD54" s="39"/>
      <c r="SE54" s="39"/>
      <c r="SF54" s="39"/>
      <c r="SG54" s="39"/>
      <c r="SH54" s="39"/>
      <c r="SI54" s="39"/>
      <c r="SJ54" s="39"/>
      <c r="SK54" s="39"/>
      <c r="SL54" s="39"/>
      <c r="SM54" s="39"/>
      <c r="SN54" s="39"/>
      <c r="SO54" s="39"/>
      <c r="SP54" s="39"/>
      <c r="SQ54" s="39"/>
      <c r="SR54" s="39"/>
      <c r="SS54" s="39"/>
      <c r="ST54" s="39"/>
      <c r="SU54" s="39"/>
      <c r="SV54" s="39"/>
      <c r="SW54" s="39"/>
      <c r="SX54" s="39"/>
      <c r="SY54" s="39"/>
      <c r="SZ54" s="39"/>
      <c r="TA54" s="39"/>
      <c r="TB54" s="39"/>
      <c r="TC54" s="39"/>
      <c r="TD54" s="39"/>
      <c r="TE54" s="39"/>
      <c r="TF54" s="39"/>
      <c r="TG54" s="39"/>
      <c r="TH54" s="39"/>
      <c r="TI54" s="39"/>
      <c r="TJ54" s="39"/>
      <c r="TK54" s="39"/>
      <c r="TL54" s="39"/>
      <c r="TM54" s="39"/>
      <c r="TN54" s="39"/>
      <c r="TO54" s="39"/>
      <c r="TP54" s="39"/>
      <c r="TQ54" s="39"/>
      <c r="TR54" s="39"/>
      <c r="TS54" s="39"/>
      <c r="TT54" s="39"/>
      <c r="TU54" s="39"/>
      <c r="TV54" s="39"/>
      <c r="TW54" s="39"/>
      <c r="TX54" s="39"/>
      <c r="TY54" s="39"/>
      <c r="TZ54" s="39"/>
      <c r="UA54" s="39"/>
      <c r="UB54" s="39"/>
      <c r="UC54" s="39"/>
      <c r="UD54" s="39"/>
      <c r="UE54" s="39"/>
      <c r="UF54" s="39"/>
      <c r="UG54" s="39"/>
      <c r="UH54" s="39"/>
      <c r="UI54" s="39"/>
      <c r="UJ54" s="39"/>
      <c r="UK54" s="39"/>
      <c r="UL54" s="39"/>
      <c r="UM54" s="39"/>
      <c r="UN54" s="39"/>
      <c r="UO54" s="39"/>
      <c r="UP54" s="39"/>
      <c r="UQ54" s="39"/>
      <c r="UR54" s="39"/>
      <c r="US54" s="39"/>
      <c r="UT54" s="39"/>
      <c r="UU54" s="39"/>
      <c r="UV54" s="39"/>
      <c r="UW54" s="39"/>
      <c r="UX54" s="39"/>
      <c r="UY54" s="39"/>
      <c r="UZ54" s="39"/>
      <c r="VA54" s="39"/>
      <c r="VB54" s="39"/>
      <c r="VC54" s="39"/>
      <c r="VD54" s="39"/>
      <c r="VE54" s="39"/>
      <c r="VF54" s="39"/>
      <c r="VG54" s="39"/>
      <c r="VH54" s="39"/>
      <c r="VI54" s="39"/>
      <c r="VJ54" s="39"/>
      <c r="VK54" s="39"/>
      <c r="VL54" s="39"/>
      <c r="VM54" s="39"/>
      <c r="VN54" s="39"/>
      <c r="VO54" s="39"/>
      <c r="VP54" s="39"/>
      <c r="VQ54" s="39"/>
      <c r="VR54" s="39"/>
      <c r="VS54" s="39"/>
      <c r="VT54" s="39"/>
      <c r="VU54" s="39"/>
      <c r="VV54" s="39"/>
      <c r="VW54" s="39"/>
      <c r="VX54" s="39"/>
      <c r="VY54" s="39"/>
      <c r="VZ54" s="39"/>
      <c r="WA54" s="39"/>
      <c r="WB54" s="39"/>
      <c r="WC54" s="39"/>
      <c r="WD54" s="39"/>
      <c r="WE54" s="39"/>
      <c r="WF54" s="39"/>
      <c r="WG54" s="39"/>
      <c r="WH54" s="39"/>
      <c r="WI54" s="39"/>
      <c r="WJ54" s="39"/>
      <c r="WK54" s="39"/>
      <c r="WL54" s="39"/>
      <c r="WM54" s="39"/>
      <c r="WN54" s="39"/>
      <c r="WO54" s="39"/>
      <c r="WP54" s="39"/>
      <c r="WQ54" s="39"/>
      <c r="WR54" s="39"/>
      <c r="WS54" s="39"/>
      <c r="WT54" s="39"/>
      <c r="WU54" s="39"/>
      <c r="WV54" s="39"/>
      <c r="WW54" s="39"/>
      <c r="WX54" s="39"/>
      <c r="WY54" s="39"/>
      <c r="WZ54" s="39"/>
      <c r="XA54" s="39"/>
      <c r="XB54" s="39"/>
      <c r="XC54" s="39"/>
      <c r="XD54" s="39"/>
      <c r="XE54" s="39"/>
      <c r="XF54" s="39"/>
      <c r="XG54" s="39"/>
      <c r="XH54" s="39"/>
      <c r="XI54" s="39"/>
      <c r="XJ54" s="39"/>
      <c r="XK54" s="39"/>
      <c r="XL54" s="39"/>
      <c r="XM54" s="39"/>
      <c r="XN54" s="39"/>
      <c r="XO54" s="39"/>
      <c r="XP54" s="39"/>
      <c r="XQ54" s="39"/>
      <c r="XR54" s="39"/>
      <c r="XS54" s="39"/>
      <c r="XT54" s="39"/>
      <c r="XU54" s="39"/>
      <c r="XV54" s="39"/>
      <c r="XW54" s="39"/>
      <c r="XX54" s="39"/>
      <c r="XY54" s="39"/>
      <c r="XZ54" s="39"/>
      <c r="YA54" s="39"/>
      <c r="YB54" s="39"/>
      <c r="YC54" s="39"/>
      <c r="YD54" s="39"/>
      <c r="YE54" s="39"/>
      <c r="YF54" s="39"/>
      <c r="YG54" s="39"/>
      <c r="YH54" s="39"/>
      <c r="YI54" s="39"/>
      <c r="YJ54" s="39"/>
      <c r="YK54" s="39"/>
      <c r="YL54" s="39"/>
      <c r="YM54" s="39"/>
      <c r="YN54" s="39"/>
      <c r="YO54" s="39"/>
      <c r="YP54" s="39"/>
      <c r="YQ54" s="39"/>
      <c r="YR54" s="39"/>
      <c r="YS54" s="39"/>
      <c r="YT54" s="39"/>
      <c r="YU54" s="39"/>
      <c r="YV54" s="39"/>
      <c r="YW54" s="39"/>
      <c r="YX54" s="39"/>
      <c r="YY54" s="39"/>
      <c r="YZ54" s="39"/>
      <c r="ZA54" s="39"/>
      <c r="ZB54" s="39"/>
      <c r="ZC54" s="39"/>
      <c r="ZD54" s="39"/>
      <c r="ZE54" s="39"/>
      <c r="ZF54" s="39"/>
      <c r="ZG54" s="39"/>
      <c r="ZH54" s="39"/>
      <c r="ZI54" s="39"/>
      <c r="ZJ54" s="39"/>
      <c r="ZK54" s="39"/>
      <c r="ZL54" s="39"/>
      <c r="ZM54" s="39"/>
      <c r="ZN54" s="39"/>
      <c r="ZO54" s="39"/>
      <c r="ZP54" s="39"/>
      <c r="ZQ54" s="39"/>
      <c r="ZR54" s="39"/>
      <c r="ZS54" s="39"/>
      <c r="ZT54" s="39"/>
      <c r="ZU54" s="39"/>
      <c r="ZV54" s="39"/>
      <c r="ZW54" s="39"/>
      <c r="ZX54" s="39"/>
      <c r="ZY54" s="39"/>
      <c r="ZZ54" s="39"/>
      <c r="AAA54" s="39"/>
      <c r="AAB54" s="39"/>
      <c r="AAC54" s="39"/>
      <c r="AAD54" s="39"/>
      <c r="AAE54" s="39"/>
      <c r="AAF54" s="39"/>
      <c r="AAG54" s="39"/>
      <c r="AAH54" s="39"/>
      <c r="AAI54" s="39"/>
      <c r="AAJ54" s="39"/>
      <c r="AAK54" s="39"/>
      <c r="AAL54" s="39"/>
      <c r="AAM54" s="39"/>
      <c r="AAN54" s="39"/>
      <c r="AAO54" s="39"/>
      <c r="AAP54" s="39"/>
      <c r="AAQ54" s="39"/>
      <c r="AAR54" s="39"/>
      <c r="AAS54" s="39"/>
      <c r="AAT54" s="39"/>
      <c r="AAU54" s="39"/>
      <c r="AAV54" s="39"/>
      <c r="AAW54" s="39"/>
      <c r="AAX54" s="39"/>
      <c r="AAY54" s="39"/>
      <c r="AAZ54" s="39"/>
      <c r="ABA54" s="39"/>
      <c r="ABB54" s="39"/>
      <c r="ABC54" s="39"/>
      <c r="ABD54" s="39"/>
      <c r="ABE54" s="39"/>
      <c r="ABF54" s="39"/>
      <c r="ABG54" s="39"/>
      <c r="ABH54" s="39"/>
      <c r="ABI54" s="39"/>
      <c r="ABJ54" s="39"/>
      <c r="ABK54" s="39"/>
      <c r="ABL54" s="39"/>
      <c r="ABM54" s="39"/>
      <c r="ABN54" s="39"/>
      <c r="ABO54" s="39"/>
      <c r="ABP54" s="39"/>
      <c r="ABQ54" s="39"/>
      <c r="ABR54" s="39"/>
      <c r="ABS54" s="39"/>
      <c r="ABT54" s="39"/>
      <c r="ABU54" s="39"/>
      <c r="ABV54" s="39"/>
      <c r="ABW54" s="39"/>
      <c r="ABX54" s="39"/>
      <c r="ABY54" s="39"/>
      <c r="ABZ54" s="39"/>
      <c r="ACA54" s="39"/>
      <c r="ACB54" s="39"/>
      <c r="ACC54" s="39"/>
      <c r="ACD54" s="39"/>
      <c r="ACE54" s="39"/>
      <c r="ACF54" s="39"/>
      <c r="ACG54" s="39"/>
      <c r="ACH54" s="39"/>
      <c r="ACI54" s="39"/>
      <c r="ACJ54" s="39"/>
      <c r="ACK54" s="39"/>
      <c r="ACL54" s="39"/>
      <c r="ACM54" s="39"/>
      <c r="ACN54" s="39"/>
      <c r="ACO54" s="39"/>
      <c r="ACP54" s="39"/>
      <c r="ACQ54" s="39"/>
      <c r="ACR54" s="39"/>
      <c r="ACS54" s="39"/>
      <c r="ACT54" s="39"/>
      <c r="ACU54" s="39"/>
      <c r="ACV54" s="39"/>
      <c r="ACW54" s="39"/>
      <c r="ACX54" s="39"/>
      <c r="ACY54" s="39"/>
      <c r="ACZ54" s="39"/>
      <c r="ADA54" s="39"/>
      <c r="ADB54" s="39"/>
      <c r="ADC54" s="39"/>
      <c r="ADD54" s="39"/>
      <c r="ADE54" s="39"/>
      <c r="ADF54" s="39"/>
      <c r="ADG54" s="39"/>
      <c r="ADH54" s="39"/>
      <c r="ADI54" s="39"/>
      <c r="ADJ54" s="39"/>
      <c r="ADK54" s="39"/>
      <c r="ADL54" s="39"/>
      <c r="ADM54" s="39"/>
      <c r="ADN54" s="39"/>
      <c r="ADO54" s="39"/>
      <c r="ADP54" s="39"/>
      <c r="ADQ54" s="39"/>
      <c r="ADR54" s="39"/>
      <c r="ADS54" s="39"/>
      <c r="ADT54" s="39"/>
      <c r="ADU54" s="39"/>
      <c r="ADV54" s="39"/>
      <c r="ADW54" s="39"/>
      <c r="ADX54" s="39"/>
      <c r="ADY54" s="39"/>
      <c r="ADZ54" s="39"/>
      <c r="AEA54" s="39"/>
      <c r="AEB54" s="39"/>
      <c r="AEC54" s="39"/>
      <c r="AED54" s="39"/>
      <c r="AEE54" s="39"/>
      <c r="AEF54" s="39"/>
      <c r="AEG54" s="39"/>
      <c r="AEH54" s="39"/>
      <c r="AEI54" s="39"/>
      <c r="AEJ54" s="39"/>
      <c r="AEK54" s="39"/>
      <c r="AEL54" s="39"/>
      <c r="AEM54" s="39"/>
      <c r="AEN54" s="39"/>
      <c r="AEO54" s="39"/>
      <c r="AEP54" s="39"/>
      <c r="AEQ54" s="39"/>
      <c r="AER54" s="39"/>
      <c r="AES54" s="39"/>
      <c r="AET54" s="39"/>
      <c r="AEU54" s="39"/>
      <c r="AEV54" s="39"/>
      <c r="AEW54" s="39"/>
      <c r="AEX54" s="39"/>
      <c r="AEY54" s="39"/>
      <c r="AEZ54" s="39"/>
      <c r="AFA54" s="39"/>
      <c r="AFB54" s="39"/>
      <c r="AFC54" s="39"/>
      <c r="AFD54" s="39"/>
      <c r="AFE54" s="39"/>
      <c r="AFF54" s="39"/>
      <c r="AFG54" s="39"/>
      <c r="AFH54" s="39"/>
      <c r="AFI54" s="39"/>
      <c r="AFJ54" s="39"/>
      <c r="AFK54" s="39"/>
      <c r="AFL54" s="39"/>
      <c r="AFM54" s="39"/>
      <c r="AFN54" s="39"/>
      <c r="AFO54" s="39"/>
      <c r="AFP54" s="39"/>
      <c r="AFQ54" s="39"/>
      <c r="AFR54" s="39"/>
      <c r="AFS54" s="39"/>
      <c r="AFT54" s="39"/>
      <c r="AFU54" s="39"/>
      <c r="AFV54" s="39"/>
      <c r="AFW54" s="39"/>
      <c r="AFX54" s="39"/>
      <c r="AFY54" s="39"/>
      <c r="AFZ54" s="39"/>
      <c r="AGA54" s="39"/>
      <c r="AGB54" s="39"/>
      <c r="AGC54" s="39"/>
      <c r="AGD54" s="39"/>
      <c r="AGE54" s="39"/>
      <c r="AGF54" s="39"/>
      <c r="AGG54" s="39"/>
      <c r="AGH54" s="39"/>
      <c r="AGI54" s="39"/>
      <c r="AGJ54" s="39"/>
      <c r="AGK54" s="39"/>
      <c r="AGL54" s="39"/>
      <c r="AGM54" s="39"/>
      <c r="AGN54" s="39"/>
      <c r="AGO54" s="39"/>
      <c r="AGP54" s="39"/>
      <c r="AGQ54" s="39"/>
      <c r="AGR54" s="39"/>
      <c r="AGS54" s="39"/>
      <c r="AGT54" s="39"/>
      <c r="AGU54" s="39"/>
      <c r="AGV54" s="39"/>
      <c r="AGW54" s="39"/>
      <c r="AGX54" s="39"/>
      <c r="AGY54" s="39"/>
      <c r="AGZ54" s="39"/>
      <c r="AHA54" s="39"/>
      <c r="AHB54" s="39"/>
      <c r="AHC54" s="39"/>
      <c r="AHD54" s="39"/>
      <c r="AHE54" s="39"/>
      <c r="AHF54" s="39"/>
      <c r="AHG54" s="39"/>
      <c r="AHH54" s="39"/>
      <c r="AHI54" s="39"/>
      <c r="AHJ54" s="39"/>
      <c r="AHK54" s="39"/>
      <c r="AHL54" s="39"/>
      <c r="AHM54" s="39"/>
      <c r="AHN54" s="39"/>
      <c r="AHO54" s="39"/>
      <c r="AHP54" s="39"/>
      <c r="AHQ54" s="39"/>
      <c r="AHR54" s="39"/>
      <c r="AHS54" s="39"/>
      <c r="AHT54" s="39"/>
      <c r="AHU54" s="39"/>
      <c r="AHV54" s="39"/>
      <c r="AHW54" s="39"/>
      <c r="AHX54" s="39"/>
      <c r="AHY54" s="39"/>
      <c r="AHZ54" s="39"/>
      <c r="AIA54" s="39"/>
      <c r="AIB54" s="39"/>
      <c r="AIC54" s="39"/>
      <c r="AID54" s="39"/>
      <c r="AIE54" s="39"/>
      <c r="AIF54" s="39"/>
      <c r="AIG54" s="39"/>
      <c r="AIH54" s="39"/>
      <c r="AII54" s="39"/>
      <c r="AIJ54" s="39"/>
      <c r="AIK54" s="39"/>
      <c r="AIL54" s="39"/>
      <c r="AIM54" s="39"/>
      <c r="AIN54" s="39"/>
      <c r="AIO54" s="39"/>
      <c r="AIP54" s="39"/>
      <c r="AIQ54" s="39"/>
      <c r="AIR54" s="39"/>
      <c r="AIS54" s="39"/>
      <c r="AIT54" s="39"/>
      <c r="AIU54" s="39"/>
      <c r="AIV54" s="39"/>
      <c r="AIW54" s="39"/>
      <c r="AIX54" s="39"/>
      <c r="AIY54" s="39"/>
      <c r="AIZ54" s="39"/>
      <c r="AJA54" s="39"/>
      <c r="AJB54" s="39"/>
      <c r="AJC54" s="39"/>
      <c r="AJD54" s="39"/>
      <c r="AJE54" s="39"/>
      <c r="AJF54" s="39"/>
      <c r="AJG54" s="39"/>
      <c r="AJH54" s="39"/>
      <c r="AJI54" s="39"/>
      <c r="AJJ54" s="39"/>
      <c r="AJK54" s="39"/>
      <c r="AJL54" s="39"/>
      <c r="AJM54" s="39"/>
      <c r="AJN54" s="39"/>
      <c r="AJO54" s="39"/>
      <c r="AJP54" s="39"/>
      <c r="AJQ54" s="39"/>
      <c r="AJR54" s="39"/>
      <c r="AJS54" s="39"/>
      <c r="AJT54" s="39"/>
      <c r="AJU54" s="39"/>
      <c r="AJV54" s="39"/>
      <c r="AJW54" s="39"/>
      <c r="AJX54" s="39"/>
      <c r="AJY54" s="39"/>
      <c r="AJZ54" s="39"/>
      <c r="AKA54" s="39"/>
      <c r="AKB54" s="39"/>
      <c r="AKC54" s="39"/>
      <c r="AKD54" s="39"/>
      <c r="AKE54" s="39"/>
      <c r="AKF54" s="39"/>
      <c r="AKG54" s="39"/>
      <c r="AKH54" s="39"/>
      <c r="AKI54" s="39"/>
      <c r="AKJ54" s="39"/>
      <c r="AKK54" s="39"/>
      <c r="AKL54" s="39"/>
      <c r="AKM54" s="39"/>
      <c r="AKN54" s="39"/>
      <c r="AKO54" s="39"/>
      <c r="AKP54" s="39"/>
      <c r="AKQ54" s="39"/>
      <c r="AKR54" s="39"/>
      <c r="AKS54" s="39"/>
      <c r="AKT54" s="39"/>
      <c r="AKU54" s="39"/>
      <c r="AKV54" s="39"/>
      <c r="AKW54" s="39"/>
      <c r="AKX54" s="39"/>
      <c r="AKY54" s="39"/>
      <c r="AKZ54" s="39"/>
      <c r="ALA54" s="39"/>
      <c r="ALB54" s="39"/>
      <c r="ALC54" s="39"/>
      <c r="ALD54" s="39"/>
      <c r="ALE54" s="39"/>
      <c r="ALF54" s="39"/>
      <c r="ALG54" s="39"/>
      <c r="ALH54" s="39"/>
      <c r="ALI54" s="39"/>
      <c r="ALJ54" s="39"/>
      <c r="ALK54" s="39"/>
      <c r="ALL54" s="39"/>
      <c r="ALM54" s="39"/>
      <c r="ALN54" s="39"/>
      <c r="ALO54" s="39"/>
      <c r="ALP54" s="39"/>
      <c r="ALQ54" s="39"/>
      <c r="ALR54" s="39"/>
      <c r="ALS54" s="39"/>
      <c r="ALT54" s="39"/>
      <c r="ALU54" s="39"/>
      <c r="ALV54" s="39"/>
      <c r="ALW54" s="39"/>
    </row>
    <row r="55" spans="2:1011" x14ac:dyDescent="0.25">
      <c r="B55" s="9" t="s">
        <v>69</v>
      </c>
      <c r="C55" s="5"/>
      <c r="D55" s="6">
        <f t="shared" ref="D55:BO55" si="1278">SUM(D56:D61)</f>
        <v>-11.842000000000001</v>
      </c>
      <c r="E55" s="6">
        <f t="shared" si="1278"/>
        <v>-11.842000000000001</v>
      </c>
      <c r="F55" s="6">
        <f t="shared" si="1278"/>
        <v>-11.842000000000001</v>
      </c>
      <c r="G55" s="6">
        <f t="shared" si="1278"/>
        <v>-11.842000000000001</v>
      </c>
      <c r="H55" s="6">
        <f t="shared" si="1278"/>
        <v>-9.9420000000000002</v>
      </c>
      <c r="I55" s="6">
        <f t="shared" si="1278"/>
        <v>-9.9420000000000002</v>
      </c>
      <c r="J55" s="6">
        <f t="shared" si="1278"/>
        <v>-0.9220000000000006</v>
      </c>
      <c r="K55" s="6">
        <f t="shared" si="1278"/>
        <v>-2.8219999999999992</v>
      </c>
      <c r="L55" s="6">
        <f t="shared" si="1278"/>
        <v>-2.8219999999999992</v>
      </c>
      <c r="M55" s="6">
        <f t="shared" si="1278"/>
        <v>-2.8219999999999992</v>
      </c>
      <c r="N55" s="6">
        <f t="shared" si="1278"/>
        <v>-11.842000000000001</v>
      </c>
      <c r="O55" s="6">
        <f t="shared" si="1278"/>
        <v>-11.842000000000001</v>
      </c>
      <c r="P55" s="6">
        <f t="shared" si="1278"/>
        <v>-11.842000000000001</v>
      </c>
      <c r="Q55" s="6">
        <f t="shared" si="1278"/>
        <v>-11.842000000000001</v>
      </c>
      <c r="R55" s="6">
        <f t="shared" si="1278"/>
        <v>-11.942000000000002</v>
      </c>
      <c r="S55" s="6">
        <f t="shared" si="1278"/>
        <v>-11.942000000000002</v>
      </c>
      <c r="T55" s="6">
        <f t="shared" si="1278"/>
        <v>-11.942000000000002</v>
      </c>
      <c r="U55" s="6">
        <f t="shared" si="1278"/>
        <v>-11.942000000000002</v>
      </c>
      <c r="V55" s="6">
        <f t="shared" si="1278"/>
        <v>11.337999999999999</v>
      </c>
      <c r="W55" s="6">
        <f t="shared" si="1278"/>
        <v>11.337999999999999</v>
      </c>
      <c r="X55" s="6">
        <f t="shared" si="1278"/>
        <v>11.337999999999999</v>
      </c>
      <c r="Y55" s="6">
        <f t="shared" si="1278"/>
        <v>11.337999999999999</v>
      </c>
      <c r="Z55" s="6">
        <f t="shared" si="1278"/>
        <v>-11.942000000000002</v>
      </c>
      <c r="AA55" s="6">
        <f t="shared" si="1278"/>
        <v>-11.942000000000002</v>
      </c>
      <c r="AB55" s="6">
        <f t="shared" si="1278"/>
        <v>-11.942000000000002</v>
      </c>
      <c r="AC55" s="6">
        <f t="shared" si="1278"/>
        <v>-9.8420000000000005</v>
      </c>
      <c r="AD55" s="6">
        <f t="shared" si="1278"/>
        <v>-9.8420000000000005</v>
      </c>
      <c r="AE55" s="6">
        <f t="shared" si="1278"/>
        <v>-9.8420000000000005</v>
      </c>
      <c r="AF55" s="6">
        <f t="shared" si="1278"/>
        <v>-9.8420000000000005</v>
      </c>
      <c r="AG55" s="6">
        <f t="shared" si="1278"/>
        <v>-9.8420000000000005</v>
      </c>
      <c r="AH55" s="6">
        <f t="shared" si="1278"/>
        <v>-9.8420000000000005</v>
      </c>
      <c r="AI55" s="6">
        <f t="shared" si="1278"/>
        <v>-9.8420000000000005</v>
      </c>
      <c r="AJ55" s="6">
        <f t="shared" si="1278"/>
        <v>-9.8420000000000005</v>
      </c>
      <c r="AK55" s="6">
        <f t="shared" si="1278"/>
        <v>-9.8420000000000005</v>
      </c>
      <c r="AL55" s="6">
        <f t="shared" si="1278"/>
        <v>-9.8420000000000005</v>
      </c>
      <c r="AM55" s="6">
        <f t="shared" si="1278"/>
        <v>-9.8420000000000005</v>
      </c>
      <c r="AN55" s="6">
        <f t="shared" si="1278"/>
        <v>-9.8420000000000005</v>
      </c>
      <c r="AO55" s="6">
        <f t="shared" si="1278"/>
        <v>-9.8420000000000005</v>
      </c>
      <c r="AP55" s="6">
        <f t="shared" si="1278"/>
        <v>-9.8420000000000005</v>
      </c>
      <c r="AQ55" s="6">
        <f t="shared" si="1278"/>
        <v>-9.8420000000000005</v>
      </c>
      <c r="AR55" s="6">
        <f t="shared" si="1278"/>
        <v>-11.942000000000002</v>
      </c>
      <c r="AS55" s="6">
        <f t="shared" si="1278"/>
        <v>-11.942000000000002</v>
      </c>
      <c r="AT55" s="6">
        <f t="shared" si="1278"/>
        <v>-11.942000000000002</v>
      </c>
      <c r="AU55" s="6">
        <f t="shared" si="1278"/>
        <v>-11.942000000000002</v>
      </c>
      <c r="AV55" s="6">
        <f t="shared" si="1278"/>
        <v>-11.942000000000002</v>
      </c>
      <c r="AW55" s="6">
        <f t="shared" si="1278"/>
        <v>-11.942000000000002</v>
      </c>
      <c r="AX55" s="6">
        <f t="shared" si="1278"/>
        <v>-11.942000000000002</v>
      </c>
      <c r="AY55" s="6">
        <f t="shared" si="1278"/>
        <v>-11.942000000000002</v>
      </c>
      <c r="AZ55" s="6">
        <f t="shared" si="1278"/>
        <v>-11.942000000000002</v>
      </c>
      <c r="BA55" s="6">
        <f t="shared" si="1278"/>
        <v>-11.942000000000002</v>
      </c>
      <c r="BB55" s="6">
        <f t="shared" si="1278"/>
        <v>-11.942000000000002</v>
      </c>
      <c r="BC55" s="6">
        <f t="shared" si="1278"/>
        <v>-11.942000000000002</v>
      </c>
      <c r="BD55" s="6">
        <f t="shared" si="1278"/>
        <v>-11.942000000000002</v>
      </c>
      <c r="BE55" s="6">
        <f t="shared" si="1278"/>
        <v>-11.942000000000002</v>
      </c>
      <c r="BF55" s="6">
        <f t="shared" si="1278"/>
        <v>-11.942000000000002</v>
      </c>
      <c r="BG55" s="6">
        <f t="shared" si="1278"/>
        <v>-11.942000000000002</v>
      </c>
      <c r="BH55" s="6">
        <f t="shared" si="1278"/>
        <v>-11.942000000000002</v>
      </c>
      <c r="BI55" s="6">
        <f t="shared" si="1278"/>
        <v>-9.8420000000000005</v>
      </c>
      <c r="BJ55" s="6">
        <f t="shared" si="1278"/>
        <v>-9.8420000000000005</v>
      </c>
      <c r="BK55" s="6">
        <f t="shared" si="1278"/>
        <v>-9.8420000000000005</v>
      </c>
      <c r="BL55" s="6">
        <f t="shared" si="1278"/>
        <v>-9.8420000000000005</v>
      </c>
      <c r="BM55" s="6">
        <f t="shared" si="1278"/>
        <v>-9.8420000000000005</v>
      </c>
      <c r="BN55" s="6">
        <f t="shared" si="1278"/>
        <v>-9.8420000000000005</v>
      </c>
      <c r="BO55" s="6">
        <f t="shared" si="1278"/>
        <v>-9.8420000000000005</v>
      </c>
      <c r="BP55" s="6">
        <f t="shared" ref="BP55:EA55" si="1279">SUM(BP56:BP61)</f>
        <v>-9.8420000000000005</v>
      </c>
      <c r="BQ55" s="6">
        <f t="shared" si="1279"/>
        <v>-9.8420000000000005</v>
      </c>
      <c r="BR55" s="6">
        <f t="shared" si="1279"/>
        <v>-9.8420000000000005</v>
      </c>
      <c r="BS55" s="6">
        <f t="shared" si="1279"/>
        <v>-9.8420000000000005</v>
      </c>
      <c r="BT55" s="6">
        <f t="shared" si="1279"/>
        <v>-9.8420000000000005</v>
      </c>
      <c r="BU55" s="6">
        <f t="shared" si="1279"/>
        <v>-9.8420000000000005</v>
      </c>
      <c r="BV55" s="6">
        <f t="shared" si="1279"/>
        <v>-9.8420000000000005</v>
      </c>
      <c r="BW55" s="6">
        <f t="shared" si="1279"/>
        <v>-9.8420000000000005</v>
      </c>
      <c r="BX55" s="6">
        <f t="shared" si="1279"/>
        <v>-11.942000000000002</v>
      </c>
      <c r="BY55" s="6">
        <f t="shared" si="1279"/>
        <v>-2.9220000000000006</v>
      </c>
      <c r="BZ55" s="6">
        <f t="shared" si="1279"/>
        <v>-2.9220000000000006</v>
      </c>
      <c r="CA55" s="6">
        <f t="shared" si="1279"/>
        <v>-2.9220000000000006</v>
      </c>
      <c r="CB55" s="6">
        <f t="shared" si="1279"/>
        <v>-11.942000000000002</v>
      </c>
      <c r="CC55" s="6">
        <f t="shared" si="1279"/>
        <v>-11.842000000000001</v>
      </c>
      <c r="CD55" s="6">
        <f t="shared" si="1279"/>
        <v>-11.842000000000001</v>
      </c>
      <c r="CE55" s="6">
        <f t="shared" si="1279"/>
        <v>-11.842000000000001</v>
      </c>
      <c r="CF55" s="6">
        <f t="shared" si="1279"/>
        <v>-11.842000000000001</v>
      </c>
      <c r="CG55" s="6">
        <f t="shared" si="1279"/>
        <v>-11.842000000000001</v>
      </c>
      <c r="CH55" s="6">
        <f t="shared" si="1279"/>
        <v>-9.9420000000000002</v>
      </c>
      <c r="CI55" s="6">
        <f t="shared" si="1279"/>
        <v>-9.9420000000000002</v>
      </c>
      <c r="CJ55" s="6">
        <f t="shared" si="1279"/>
        <v>-9.9420000000000002</v>
      </c>
      <c r="CK55" s="6">
        <f t="shared" si="1279"/>
        <v>-11.842000000000001</v>
      </c>
      <c r="CL55" s="6">
        <f t="shared" si="1279"/>
        <v>-11.772000000000002</v>
      </c>
      <c r="CM55" s="6">
        <f t="shared" si="1279"/>
        <v>-11.772000000000002</v>
      </c>
      <c r="CN55" s="6">
        <f t="shared" si="1279"/>
        <v>-11.772000000000002</v>
      </c>
      <c r="CO55" s="6">
        <f t="shared" si="1279"/>
        <v>-11.842000000000001</v>
      </c>
      <c r="CP55" s="6">
        <f t="shared" si="1279"/>
        <v>11.438000000000001</v>
      </c>
      <c r="CQ55" s="6">
        <f t="shared" si="1279"/>
        <v>11.337999999999999</v>
      </c>
      <c r="CR55" s="6">
        <f t="shared" si="1279"/>
        <v>11.337999999999999</v>
      </c>
      <c r="CS55" s="6">
        <f t="shared" si="1279"/>
        <v>11.337999999999999</v>
      </c>
      <c r="CT55" s="6">
        <f t="shared" si="1279"/>
        <v>-11.942000000000002</v>
      </c>
      <c r="CU55" s="6">
        <f t="shared" si="1279"/>
        <v>-11.942000000000002</v>
      </c>
      <c r="CV55" s="6">
        <f t="shared" si="1279"/>
        <v>-11.942000000000002</v>
      </c>
      <c r="CW55" s="6">
        <f t="shared" si="1279"/>
        <v>-9.8420000000000005</v>
      </c>
      <c r="CX55" s="6">
        <f t="shared" si="1279"/>
        <v>-9.8420000000000005</v>
      </c>
      <c r="CY55" s="6">
        <f t="shared" si="1279"/>
        <v>-9.8420000000000005</v>
      </c>
      <c r="CZ55" s="6">
        <f t="shared" si="1279"/>
        <v>-9.8420000000000005</v>
      </c>
      <c r="DA55" s="6">
        <f t="shared" si="1279"/>
        <v>-9.8420000000000005</v>
      </c>
      <c r="DB55" s="6">
        <f t="shared" si="1279"/>
        <v>-9.8420000000000005</v>
      </c>
      <c r="DC55" s="6">
        <f t="shared" si="1279"/>
        <v>-9.8420000000000005</v>
      </c>
      <c r="DD55" s="6">
        <f t="shared" si="1279"/>
        <v>-9.8420000000000005</v>
      </c>
      <c r="DE55" s="6">
        <f t="shared" si="1279"/>
        <v>-9.8420000000000005</v>
      </c>
      <c r="DF55" s="6">
        <f t="shared" si="1279"/>
        <v>-9.8420000000000005</v>
      </c>
      <c r="DG55" s="6">
        <f t="shared" si="1279"/>
        <v>-9.8420000000000005</v>
      </c>
      <c r="DH55" s="6">
        <f t="shared" si="1279"/>
        <v>-9.8420000000000005</v>
      </c>
      <c r="DI55" s="6">
        <f t="shared" si="1279"/>
        <v>-9.8420000000000005</v>
      </c>
      <c r="DJ55" s="6">
        <f t="shared" si="1279"/>
        <v>-9.8420000000000005</v>
      </c>
      <c r="DK55" s="6">
        <f t="shared" si="1279"/>
        <v>-9.8420000000000005</v>
      </c>
      <c r="DL55" s="6">
        <f t="shared" si="1279"/>
        <v>-11.942000000000002</v>
      </c>
      <c r="DM55" s="6">
        <f t="shared" si="1279"/>
        <v>-11.942000000000002</v>
      </c>
      <c r="DN55" s="6">
        <f t="shared" si="1279"/>
        <v>-11.942000000000002</v>
      </c>
      <c r="DO55" s="6">
        <f t="shared" si="1279"/>
        <v>-11.942000000000002</v>
      </c>
      <c r="DP55" s="6">
        <f t="shared" si="1279"/>
        <v>-12.042000000000002</v>
      </c>
      <c r="DQ55" s="6">
        <f t="shared" si="1279"/>
        <v>-12.042000000000002</v>
      </c>
      <c r="DR55" s="6">
        <f t="shared" si="1279"/>
        <v>-12.042000000000002</v>
      </c>
      <c r="DS55" s="6">
        <f t="shared" si="1279"/>
        <v>-12.042000000000002</v>
      </c>
      <c r="DT55" s="6">
        <f t="shared" si="1279"/>
        <v>-12.042000000000002</v>
      </c>
      <c r="DU55" s="6">
        <f t="shared" si="1279"/>
        <v>-12.042000000000002</v>
      </c>
      <c r="DV55" s="6">
        <f t="shared" si="1279"/>
        <v>-12.042000000000002</v>
      </c>
      <c r="DW55" s="6">
        <f t="shared" si="1279"/>
        <v>-12.042000000000002</v>
      </c>
      <c r="DX55" s="6">
        <f t="shared" si="1279"/>
        <v>-12.042000000000002</v>
      </c>
      <c r="DY55" s="6">
        <f t="shared" si="1279"/>
        <v>-12.142000000000001</v>
      </c>
      <c r="DZ55" s="6">
        <f t="shared" si="1279"/>
        <v>-12.142000000000001</v>
      </c>
      <c r="EA55" s="6">
        <f t="shared" si="1279"/>
        <v>-12.142000000000001</v>
      </c>
      <c r="EB55" s="6">
        <f t="shared" ref="EB55:GM55" si="1280">SUM(EB56:EB61)</f>
        <v>-12.142000000000001</v>
      </c>
      <c r="EC55" s="6">
        <f t="shared" si="1280"/>
        <v>-12.142000000000001</v>
      </c>
      <c r="ED55" s="6">
        <f t="shared" si="1280"/>
        <v>-12.142000000000001</v>
      </c>
      <c r="EE55" s="6">
        <f t="shared" si="1280"/>
        <v>-12.142000000000001</v>
      </c>
      <c r="EF55" s="6">
        <f t="shared" si="1280"/>
        <v>-12.142000000000001</v>
      </c>
      <c r="EG55" s="6">
        <f t="shared" si="1280"/>
        <v>-12.142000000000001</v>
      </c>
      <c r="EH55" s="6">
        <f t="shared" si="1280"/>
        <v>-12.142000000000001</v>
      </c>
      <c r="EI55" s="6">
        <f t="shared" si="1280"/>
        <v>-12.142000000000001</v>
      </c>
      <c r="EJ55" s="6">
        <f t="shared" si="1280"/>
        <v>-12.142000000000001</v>
      </c>
      <c r="EK55" s="6">
        <f t="shared" si="1280"/>
        <v>-12.142000000000001</v>
      </c>
      <c r="EL55" s="6">
        <f t="shared" si="1280"/>
        <v>-12.142000000000001</v>
      </c>
      <c r="EM55" s="6">
        <f t="shared" si="1280"/>
        <v>-12.142000000000001</v>
      </c>
      <c r="EN55" s="6">
        <f t="shared" si="1280"/>
        <v>-12.142000000000001</v>
      </c>
      <c r="EO55" s="6">
        <f t="shared" si="1280"/>
        <v>-12.142000000000001</v>
      </c>
      <c r="EP55" s="6">
        <f t="shared" si="1280"/>
        <v>-12.142000000000001</v>
      </c>
      <c r="EQ55" s="6">
        <f t="shared" si="1280"/>
        <v>-12.142000000000001</v>
      </c>
      <c r="ER55" s="6">
        <f t="shared" si="1280"/>
        <v>-12.042000000000002</v>
      </c>
      <c r="ES55" s="6">
        <f t="shared" si="1280"/>
        <v>-12.042000000000002</v>
      </c>
      <c r="ET55" s="6">
        <f t="shared" si="1280"/>
        <v>-12.042000000000002</v>
      </c>
      <c r="EU55" s="6">
        <f t="shared" si="1280"/>
        <v>-12.042000000000002</v>
      </c>
      <c r="EV55" s="6">
        <f t="shared" si="1280"/>
        <v>-12.042000000000002</v>
      </c>
      <c r="EW55" s="6">
        <f t="shared" si="1280"/>
        <v>-12.042000000000002</v>
      </c>
      <c r="EX55" s="6">
        <f t="shared" si="1280"/>
        <v>-2.142000000000003</v>
      </c>
      <c r="EY55" s="6">
        <f t="shared" si="1280"/>
        <v>-2.142000000000003</v>
      </c>
      <c r="EZ55" s="6">
        <f t="shared" si="1280"/>
        <v>-2.142000000000003</v>
      </c>
      <c r="FA55" s="6">
        <f t="shared" si="1280"/>
        <v>-2.142000000000003</v>
      </c>
      <c r="FB55" s="6">
        <f t="shared" si="1280"/>
        <v>-2.142000000000003</v>
      </c>
      <c r="FC55" s="6">
        <f t="shared" si="1280"/>
        <v>-2.142000000000003</v>
      </c>
      <c r="FD55" s="6">
        <f t="shared" si="1280"/>
        <v>-2.142000000000003</v>
      </c>
      <c r="FE55" s="6">
        <f t="shared" si="1280"/>
        <v>-2.142000000000003</v>
      </c>
      <c r="FF55" s="6">
        <f t="shared" si="1280"/>
        <v>-2.142000000000003</v>
      </c>
      <c r="FG55" s="6">
        <f t="shared" si="1280"/>
        <v>-2.142000000000003</v>
      </c>
      <c r="FH55" s="6">
        <f t="shared" si="1280"/>
        <v>-2.142000000000003</v>
      </c>
      <c r="FI55" s="6">
        <f t="shared" si="1280"/>
        <v>-2.142000000000003</v>
      </c>
      <c r="FJ55" s="6">
        <f t="shared" si="1280"/>
        <v>12.337999999999999</v>
      </c>
      <c r="FK55" s="6">
        <f t="shared" si="1280"/>
        <v>12.337999999999999</v>
      </c>
      <c r="FL55" s="6">
        <f t="shared" si="1280"/>
        <v>12.337999999999999</v>
      </c>
      <c r="FM55" s="6">
        <f t="shared" si="1280"/>
        <v>12.337999999999999</v>
      </c>
      <c r="FN55" s="6">
        <f t="shared" si="1280"/>
        <v>-10.942000000000002</v>
      </c>
      <c r="FO55" s="6">
        <f t="shared" si="1280"/>
        <v>-10.942000000000002</v>
      </c>
      <c r="FP55" s="6">
        <f t="shared" si="1280"/>
        <v>-11.842000000000001</v>
      </c>
      <c r="FQ55" s="6">
        <f t="shared" si="1280"/>
        <v>-11.842000000000001</v>
      </c>
      <c r="FR55" s="6">
        <f t="shared" si="1280"/>
        <v>-11.842000000000001</v>
      </c>
      <c r="FS55" s="6">
        <f t="shared" si="1280"/>
        <v>-11.842000000000001</v>
      </c>
      <c r="FT55" s="6">
        <f t="shared" si="1280"/>
        <v>-11.842000000000001</v>
      </c>
      <c r="FU55" s="6">
        <f t="shared" si="1280"/>
        <v>-11.842000000000001</v>
      </c>
      <c r="FV55" s="6">
        <f t="shared" si="1280"/>
        <v>-11.842000000000001</v>
      </c>
      <c r="FW55" s="6">
        <f t="shared" si="1280"/>
        <v>-11.842000000000001</v>
      </c>
      <c r="FX55" s="6">
        <f t="shared" si="1280"/>
        <v>-11.842000000000001</v>
      </c>
      <c r="FY55" s="6">
        <f t="shared" si="1280"/>
        <v>-11.842000000000001</v>
      </c>
      <c r="FZ55" s="6">
        <f t="shared" si="1280"/>
        <v>-11.842000000000001</v>
      </c>
      <c r="GA55" s="6">
        <f t="shared" si="1280"/>
        <v>-11.842000000000001</v>
      </c>
      <c r="GB55" s="6">
        <f t="shared" si="1280"/>
        <v>-11.842000000000001</v>
      </c>
      <c r="GC55" s="6">
        <f t="shared" si="1280"/>
        <v>-11.842000000000001</v>
      </c>
      <c r="GD55" s="6">
        <f t="shared" si="1280"/>
        <v>-11.842000000000001</v>
      </c>
      <c r="GE55" s="6">
        <f t="shared" si="1280"/>
        <v>-11.842000000000001</v>
      </c>
      <c r="GF55" s="6">
        <f t="shared" si="1280"/>
        <v>-11.842000000000001</v>
      </c>
      <c r="GG55" s="6">
        <f t="shared" si="1280"/>
        <v>-11.842000000000001</v>
      </c>
      <c r="GH55" s="6">
        <f t="shared" si="1280"/>
        <v>-11.842000000000001</v>
      </c>
      <c r="GI55" s="6">
        <f t="shared" si="1280"/>
        <v>-11.842000000000001</v>
      </c>
      <c r="GJ55" s="6">
        <f t="shared" si="1280"/>
        <v>-11.842000000000001</v>
      </c>
      <c r="GK55" s="6">
        <f t="shared" si="1280"/>
        <v>-11.842000000000001</v>
      </c>
      <c r="GL55" s="6">
        <f t="shared" si="1280"/>
        <v>-11.842000000000001</v>
      </c>
      <c r="GM55" s="6">
        <f t="shared" si="1280"/>
        <v>-11.842000000000001</v>
      </c>
      <c r="GN55" s="6">
        <f t="shared" ref="GN55:IY55" si="1281">SUM(GN56:GN61)</f>
        <v>-2.8219999999999992</v>
      </c>
      <c r="GO55" s="6">
        <f t="shared" si="1281"/>
        <v>-2.8219999999999992</v>
      </c>
      <c r="GP55" s="6">
        <f t="shared" si="1281"/>
        <v>-2.8219999999999992</v>
      </c>
      <c r="GQ55" s="6">
        <f t="shared" si="1281"/>
        <v>-11.842000000000001</v>
      </c>
      <c r="GR55" s="6">
        <f t="shared" si="1281"/>
        <v>-11.842000000000001</v>
      </c>
      <c r="GS55" s="6">
        <f t="shared" si="1281"/>
        <v>-11.842000000000001</v>
      </c>
      <c r="GT55" s="6">
        <f t="shared" si="1281"/>
        <v>-11.842000000000001</v>
      </c>
      <c r="GU55" s="6">
        <f t="shared" si="1281"/>
        <v>-11.842000000000001</v>
      </c>
      <c r="GV55" s="6">
        <f t="shared" si="1281"/>
        <v>-11.842000000000001</v>
      </c>
      <c r="GW55" s="6">
        <f t="shared" si="1281"/>
        <v>-11.842000000000001</v>
      </c>
      <c r="GX55" s="6">
        <f t="shared" si="1281"/>
        <v>-11.842000000000001</v>
      </c>
      <c r="GY55" s="6">
        <f t="shared" si="1281"/>
        <v>-11.842000000000001</v>
      </c>
      <c r="GZ55" s="6">
        <f t="shared" si="1281"/>
        <v>-11.842000000000001</v>
      </c>
      <c r="HA55" s="6">
        <f t="shared" si="1281"/>
        <v>-11.842000000000001</v>
      </c>
      <c r="HB55" s="6">
        <f t="shared" si="1281"/>
        <v>-11.842000000000001</v>
      </c>
      <c r="HC55" s="6">
        <f t="shared" si="1281"/>
        <v>-11.842000000000001</v>
      </c>
      <c r="HD55" s="6">
        <f t="shared" si="1281"/>
        <v>-11.842000000000001</v>
      </c>
      <c r="HE55" s="6">
        <f t="shared" si="1281"/>
        <v>-11.842000000000001</v>
      </c>
      <c r="HF55" s="6">
        <f t="shared" si="1281"/>
        <v>-11.842000000000001</v>
      </c>
      <c r="HG55" s="6">
        <f t="shared" si="1281"/>
        <v>-11.842000000000001</v>
      </c>
      <c r="HH55" s="6">
        <f t="shared" si="1281"/>
        <v>-11.842000000000001</v>
      </c>
      <c r="HI55" s="6">
        <f t="shared" si="1281"/>
        <v>-11.842000000000001</v>
      </c>
      <c r="HJ55" s="6">
        <f t="shared" si="1281"/>
        <v>-11.842000000000001</v>
      </c>
      <c r="HK55" s="6">
        <f t="shared" si="1281"/>
        <v>-11.842000000000001</v>
      </c>
      <c r="HL55" s="6">
        <f t="shared" si="1281"/>
        <v>-11.842000000000001</v>
      </c>
      <c r="HM55" s="6">
        <f t="shared" si="1281"/>
        <v>-11.842000000000001</v>
      </c>
      <c r="HN55" s="6">
        <f t="shared" si="1281"/>
        <v>-11.842000000000001</v>
      </c>
      <c r="HO55" s="6">
        <f t="shared" si="1281"/>
        <v>-11.842000000000001</v>
      </c>
      <c r="HP55" s="6">
        <f t="shared" si="1281"/>
        <v>-11.842000000000001</v>
      </c>
      <c r="HQ55" s="6">
        <f t="shared" si="1281"/>
        <v>-11.842000000000001</v>
      </c>
      <c r="HR55" s="6">
        <f t="shared" si="1281"/>
        <v>-11.842000000000001</v>
      </c>
      <c r="HS55" s="6">
        <f t="shared" si="1281"/>
        <v>-11.842000000000001</v>
      </c>
      <c r="HT55" s="6">
        <f t="shared" si="1281"/>
        <v>-11.842000000000001</v>
      </c>
      <c r="HU55" s="6">
        <f t="shared" si="1281"/>
        <v>-11.842000000000001</v>
      </c>
      <c r="HV55" s="6">
        <f t="shared" si="1281"/>
        <v>-11.842000000000001</v>
      </c>
      <c r="HW55" s="6">
        <f t="shared" si="1281"/>
        <v>-11.842000000000001</v>
      </c>
      <c r="HX55" s="6">
        <f t="shared" si="1281"/>
        <v>-11.842000000000001</v>
      </c>
      <c r="HY55" s="6">
        <f t="shared" si="1281"/>
        <v>-11.842000000000001</v>
      </c>
      <c r="HZ55" s="6">
        <f t="shared" si="1281"/>
        <v>-11.842000000000001</v>
      </c>
      <c r="IA55" s="6">
        <f t="shared" si="1281"/>
        <v>-11.842000000000001</v>
      </c>
      <c r="IB55" s="6">
        <f t="shared" si="1281"/>
        <v>-11.842000000000001</v>
      </c>
      <c r="IC55" s="6">
        <f t="shared" si="1281"/>
        <v>-11.842000000000001</v>
      </c>
      <c r="ID55" s="6">
        <f t="shared" si="1281"/>
        <v>11.438000000000001</v>
      </c>
      <c r="IE55" s="6">
        <f t="shared" si="1281"/>
        <v>11.438000000000001</v>
      </c>
      <c r="IF55" s="6">
        <f t="shared" si="1281"/>
        <v>11.438000000000001</v>
      </c>
      <c r="IG55" s="6">
        <f t="shared" si="1281"/>
        <v>11.438000000000001</v>
      </c>
      <c r="IH55" s="6">
        <f t="shared" si="1281"/>
        <v>-11.842000000000001</v>
      </c>
      <c r="II55" s="6">
        <f t="shared" si="1281"/>
        <v>-11.842000000000001</v>
      </c>
      <c r="IJ55" s="6">
        <f t="shared" si="1281"/>
        <v>-11.842000000000001</v>
      </c>
      <c r="IK55" s="6">
        <f t="shared" si="1281"/>
        <v>-11.842000000000001</v>
      </c>
      <c r="IL55" s="6">
        <f t="shared" si="1281"/>
        <v>-11.842000000000001</v>
      </c>
      <c r="IM55" s="6">
        <f t="shared" si="1281"/>
        <v>-11.842000000000001</v>
      </c>
      <c r="IN55" s="6">
        <f t="shared" si="1281"/>
        <v>-11.842000000000001</v>
      </c>
      <c r="IO55" s="6">
        <f t="shared" si="1281"/>
        <v>-11.842000000000001</v>
      </c>
      <c r="IP55" s="6">
        <f t="shared" si="1281"/>
        <v>-11.842000000000001</v>
      </c>
      <c r="IQ55" s="6">
        <f t="shared" si="1281"/>
        <v>-11.842000000000001</v>
      </c>
      <c r="IR55" s="6">
        <f t="shared" si="1281"/>
        <v>-11.842000000000001</v>
      </c>
      <c r="IS55" s="6">
        <f t="shared" si="1281"/>
        <v>-11.842000000000001</v>
      </c>
      <c r="IT55" s="6">
        <f t="shared" si="1281"/>
        <v>-11.842000000000001</v>
      </c>
      <c r="IU55" s="6">
        <f t="shared" si="1281"/>
        <v>-11.842000000000001</v>
      </c>
      <c r="IV55" s="6">
        <f t="shared" si="1281"/>
        <v>-11.842000000000001</v>
      </c>
      <c r="IW55" s="6">
        <f t="shared" si="1281"/>
        <v>-11.842000000000001</v>
      </c>
      <c r="IX55" s="6">
        <f t="shared" si="1281"/>
        <v>-11.842000000000001</v>
      </c>
      <c r="IY55" s="6">
        <f t="shared" si="1281"/>
        <v>-11.842000000000001</v>
      </c>
      <c r="IZ55" s="6">
        <f t="shared" ref="IZ55:LK55" si="1282">SUM(IZ56:IZ61)</f>
        <v>-11.842000000000001</v>
      </c>
      <c r="JA55" s="6">
        <f t="shared" si="1282"/>
        <v>-11.842000000000001</v>
      </c>
      <c r="JB55" s="6">
        <f t="shared" si="1282"/>
        <v>-11.842000000000001</v>
      </c>
      <c r="JC55" s="6">
        <f t="shared" si="1282"/>
        <v>-11.842000000000001</v>
      </c>
      <c r="JD55" s="6">
        <f t="shared" si="1282"/>
        <v>-11.742000000000001</v>
      </c>
      <c r="JE55" s="6">
        <f t="shared" si="1282"/>
        <v>-11.742000000000001</v>
      </c>
      <c r="JF55" s="6">
        <f t="shared" si="1282"/>
        <v>-11.742000000000001</v>
      </c>
      <c r="JG55" s="6">
        <f t="shared" si="1282"/>
        <v>-11.742000000000001</v>
      </c>
      <c r="JH55" s="6">
        <f t="shared" si="1282"/>
        <v>-11.742000000000001</v>
      </c>
      <c r="JI55" s="6">
        <f t="shared" si="1282"/>
        <v>-11.742000000000001</v>
      </c>
      <c r="JJ55" s="6">
        <f t="shared" si="1282"/>
        <v>-11.742000000000001</v>
      </c>
      <c r="JK55" s="6">
        <f t="shared" si="1282"/>
        <v>-11.742000000000001</v>
      </c>
      <c r="JL55" s="6">
        <f t="shared" si="1282"/>
        <v>-11.742000000000001</v>
      </c>
      <c r="JM55" s="6">
        <f t="shared" si="1282"/>
        <v>-11.742000000000001</v>
      </c>
      <c r="JN55" s="6">
        <f t="shared" si="1282"/>
        <v>-11.742000000000001</v>
      </c>
      <c r="JO55" s="6">
        <f t="shared" si="1282"/>
        <v>-11.742000000000001</v>
      </c>
      <c r="JP55" s="6">
        <f t="shared" si="1282"/>
        <v>-11.742000000000001</v>
      </c>
      <c r="JQ55" s="6">
        <f t="shared" si="1282"/>
        <v>-11.742000000000001</v>
      </c>
      <c r="JR55" s="6">
        <f t="shared" si="1282"/>
        <v>-2.7220000000000013</v>
      </c>
      <c r="JS55" s="6">
        <f t="shared" si="1282"/>
        <v>-2.7220000000000013</v>
      </c>
      <c r="JT55" s="6">
        <f t="shared" si="1282"/>
        <v>-2.7220000000000013</v>
      </c>
      <c r="JU55" s="6">
        <f t="shared" si="1282"/>
        <v>-11.742000000000001</v>
      </c>
      <c r="JV55" s="6">
        <f t="shared" si="1282"/>
        <v>-11.742000000000001</v>
      </c>
      <c r="JW55" s="6">
        <f t="shared" si="1282"/>
        <v>-11.742000000000001</v>
      </c>
      <c r="JX55" s="6">
        <f t="shared" si="1282"/>
        <v>-11.742000000000001</v>
      </c>
      <c r="JY55" s="6">
        <f t="shared" si="1282"/>
        <v>-11.742000000000001</v>
      </c>
      <c r="JZ55" s="6">
        <f t="shared" si="1282"/>
        <v>-11.842000000000001</v>
      </c>
      <c r="KA55" s="6">
        <f t="shared" si="1282"/>
        <v>-11.842000000000001</v>
      </c>
      <c r="KB55" s="6">
        <f t="shared" si="1282"/>
        <v>-11.842000000000001</v>
      </c>
      <c r="KC55" s="6">
        <f t="shared" si="1282"/>
        <v>-11.842000000000001</v>
      </c>
      <c r="KD55" s="6">
        <f t="shared" si="1282"/>
        <v>-11.842000000000001</v>
      </c>
      <c r="KE55" s="6">
        <f t="shared" si="1282"/>
        <v>-11.842000000000001</v>
      </c>
      <c r="KF55" s="6">
        <f t="shared" si="1282"/>
        <v>-11.842000000000001</v>
      </c>
      <c r="KG55" s="6">
        <f t="shared" si="1282"/>
        <v>-11.842000000000001</v>
      </c>
      <c r="KH55" s="6">
        <f t="shared" si="1282"/>
        <v>-11.842000000000001</v>
      </c>
      <c r="KI55" s="6">
        <f t="shared" si="1282"/>
        <v>-11.842000000000001</v>
      </c>
      <c r="KJ55" s="6">
        <f t="shared" si="1282"/>
        <v>-9.9420000000000002</v>
      </c>
      <c r="KK55" s="6">
        <f t="shared" si="1282"/>
        <v>-9.9420000000000002</v>
      </c>
      <c r="KL55" s="6">
        <f t="shared" si="1282"/>
        <v>-9.9420000000000002</v>
      </c>
      <c r="KM55" s="6">
        <f t="shared" si="1282"/>
        <v>-11.842000000000001</v>
      </c>
      <c r="KN55" s="6">
        <f t="shared" si="1282"/>
        <v>-11.842000000000001</v>
      </c>
      <c r="KO55" s="6">
        <f t="shared" si="1282"/>
        <v>-11.842000000000001</v>
      </c>
      <c r="KP55" s="6">
        <f t="shared" si="1282"/>
        <v>-11.842000000000001</v>
      </c>
      <c r="KQ55" s="6">
        <f t="shared" si="1282"/>
        <v>-11.842000000000001</v>
      </c>
      <c r="KR55" s="6">
        <f t="shared" si="1282"/>
        <v>-11.842000000000001</v>
      </c>
      <c r="KS55" s="6">
        <f t="shared" si="1282"/>
        <v>-11.842000000000001</v>
      </c>
      <c r="KT55" s="6">
        <f t="shared" si="1282"/>
        <v>-11.942000000000002</v>
      </c>
      <c r="KU55" s="6">
        <f t="shared" si="1282"/>
        <v>-11.942000000000002</v>
      </c>
      <c r="KV55" s="6">
        <f t="shared" si="1282"/>
        <v>-11.942000000000002</v>
      </c>
      <c r="KW55" s="6">
        <f t="shared" si="1282"/>
        <v>-11.942000000000002</v>
      </c>
      <c r="KX55" s="6">
        <f t="shared" si="1282"/>
        <v>11.337999999999999</v>
      </c>
      <c r="KY55" s="6">
        <f t="shared" si="1282"/>
        <v>11.337999999999999</v>
      </c>
      <c r="KZ55" s="6">
        <f t="shared" si="1282"/>
        <v>11.337999999999999</v>
      </c>
      <c r="LA55" s="6">
        <f t="shared" si="1282"/>
        <v>11.337999999999999</v>
      </c>
      <c r="LB55" s="6">
        <f t="shared" si="1282"/>
        <v>-11.942000000000002</v>
      </c>
      <c r="LC55" s="6">
        <f t="shared" si="1282"/>
        <v>-11.942000000000002</v>
      </c>
      <c r="LD55" s="6">
        <f t="shared" si="1282"/>
        <v>-11.942000000000002</v>
      </c>
      <c r="LE55" s="6">
        <f t="shared" si="1282"/>
        <v>-9.8420000000000005</v>
      </c>
      <c r="LF55" s="6">
        <f t="shared" si="1282"/>
        <v>-9.8420000000000005</v>
      </c>
      <c r="LG55" s="6">
        <f t="shared" si="1282"/>
        <v>-9.8420000000000005</v>
      </c>
      <c r="LH55" s="6">
        <f t="shared" si="1282"/>
        <v>-9.8420000000000005</v>
      </c>
      <c r="LI55" s="6">
        <f t="shared" si="1282"/>
        <v>-9.8420000000000005</v>
      </c>
      <c r="LJ55" s="6">
        <f t="shared" si="1282"/>
        <v>-9.8420000000000005</v>
      </c>
      <c r="LK55" s="6">
        <f t="shared" si="1282"/>
        <v>-9.8420000000000005</v>
      </c>
      <c r="LL55" s="6">
        <f t="shared" ref="LL55:NW55" si="1283">SUM(LL56:LL61)</f>
        <v>-9.8420000000000005</v>
      </c>
      <c r="LM55" s="6">
        <f t="shared" si="1283"/>
        <v>-9.8420000000000005</v>
      </c>
      <c r="LN55" s="6">
        <f t="shared" si="1283"/>
        <v>-9.8420000000000005</v>
      </c>
      <c r="LO55" s="6">
        <f t="shared" si="1283"/>
        <v>-9.8420000000000005</v>
      </c>
      <c r="LP55" s="6">
        <f t="shared" si="1283"/>
        <v>-9.8420000000000005</v>
      </c>
      <c r="LQ55" s="6">
        <f t="shared" si="1283"/>
        <v>-9.8420000000000005</v>
      </c>
      <c r="LR55" s="6">
        <f t="shared" si="1283"/>
        <v>-9.8420000000000005</v>
      </c>
      <c r="LS55" s="6">
        <f t="shared" si="1283"/>
        <v>-9.8420000000000005</v>
      </c>
      <c r="LT55" s="6">
        <f t="shared" si="1283"/>
        <v>-11.942000000000002</v>
      </c>
      <c r="LU55" s="6">
        <f t="shared" si="1283"/>
        <v>-11.942000000000002</v>
      </c>
      <c r="LV55" s="6">
        <f t="shared" si="1283"/>
        <v>-11.942000000000002</v>
      </c>
      <c r="LW55" s="6">
        <f t="shared" si="1283"/>
        <v>-11.942000000000002</v>
      </c>
      <c r="LX55" s="6">
        <f t="shared" si="1283"/>
        <v>-11.942000000000002</v>
      </c>
      <c r="LY55" s="6">
        <f t="shared" si="1283"/>
        <v>-11.942000000000002</v>
      </c>
      <c r="LZ55" s="6">
        <f t="shared" si="1283"/>
        <v>-11.942000000000002</v>
      </c>
      <c r="MA55" s="6">
        <f t="shared" si="1283"/>
        <v>-11.942000000000002</v>
      </c>
      <c r="MB55" s="6">
        <f t="shared" si="1283"/>
        <v>-2.9220000000000006</v>
      </c>
      <c r="MC55" s="6">
        <f t="shared" si="1283"/>
        <v>-2.9220000000000006</v>
      </c>
      <c r="MD55" s="6">
        <f t="shared" si="1283"/>
        <v>-2.9220000000000006</v>
      </c>
      <c r="ME55" s="6">
        <f t="shared" si="1283"/>
        <v>-11.942000000000002</v>
      </c>
      <c r="MF55" s="6">
        <f t="shared" si="1283"/>
        <v>-11.942000000000002</v>
      </c>
      <c r="MG55" s="6">
        <f t="shared" si="1283"/>
        <v>-11.942000000000002</v>
      </c>
      <c r="MH55" s="6">
        <f t="shared" si="1283"/>
        <v>-11.942000000000002</v>
      </c>
      <c r="MI55" s="6">
        <f t="shared" si="1283"/>
        <v>-11.942000000000002</v>
      </c>
      <c r="MJ55" s="6">
        <f t="shared" si="1283"/>
        <v>-11.942000000000002</v>
      </c>
      <c r="MK55" s="6">
        <f t="shared" si="1283"/>
        <v>-9.8420000000000005</v>
      </c>
      <c r="ML55" s="6">
        <f t="shared" si="1283"/>
        <v>-9.8420000000000005</v>
      </c>
      <c r="MM55" s="6">
        <f t="shared" si="1283"/>
        <v>-9.8420000000000005</v>
      </c>
      <c r="MN55" s="6">
        <f t="shared" si="1283"/>
        <v>-9.8420000000000005</v>
      </c>
      <c r="MO55" s="6">
        <f t="shared" si="1283"/>
        <v>-9.8420000000000005</v>
      </c>
      <c r="MP55" s="6">
        <f t="shared" si="1283"/>
        <v>-9.8420000000000005</v>
      </c>
      <c r="MQ55" s="6">
        <f t="shared" si="1283"/>
        <v>-9.8420000000000005</v>
      </c>
      <c r="MR55" s="6">
        <f t="shared" si="1283"/>
        <v>-9.8420000000000005</v>
      </c>
      <c r="MS55" s="6">
        <f t="shared" si="1283"/>
        <v>-9.8420000000000005</v>
      </c>
      <c r="MT55" s="6">
        <f t="shared" si="1283"/>
        <v>-9.8420000000000005</v>
      </c>
      <c r="MU55" s="6">
        <f t="shared" si="1283"/>
        <v>-9.8420000000000005</v>
      </c>
      <c r="MV55" s="6">
        <f t="shared" si="1283"/>
        <v>-9.8420000000000005</v>
      </c>
      <c r="MW55" s="6">
        <f t="shared" si="1283"/>
        <v>-9.8420000000000005</v>
      </c>
      <c r="MX55" s="6">
        <f t="shared" si="1283"/>
        <v>-9.8420000000000005</v>
      </c>
      <c r="MY55" s="6">
        <f t="shared" si="1283"/>
        <v>-9.8420000000000005</v>
      </c>
      <c r="MZ55" s="6">
        <f t="shared" si="1283"/>
        <v>-11.942000000000002</v>
      </c>
      <c r="NA55" s="6">
        <f t="shared" si="1283"/>
        <v>-11.942000000000002</v>
      </c>
      <c r="NB55" s="6">
        <f t="shared" si="1283"/>
        <v>-11.942000000000002</v>
      </c>
      <c r="NC55" s="6">
        <f t="shared" si="1283"/>
        <v>-11.942000000000002</v>
      </c>
      <c r="ND55" s="6">
        <f t="shared" si="1283"/>
        <v>-11.942000000000002</v>
      </c>
      <c r="NE55" s="6">
        <f t="shared" si="1283"/>
        <v>-11.842000000000001</v>
      </c>
      <c r="NF55" s="6">
        <f t="shared" si="1283"/>
        <v>-11.842000000000001</v>
      </c>
      <c r="NG55" s="6">
        <f t="shared" si="1283"/>
        <v>-11.842000000000001</v>
      </c>
      <c r="NH55" s="6">
        <f t="shared" si="1283"/>
        <v>-11.842000000000001</v>
      </c>
      <c r="NI55" s="6">
        <f t="shared" si="1283"/>
        <v>-11.842000000000001</v>
      </c>
      <c r="NJ55" s="6">
        <f t="shared" si="1283"/>
        <v>-9.9420000000000002</v>
      </c>
      <c r="NK55" s="6">
        <f t="shared" si="1283"/>
        <v>-9.9420000000000002</v>
      </c>
      <c r="NL55" s="6">
        <f t="shared" si="1283"/>
        <v>-9.9420000000000002</v>
      </c>
      <c r="NM55" s="6">
        <f t="shared" si="1283"/>
        <v>-11.842000000000001</v>
      </c>
      <c r="NN55" s="6">
        <f t="shared" si="1283"/>
        <v>-11.772000000000002</v>
      </c>
      <c r="NO55" s="6">
        <f t="shared" si="1283"/>
        <v>-11.772000000000002</v>
      </c>
      <c r="NP55" s="6">
        <f t="shared" si="1283"/>
        <v>-11.772000000000002</v>
      </c>
      <c r="NQ55" s="6">
        <f t="shared" si="1283"/>
        <v>-11.842000000000001</v>
      </c>
      <c r="NR55" s="6">
        <f t="shared" si="1283"/>
        <v>11.438000000000001</v>
      </c>
      <c r="NS55" s="6">
        <f t="shared" si="1283"/>
        <v>11.337999999999999</v>
      </c>
      <c r="NT55" s="6">
        <f t="shared" si="1283"/>
        <v>11.337999999999999</v>
      </c>
      <c r="NU55" s="6">
        <f t="shared" si="1283"/>
        <v>11.337999999999999</v>
      </c>
      <c r="NV55" s="6">
        <f t="shared" si="1283"/>
        <v>-11.942000000000002</v>
      </c>
      <c r="NW55" s="6">
        <f t="shared" si="1283"/>
        <v>-11.942000000000002</v>
      </c>
      <c r="NX55" s="6">
        <f t="shared" ref="NX55:QI55" si="1284">SUM(NX56:NX61)</f>
        <v>-11.942000000000002</v>
      </c>
      <c r="NY55" s="6">
        <f t="shared" si="1284"/>
        <v>-9.8420000000000005</v>
      </c>
      <c r="NZ55" s="6">
        <f t="shared" si="1284"/>
        <v>-9.8420000000000005</v>
      </c>
      <c r="OA55" s="6">
        <f t="shared" si="1284"/>
        <v>-9.8420000000000005</v>
      </c>
      <c r="OB55" s="6">
        <f t="shared" si="1284"/>
        <v>-9.8420000000000005</v>
      </c>
      <c r="OC55" s="6">
        <f t="shared" si="1284"/>
        <v>-9.8420000000000005</v>
      </c>
      <c r="OD55" s="6">
        <f t="shared" si="1284"/>
        <v>-9.8420000000000005</v>
      </c>
      <c r="OE55" s="6">
        <f t="shared" si="1284"/>
        <v>-9.8420000000000005</v>
      </c>
      <c r="OF55" s="6">
        <f t="shared" si="1284"/>
        <v>-9.8420000000000005</v>
      </c>
      <c r="OG55" s="6">
        <f t="shared" si="1284"/>
        <v>-9.8420000000000005</v>
      </c>
      <c r="OH55" s="6">
        <f t="shared" si="1284"/>
        <v>-9.8420000000000005</v>
      </c>
      <c r="OI55" s="6">
        <f t="shared" si="1284"/>
        <v>-9.8420000000000005</v>
      </c>
      <c r="OJ55" s="6">
        <f t="shared" si="1284"/>
        <v>-9.8420000000000005</v>
      </c>
      <c r="OK55" s="6">
        <f t="shared" si="1284"/>
        <v>-9.8420000000000005</v>
      </c>
      <c r="OL55" s="6">
        <f t="shared" si="1284"/>
        <v>-9.8420000000000005</v>
      </c>
      <c r="OM55" s="6">
        <f t="shared" si="1284"/>
        <v>-9.8420000000000005</v>
      </c>
      <c r="ON55" s="6">
        <f t="shared" si="1284"/>
        <v>-11.942000000000002</v>
      </c>
      <c r="OO55" s="6">
        <f t="shared" si="1284"/>
        <v>-11.942000000000002</v>
      </c>
      <c r="OP55" s="6">
        <f t="shared" si="1284"/>
        <v>-11.942000000000002</v>
      </c>
      <c r="OQ55" s="6">
        <f t="shared" si="1284"/>
        <v>-11.942000000000002</v>
      </c>
      <c r="OR55" s="6">
        <f t="shared" si="1284"/>
        <v>-12.042000000000002</v>
      </c>
      <c r="OS55" s="6">
        <f t="shared" si="1284"/>
        <v>-12.042000000000002</v>
      </c>
      <c r="OT55" s="6">
        <f t="shared" si="1284"/>
        <v>-12.042000000000002</v>
      </c>
      <c r="OU55" s="6">
        <f t="shared" si="1284"/>
        <v>-12.042000000000002</v>
      </c>
      <c r="OV55" s="6">
        <f t="shared" si="1284"/>
        <v>-12.042000000000002</v>
      </c>
      <c r="OW55" s="6">
        <f t="shared" si="1284"/>
        <v>-12.042000000000002</v>
      </c>
      <c r="OX55" s="6">
        <f t="shared" si="1284"/>
        <v>-12.042000000000002</v>
      </c>
      <c r="OY55" s="6">
        <f t="shared" si="1284"/>
        <v>-12.042000000000002</v>
      </c>
      <c r="OZ55" s="6">
        <f t="shared" si="1284"/>
        <v>-12.042000000000002</v>
      </c>
      <c r="PA55" s="6">
        <f t="shared" si="1284"/>
        <v>-12.142000000000001</v>
      </c>
      <c r="PB55" s="6">
        <f t="shared" si="1284"/>
        <v>-12.142000000000001</v>
      </c>
      <c r="PC55" s="6">
        <f t="shared" si="1284"/>
        <v>-12.142000000000001</v>
      </c>
      <c r="PD55" s="6">
        <f t="shared" si="1284"/>
        <v>-12.142000000000001</v>
      </c>
      <c r="PE55" s="6">
        <f t="shared" si="1284"/>
        <v>-12.142000000000001</v>
      </c>
      <c r="PF55" s="6">
        <f t="shared" si="1284"/>
        <v>-3.1219999999999999</v>
      </c>
      <c r="PG55" s="6">
        <f t="shared" si="1284"/>
        <v>-3.1219999999999999</v>
      </c>
      <c r="PH55" s="6">
        <f t="shared" si="1284"/>
        <v>-3.1219999999999999</v>
      </c>
      <c r="PI55" s="6">
        <f t="shared" si="1284"/>
        <v>-12.142000000000001</v>
      </c>
      <c r="PJ55" s="6">
        <f t="shared" si="1284"/>
        <v>-12.142000000000001</v>
      </c>
      <c r="PK55" s="6">
        <f t="shared" si="1284"/>
        <v>-12.142000000000001</v>
      </c>
      <c r="PL55" s="6">
        <f t="shared" si="1284"/>
        <v>-12.142000000000001</v>
      </c>
      <c r="PM55" s="6">
        <f t="shared" si="1284"/>
        <v>-12.142000000000001</v>
      </c>
      <c r="PN55" s="6">
        <f t="shared" si="1284"/>
        <v>-12.142000000000001</v>
      </c>
      <c r="PO55" s="6">
        <f t="shared" si="1284"/>
        <v>-12.142000000000001</v>
      </c>
      <c r="PP55" s="6">
        <f t="shared" si="1284"/>
        <v>-12.142000000000001</v>
      </c>
      <c r="PQ55" s="6">
        <f t="shared" si="1284"/>
        <v>-12.142000000000001</v>
      </c>
      <c r="PR55" s="6">
        <f t="shared" si="1284"/>
        <v>-12.142000000000001</v>
      </c>
      <c r="PS55" s="6">
        <f t="shared" si="1284"/>
        <v>-12.142000000000001</v>
      </c>
      <c r="PT55" s="6">
        <f t="shared" si="1284"/>
        <v>-11.842000000000001</v>
      </c>
      <c r="PU55" s="6">
        <f t="shared" si="1284"/>
        <v>-11.842000000000001</v>
      </c>
      <c r="PV55" s="6">
        <f t="shared" si="1284"/>
        <v>-11.842000000000001</v>
      </c>
      <c r="PW55" s="6">
        <f t="shared" si="1284"/>
        <v>-11.842000000000001</v>
      </c>
      <c r="PX55" s="6">
        <f t="shared" si="1284"/>
        <v>-9.9420000000000002</v>
      </c>
      <c r="PY55" s="6">
        <f t="shared" si="1284"/>
        <v>-9.9420000000000002</v>
      </c>
      <c r="PZ55" s="6">
        <f t="shared" si="1284"/>
        <v>-9.9420000000000002</v>
      </c>
      <c r="QA55" s="6">
        <f t="shared" si="1284"/>
        <v>-11.842000000000001</v>
      </c>
      <c r="QB55" s="6">
        <f t="shared" si="1284"/>
        <v>-11.842000000000001</v>
      </c>
      <c r="QC55" s="6">
        <f t="shared" si="1284"/>
        <v>-11.842000000000001</v>
      </c>
      <c r="QD55" s="6">
        <f t="shared" si="1284"/>
        <v>-11.842000000000001</v>
      </c>
      <c r="QE55" s="6">
        <f t="shared" si="1284"/>
        <v>-11.842000000000001</v>
      </c>
      <c r="QF55" s="6">
        <f t="shared" si="1284"/>
        <v>-11.842000000000001</v>
      </c>
      <c r="QG55" s="6">
        <f t="shared" si="1284"/>
        <v>-11.842000000000001</v>
      </c>
      <c r="QH55" s="6">
        <f t="shared" si="1284"/>
        <v>-11.942000000000002</v>
      </c>
      <c r="QI55" s="6">
        <f t="shared" si="1284"/>
        <v>-11.942000000000002</v>
      </c>
      <c r="QJ55" s="6">
        <f t="shared" ref="QJ55:SU55" si="1285">SUM(QJ56:QJ61)</f>
        <v>-11.942000000000002</v>
      </c>
      <c r="QK55" s="6">
        <f t="shared" si="1285"/>
        <v>-11.942000000000002</v>
      </c>
      <c r="QL55" s="6">
        <f t="shared" si="1285"/>
        <v>11.337999999999999</v>
      </c>
      <c r="QM55" s="6">
        <f t="shared" si="1285"/>
        <v>11.337999999999999</v>
      </c>
      <c r="QN55" s="6">
        <f t="shared" si="1285"/>
        <v>11.337999999999999</v>
      </c>
      <c r="QO55" s="6">
        <f t="shared" si="1285"/>
        <v>11.337999999999999</v>
      </c>
      <c r="QP55" s="6">
        <f t="shared" si="1285"/>
        <v>-11.942000000000002</v>
      </c>
      <c r="QQ55" s="6">
        <f t="shared" si="1285"/>
        <v>-11.942000000000002</v>
      </c>
      <c r="QR55" s="6">
        <f t="shared" si="1285"/>
        <v>-11.942000000000002</v>
      </c>
      <c r="QS55" s="6">
        <f t="shared" si="1285"/>
        <v>-9.8420000000000005</v>
      </c>
      <c r="QT55" s="6">
        <f t="shared" si="1285"/>
        <v>-9.8420000000000005</v>
      </c>
      <c r="QU55" s="6">
        <f t="shared" si="1285"/>
        <v>-9.8420000000000005</v>
      </c>
      <c r="QV55" s="6">
        <f t="shared" si="1285"/>
        <v>-9.8420000000000005</v>
      </c>
      <c r="QW55" s="6">
        <f t="shared" si="1285"/>
        <v>-9.8420000000000005</v>
      </c>
      <c r="QX55" s="6">
        <f t="shared" si="1285"/>
        <v>-9.8420000000000005</v>
      </c>
      <c r="QY55" s="6">
        <f t="shared" si="1285"/>
        <v>-9.8420000000000005</v>
      </c>
      <c r="QZ55" s="6">
        <f t="shared" si="1285"/>
        <v>-9.8420000000000005</v>
      </c>
      <c r="RA55" s="6">
        <f t="shared" si="1285"/>
        <v>-9.8420000000000005</v>
      </c>
      <c r="RB55" s="6">
        <f t="shared" si="1285"/>
        <v>-9.8420000000000005</v>
      </c>
      <c r="RC55" s="6">
        <f t="shared" si="1285"/>
        <v>-9.8420000000000005</v>
      </c>
      <c r="RD55" s="6">
        <f t="shared" si="1285"/>
        <v>-9.8420000000000005</v>
      </c>
      <c r="RE55" s="6">
        <f t="shared" si="1285"/>
        <v>-9.8420000000000005</v>
      </c>
      <c r="RF55" s="6">
        <f t="shared" si="1285"/>
        <v>-9.8420000000000005</v>
      </c>
      <c r="RG55" s="6">
        <f t="shared" si="1285"/>
        <v>-9.8420000000000005</v>
      </c>
      <c r="RH55" s="6">
        <f t="shared" si="1285"/>
        <v>-11.942000000000002</v>
      </c>
      <c r="RI55" s="6">
        <f t="shared" si="1285"/>
        <v>-11.942000000000002</v>
      </c>
      <c r="RJ55" s="6">
        <f t="shared" si="1285"/>
        <v>-11.942000000000002</v>
      </c>
      <c r="RK55" s="6">
        <f t="shared" si="1285"/>
        <v>-11.942000000000002</v>
      </c>
      <c r="RL55" s="6">
        <f t="shared" si="1285"/>
        <v>-11.942000000000002</v>
      </c>
      <c r="RM55" s="6">
        <f t="shared" si="1285"/>
        <v>-11.942000000000002</v>
      </c>
      <c r="RN55" s="6">
        <f t="shared" si="1285"/>
        <v>-11.942000000000002</v>
      </c>
      <c r="RO55" s="6">
        <f t="shared" si="1285"/>
        <v>-11.942000000000002</v>
      </c>
      <c r="RP55" s="6">
        <f t="shared" si="1285"/>
        <v>-2.9220000000000006</v>
      </c>
      <c r="RQ55" s="6">
        <f t="shared" si="1285"/>
        <v>-2.9220000000000006</v>
      </c>
      <c r="RR55" s="6">
        <f t="shared" si="1285"/>
        <v>-2.9220000000000006</v>
      </c>
      <c r="RS55" s="6">
        <f t="shared" si="1285"/>
        <v>-11.942000000000002</v>
      </c>
      <c r="RT55" s="6">
        <f t="shared" si="1285"/>
        <v>-11.942000000000002</v>
      </c>
      <c r="RU55" s="6">
        <f t="shared" si="1285"/>
        <v>-11.942000000000002</v>
      </c>
      <c r="RV55" s="6">
        <f t="shared" si="1285"/>
        <v>-11.942000000000002</v>
      </c>
      <c r="RW55" s="6">
        <f t="shared" si="1285"/>
        <v>-11.942000000000002</v>
      </c>
      <c r="RX55" s="6">
        <f t="shared" si="1285"/>
        <v>-11.942000000000002</v>
      </c>
      <c r="RY55" s="6">
        <f t="shared" si="1285"/>
        <v>-9.8420000000000005</v>
      </c>
      <c r="RZ55" s="6">
        <f t="shared" si="1285"/>
        <v>-9.8420000000000005</v>
      </c>
      <c r="SA55" s="6">
        <f t="shared" si="1285"/>
        <v>-9.8420000000000005</v>
      </c>
      <c r="SB55" s="6">
        <f t="shared" si="1285"/>
        <v>-9.8420000000000005</v>
      </c>
      <c r="SC55" s="6">
        <f t="shared" si="1285"/>
        <v>-9.8420000000000005</v>
      </c>
      <c r="SD55" s="6">
        <f t="shared" si="1285"/>
        <v>-9.8420000000000005</v>
      </c>
      <c r="SE55" s="6">
        <f t="shared" si="1285"/>
        <v>-9.8420000000000005</v>
      </c>
      <c r="SF55" s="6">
        <f t="shared" si="1285"/>
        <v>-9.8420000000000005</v>
      </c>
      <c r="SG55" s="6">
        <f t="shared" si="1285"/>
        <v>-9.8420000000000005</v>
      </c>
      <c r="SH55" s="6">
        <f t="shared" si="1285"/>
        <v>-9.8420000000000005</v>
      </c>
      <c r="SI55" s="6">
        <f t="shared" si="1285"/>
        <v>-9.8420000000000005</v>
      </c>
      <c r="SJ55" s="6">
        <f t="shared" si="1285"/>
        <v>-9.8420000000000005</v>
      </c>
      <c r="SK55" s="6">
        <f t="shared" si="1285"/>
        <v>-9.8420000000000005</v>
      </c>
      <c r="SL55" s="6">
        <f t="shared" si="1285"/>
        <v>-9.8420000000000005</v>
      </c>
      <c r="SM55" s="6">
        <f t="shared" si="1285"/>
        <v>-9.8420000000000005</v>
      </c>
      <c r="SN55" s="6">
        <f t="shared" si="1285"/>
        <v>-11.942000000000002</v>
      </c>
      <c r="SO55" s="6">
        <f t="shared" si="1285"/>
        <v>-11.942000000000002</v>
      </c>
      <c r="SP55" s="6">
        <f t="shared" si="1285"/>
        <v>-11.942000000000002</v>
      </c>
      <c r="SQ55" s="6">
        <f t="shared" si="1285"/>
        <v>-11.942000000000002</v>
      </c>
      <c r="SR55" s="6">
        <f t="shared" si="1285"/>
        <v>-11.942000000000002</v>
      </c>
      <c r="SS55" s="6">
        <f t="shared" si="1285"/>
        <v>-11.842000000000001</v>
      </c>
      <c r="ST55" s="6">
        <f t="shared" si="1285"/>
        <v>-11.842000000000001</v>
      </c>
      <c r="SU55" s="6">
        <f t="shared" si="1285"/>
        <v>-11.842000000000001</v>
      </c>
      <c r="SV55" s="6">
        <f t="shared" ref="SV55:VG55" si="1286">SUM(SV56:SV61)</f>
        <v>-11.842000000000001</v>
      </c>
      <c r="SW55" s="6">
        <f t="shared" si="1286"/>
        <v>-11.842000000000001</v>
      </c>
      <c r="SX55" s="6">
        <f t="shared" si="1286"/>
        <v>-9.9420000000000002</v>
      </c>
      <c r="SY55" s="6">
        <f t="shared" si="1286"/>
        <v>-9.9420000000000002</v>
      </c>
      <c r="SZ55" s="6">
        <f t="shared" si="1286"/>
        <v>-9.9420000000000002</v>
      </c>
      <c r="TA55" s="6">
        <f t="shared" si="1286"/>
        <v>-11.842000000000001</v>
      </c>
      <c r="TB55" s="6">
        <f t="shared" si="1286"/>
        <v>-11.772000000000002</v>
      </c>
      <c r="TC55" s="6">
        <f t="shared" si="1286"/>
        <v>-11.772000000000002</v>
      </c>
      <c r="TD55" s="6">
        <f t="shared" si="1286"/>
        <v>-11.772000000000002</v>
      </c>
      <c r="TE55" s="6">
        <f t="shared" si="1286"/>
        <v>-11.842000000000001</v>
      </c>
      <c r="TF55" s="6">
        <f t="shared" si="1286"/>
        <v>11.438000000000001</v>
      </c>
      <c r="TG55" s="6">
        <f t="shared" si="1286"/>
        <v>11.337999999999999</v>
      </c>
      <c r="TH55" s="6">
        <f t="shared" si="1286"/>
        <v>11.337999999999999</v>
      </c>
      <c r="TI55" s="6">
        <f t="shared" si="1286"/>
        <v>11.337999999999999</v>
      </c>
      <c r="TJ55" s="6">
        <f t="shared" si="1286"/>
        <v>-11.942000000000002</v>
      </c>
      <c r="TK55" s="6">
        <f t="shared" si="1286"/>
        <v>-11.942000000000002</v>
      </c>
      <c r="TL55" s="6">
        <f t="shared" si="1286"/>
        <v>-11.942000000000002</v>
      </c>
      <c r="TM55" s="6">
        <f t="shared" si="1286"/>
        <v>-9.8420000000000005</v>
      </c>
      <c r="TN55" s="6">
        <f t="shared" si="1286"/>
        <v>-9.8420000000000005</v>
      </c>
      <c r="TO55" s="6">
        <f t="shared" si="1286"/>
        <v>-9.8420000000000005</v>
      </c>
      <c r="TP55" s="6">
        <f t="shared" si="1286"/>
        <v>-9.8420000000000005</v>
      </c>
      <c r="TQ55" s="6">
        <f t="shared" si="1286"/>
        <v>-9.8420000000000005</v>
      </c>
      <c r="TR55" s="6">
        <f t="shared" si="1286"/>
        <v>-9.8420000000000005</v>
      </c>
      <c r="TS55" s="6">
        <f t="shared" si="1286"/>
        <v>-9.8420000000000005</v>
      </c>
      <c r="TT55" s="6">
        <f t="shared" si="1286"/>
        <v>-9.8420000000000005</v>
      </c>
      <c r="TU55" s="6">
        <f t="shared" si="1286"/>
        <v>-9.8420000000000005</v>
      </c>
      <c r="TV55" s="6">
        <f t="shared" si="1286"/>
        <v>-9.8420000000000005</v>
      </c>
      <c r="TW55" s="6">
        <f t="shared" si="1286"/>
        <v>-9.8420000000000005</v>
      </c>
      <c r="TX55" s="6">
        <f t="shared" si="1286"/>
        <v>-9.8420000000000005</v>
      </c>
      <c r="TY55" s="6">
        <f t="shared" si="1286"/>
        <v>-9.8420000000000005</v>
      </c>
      <c r="TZ55" s="6">
        <f t="shared" si="1286"/>
        <v>-9.8420000000000005</v>
      </c>
      <c r="UA55" s="6">
        <f t="shared" si="1286"/>
        <v>-9.8420000000000005</v>
      </c>
      <c r="UB55" s="6">
        <f t="shared" si="1286"/>
        <v>-11.942000000000002</v>
      </c>
      <c r="UC55" s="6">
        <f t="shared" si="1286"/>
        <v>-11.942000000000002</v>
      </c>
      <c r="UD55" s="6">
        <f t="shared" si="1286"/>
        <v>-11.942000000000002</v>
      </c>
      <c r="UE55" s="6">
        <f t="shared" si="1286"/>
        <v>-11.942000000000002</v>
      </c>
      <c r="UF55" s="6">
        <f t="shared" si="1286"/>
        <v>-12.042000000000002</v>
      </c>
      <c r="UG55" s="6">
        <f t="shared" si="1286"/>
        <v>-12.042000000000002</v>
      </c>
      <c r="UH55" s="6">
        <f t="shared" si="1286"/>
        <v>-12.042000000000002</v>
      </c>
      <c r="UI55" s="6">
        <f t="shared" si="1286"/>
        <v>-12.042000000000002</v>
      </c>
      <c r="UJ55" s="6">
        <f t="shared" si="1286"/>
        <v>-12.042000000000002</v>
      </c>
      <c r="UK55" s="6">
        <f t="shared" si="1286"/>
        <v>-12.042000000000002</v>
      </c>
      <c r="UL55" s="6">
        <f t="shared" si="1286"/>
        <v>-12.042000000000002</v>
      </c>
      <c r="UM55" s="6">
        <f t="shared" si="1286"/>
        <v>-12.042000000000002</v>
      </c>
      <c r="UN55" s="6">
        <f t="shared" si="1286"/>
        <v>-12.042000000000002</v>
      </c>
      <c r="UO55" s="6">
        <f t="shared" si="1286"/>
        <v>-12.142000000000001</v>
      </c>
      <c r="UP55" s="6">
        <f t="shared" si="1286"/>
        <v>-12.142000000000001</v>
      </c>
      <c r="UQ55" s="6">
        <f t="shared" si="1286"/>
        <v>-12.142000000000001</v>
      </c>
      <c r="UR55" s="6">
        <f t="shared" si="1286"/>
        <v>-12.142000000000001</v>
      </c>
      <c r="US55" s="6">
        <f t="shared" si="1286"/>
        <v>-12.142000000000001</v>
      </c>
      <c r="UT55" s="6">
        <f t="shared" si="1286"/>
        <v>-3.1219999999999999</v>
      </c>
      <c r="UU55" s="6">
        <f t="shared" si="1286"/>
        <v>-3.1219999999999999</v>
      </c>
      <c r="UV55" s="6">
        <f t="shared" si="1286"/>
        <v>-3.1219999999999999</v>
      </c>
      <c r="UW55" s="6">
        <f t="shared" si="1286"/>
        <v>-12.142000000000001</v>
      </c>
      <c r="UX55" s="6">
        <f t="shared" si="1286"/>
        <v>-12.142000000000001</v>
      </c>
      <c r="UY55" s="6">
        <f t="shared" si="1286"/>
        <v>-12.142000000000001</v>
      </c>
      <c r="UZ55" s="6">
        <f t="shared" si="1286"/>
        <v>-12.142000000000001</v>
      </c>
      <c r="VA55" s="6">
        <f t="shared" si="1286"/>
        <v>-12.142000000000001</v>
      </c>
      <c r="VB55" s="6">
        <f t="shared" si="1286"/>
        <v>-12.142000000000001</v>
      </c>
      <c r="VC55" s="6">
        <f t="shared" si="1286"/>
        <v>-12.142000000000001</v>
      </c>
      <c r="VD55" s="6">
        <f t="shared" si="1286"/>
        <v>-12.142000000000001</v>
      </c>
      <c r="VE55" s="6">
        <f t="shared" si="1286"/>
        <v>-12.142000000000001</v>
      </c>
      <c r="VF55" s="6">
        <f t="shared" si="1286"/>
        <v>-12.142000000000001</v>
      </c>
      <c r="VG55" s="6">
        <f t="shared" si="1286"/>
        <v>-12.142000000000001</v>
      </c>
      <c r="VH55" s="6">
        <f t="shared" ref="VH55:XS55" si="1287">SUM(VH56:VH61)</f>
        <v>-11.842000000000001</v>
      </c>
      <c r="VI55" s="6">
        <f t="shared" si="1287"/>
        <v>-11.842000000000001</v>
      </c>
      <c r="VJ55" s="6">
        <f t="shared" si="1287"/>
        <v>-11.842000000000001</v>
      </c>
      <c r="VK55" s="6">
        <f t="shared" si="1287"/>
        <v>-11.842000000000001</v>
      </c>
      <c r="VL55" s="6">
        <f t="shared" si="1287"/>
        <v>-9.9420000000000002</v>
      </c>
      <c r="VM55" s="6">
        <f t="shared" si="1287"/>
        <v>-9.9420000000000002</v>
      </c>
      <c r="VN55" s="6">
        <f t="shared" si="1287"/>
        <v>-9.9420000000000002</v>
      </c>
      <c r="VO55" s="6">
        <f t="shared" si="1287"/>
        <v>-11.842000000000001</v>
      </c>
      <c r="VP55" s="6">
        <f t="shared" si="1287"/>
        <v>-11.842000000000001</v>
      </c>
      <c r="VQ55" s="6">
        <f t="shared" si="1287"/>
        <v>-11.842000000000001</v>
      </c>
      <c r="VR55" s="6">
        <f t="shared" si="1287"/>
        <v>-11.842000000000001</v>
      </c>
      <c r="VS55" s="6">
        <f t="shared" si="1287"/>
        <v>-11.842000000000001</v>
      </c>
      <c r="VT55" s="6">
        <f t="shared" si="1287"/>
        <v>-11.842000000000001</v>
      </c>
      <c r="VU55" s="6">
        <f t="shared" si="1287"/>
        <v>-11.842000000000001</v>
      </c>
      <c r="VV55" s="6">
        <f t="shared" si="1287"/>
        <v>-11.942000000000002</v>
      </c>
      <c r="VW55" s="6">
        <f t="shared" si="1287"/>
        <v>-11.942000000000002</v>
      </c>
      <c r="VX55" s="6">
        <f t="shared" si="1287"/>
        <v>-11.942000000000002</v>
      </c>
      <c r="VY55" s="6">
        <f t="shared" si="1287"/>
        <v>-11.942000000000002</v>
      </c>
      <c r="VZ55" s="6">
        <f t="shared" si="1287"/>
        <v>11.337999999999999</v>
      </c>
      <c r="WA55" s="6">
        <f t="shared" si="1287"/>
        <v>11.337999999999999</v>
      </c>
      <c r="WB55" s="6">
        <f t="shared" si="1287"/>
        <v>11.337999999999999</v>
      </c>
      <c r="WC55" s="6">
        <f t="shared" si="1287"/>
        <v>11.337999999999999</v>
      </c>
      <c r="WD55" s="6">
        <f t="shared" si="1287"/>
        <v>-11.942000000000002</v>
      </c>
      <c r="WE55" s="6">
        <f t="shared" si="1287"/>
        <v>-11.942000000000002</v>
      </c>
      <c r="WF55" s="6">
        <f t="shared" si="1287"/>
        <v>-11.942000000000002</v>
      </c>
      <c r="WG55" s="6">
        <f t="shared" si="1287"/>
        <v>-9.8420000000000005</v>
      </c>
      <c r="WH55" s="6">
        <f t="shared" si="1287"/>
        <v>-9.8420000000000005</v>
      </c>
      <c r="WI55" s="6">
        <f t="shared" si="1287"/>
        <v>-9.8420000000000005</v>
      </c>
      <c r="WJ55" s="6">
        <f t="shared" si="1287"/>
        <v>-9.8420000000000005</v>
      </c>
      <c r="WK55" s="6">
        <f t="shared" si="1287"/>
        <v>-9.8420000000000005</v>
      </c>
      <c r="WL55" s="6">
        <f t="shared" si="1287"/>
        <v>-9.8420000000000005</v>
      </c>
      <c r="WM55" s="6">
        <f t="shared" si="1287"/>
        <v>-9.8420000000000005</v>
      </c>
      <c r="WN55" s="6">
        <f t="shared" si="1287"/>
        <v>-9.8420000000000005</v>
      </c>
      <c r="WO55" s="6">
        <f t="shared" si="1287"/>
        <v>-9.8420000000000005</v>
      </c>
      <c r="WP55" s="6">
        <f t="shared" si="1287"/>
        <v>-9.8420000000000005</v>
      </c>
      <c r="WQ55" s="6">
        <f t="shared" si="1287"/>
        <v>-9.8420000000000005</v>
      </c>
      <c r="WR55" s="6">
        <f t="shared" si="1287"/>
        <v>-9.8420000000000005</v>
      </c>
      <c r="WS55" s="6">
        <f t="shared" si="1287"/>
        <v>-9.8420000000000005</v>
      </c>
      <c r="WT55" s="6">
        <f t="shared" si="1287"/>
        <v>-9.8420000000000005</v>
      </c>
      <c r="WU55" s="6">
        <f t="shared" si="1287"/>
        <v>-9.8420000000000005</v>
      </c>
      <c r="WV55" s="6">
        <f t="shared" si="1287"/>
        <v>-11.942000000000002</v>
      </c>
      <c r="WW55" s="6">
        <f t="shared" si="1287"/>
        <v>-11.942000000000002</v>
      </c>
      <c r="WX55" s="6">
        <f t="shared" si="1287"/>
        <v>-11.942000000000002</v>
      </c>
      <c r="WY55" s="6">
        <f t="shared" si="1287"/>
        <v>-11.942000000000002</v>
      </c>
      <c r="WZ55" s="6">
        <f t="shared" si="1287"/>
        <v>-11.942000000000002</v>
      </c>
      <c r="XA55" s="6">
        <f t="shared" si="1287"/>
        <v>-11.942000000000002</v>
      </c>
      <c r="XB55" s="6">
        <f t="shared" si="1287"/>
        <v>-11.942000000000002</v>
      </c>
      <c r="XC55" s="6">
        <f t="shared" si="1287"/>
        <v>-11.942000000000002</v>
      </c>
      <c r="XD55" s="6">
        <f t="shared" si="1287"/>
        <v>-2.9220000000000006</v>
      </c>
      <c r="XE55" s="6">
        <f t="shared" si="1287"/>
        <v>-2.9220000000000006</v>
      </c>
      <c r="XF55" s="6">
        <f t="shared" si="1287"/>
        <v>-2.9220000000000006</v>
      </c>
      <c r="XG55" s="6">
        <f t="shared" si="1287"/>
        <v>-11.942000000000002</v>
      </c>
      <c r="XH55" s="6">
        <f t="shared" si="1287"/>
        <v>-11.942000000000002</v>
      </c>
      <c r="XI55" s="6">
        <f t="shared" si="1287"/>
        <v>-11.942000000000002</v>
      </c>
      <c r="XJ55" s="6">
        <f t="shared" si="1287"/>
        <v>-11.942000000000002</v>
      </c>
      <c r="XK55" s="6">
        <f t="shared" si="1287"/>
        <v>-11.942000000000002</v>
      </c>
      <c r="XL55" s="6">
        <f t="shared" si="1287"/>
        <v>-11.942000000000002</v>
      </c>
      <c r="XM55" s="6">
        <f t="shared" si="1287"/>
        <v>-9.8420000000000005</v>
      </c>
      <c r="XN55" s="6">
        <f t="shared" si="1287"/>
        <v>-9.8420000000000005</v>
      </c>
      <c r="XO55" s="6">
        <f t="shared" si="1287"/>
        <v>-9.8420000000000005</v>
      </c>
      <c r="XP55" s="6">
        <f t="shared" si="1287"/>
        <v>-9.8420000000000005</v>
      </c>
      <c r="XQ55" s="6">
        <f t="shared" si="1287"/>
        <v>-9.8420000000000005</v>
      </c>
      <c r="XR55" s="6">
        <f t="shared" si="1287"/>
        <v>-9.8420000000000005</v>
      </c>
      <c r="XS55" s="6">
        <f t="shared" si="1287"/>
        <v>-9.8420000000000005</v>
      </c>
      <c r="XT55" s="6">
        <f t="shared" ref="XT55:AAE55" si="1288">SUM(XT56:XT61)</f>
        <v>-9.8420000000000005</v>
      </c>
      <c r="XU55" s="6">
        <f t="shared" si="1288"/>
        <v>-9.8420000000000005</v>
      </c>
      <c r="XV55" s="6">
        <f t="shared" si="1288"/>
        <v>-9.8420000000000005</v>
      </c>
      <c r="XW55" s="6">
        <f t="shared" si="1288"/>
        <v>-9.8420000000000005</v>
      </c>
      <c r="XX55" s="6">
        <f t="shared" si="1288"/>
        <v>-9.8420000000000005</v>
      </c>
      <c r="XY55" s="6">
        <f t="shared" si="1288"/>
        <v>-9.8420000000000005</v>
      </c>
      <c r="XZ55" s="6">
        <f t="shared" si="1288"/>
        <v>-9.8420000000000005</v>
      </c>
      <c r="YA55" s="6">
        <f t="shared" si="1288"/>
        <v>-9.8420000000000005</v>
      </c>
      <c r="YB55" s="6">
        <f t="shared" si="1288"/>
        <v>-11.942000000000002</v>
      </c>
      <c r="YC55" s="6">
        <f t="shared" si="1288"/>
        <v>-11.942000000000002</v>
      </c>
      <c r="YD55" s="6">
        <f t="shared" si="1288"/>
        <v>-11.942000000000002</v>
      </c>
      <c r="YE55" s="6">
        <f t="shared" si="1288"/>
        <v>-11.942000000000002</v>
      </c>
      <c r="YF55" s="6">
        <f t="shared" si="1288"/>
        <v>-11.942000000000002</v>
      </c>
      <c r="YG55" s="6">
        <f t="shared" si="1288"/>
        <v>-11.842000000000001</v>
      </c>
      <c r="YH55" s="6">
        <f t="shared" si="1288"/>
        <v>-11.842000000000001</v>
      </c>
      <c r="YI55" s="6">
        <f t="shared" si="1288"/>
        <v>-11.842000000000001</v>
      </c>
      <c r="YJ55" s="6">
        <f t="shared" si="1288"/>
        <v>-11.842000000000001</v>
      </c>
      <c r="YK55" s="6">
        <f t="shared" si="1288"/>
        <v>-11.842000000000001</v>
      </c>
      <c r="YL55" s="6">
        <f t="shared" si="1288"/>
        <v>-9.9420000000000002</v>
      </c>
      <c r="YM55" s="6">
        <f t="shared" si="1288"/>
        <v>-9.9420000000000002</v>
      </c>
      <c r="YN55" s="6">
        <f t="shared" si="1288"/>
        <v>-9.9420000000000002</v>
      </c>
      <c r="YO55" s="6">
        <f t="shared" si="1288"/>
        <v>-11.842000000000001</v>
      </c>
      <c r="YP55" s="6">
        <f t="shared" si="1288"/>
        <v>-11.772000000000002</v>
      </c>
      <c r="YQ55" s="6">
        <f t="shared" si="1288"/>
        <v>-11.772000000000002</v>
      </c>
      <c r="YR55" s="6">
        <f t="shared" si="1288"/>
        <v>-11.772000000000002</v>
      </c>
      <c r="YS55" s="6">
        <f t="shared" si="1288"/>
        <v>-11.842000000000001</v>
      </c>
      <c r="YT55" s="6">
        <f t="shared" si="1288"/>
        <v>11.438000000000001</v>
      </c>
      <c r="YU55" s="6">
        <f t="shared" si="1288"/>
        <v>11.337999999999999</v>
      </c>
      <c r="YV55" s="6">
        <f t="shared" si="1288"/>
        <v>11.337999999999999</v>
      </c>
      <c r="YW55" s="6">
        <f t="shared" si="1288"/>
        <v>11.337999999999999</v>
      </c>
      <c r="YX55" s="6">
        <f t="shared" si="1288"/>
        <v>-11.942000000000002</v>
      </c>
      <c r="YY55" s="6">
        <f t="shared" si="1288"/>
        <v>-11.942000000000002</v>
      </c>
      <c r="YZ55" s="6">
        <f t="shared" si="1288"/>
        <v>-11.942000000000002</v>
      </c>
      <c r="ZA55" s="6">
        <f t="shared" si="1288"/>
        <v>-9.8420000000000005</v>
      </c>
      <c r="ZB55" s="6">
        <f t="shared" si="1288"/>
        <v>-9.8420000000000005</v>
      </c>
      <c r="ZC55" s="6">
        <f t="shared" si="1288"/>
        <v>-9.8420000000000005</v>
      </c>
      <c r="ZD55" s="6">
        <f t="shared" si="1288"/>
        <v>-9.8420000000000005</v>
      </c>
      <c r="ZE55" s="6">
        <f t="shared" si="1288"/>
        <v>-9.8420000000000005</v>
      </c>
      <c r="ZF55" s="6">
        <f t="shared" si="1288"/>
        <v>-9.8420000000000005</v>
      </c>
      <c r="ZG55" s="6">
        <f t="shared" si="1288"/>
        <v>-9.8420000000000005</v>
      </c>
      <c r="ZH55" s="6">
        <f t="shared" si="1288"/>
        <v>-9.8420000000000005</v>
      </c>
      <c r="ZI55" s="6">
        <f t="shared" si="1288"/>
        <v>-9.8420000000000005</v>
      </c>
      <c r="ZJ55" s="6">
        <f t="shared" si="1288"/>
        <v>-9.8420000000000005</v>
      </c>
      <c r="ZK55" s="6">
        <f t="shared" si="1288"/>
        <v>-9.8420000000000005</v>
      </c>
      <c r="ZL55" s="6">
        <f t="shared" si="1288"/>
        <v>-9.8420000000000005</v>
      </c>
      <c r="ZM55" s="6">
        <f t="shared" si="1288"/>
        <v>-9.8420000000000005</v>
      </c>
      <c r="ZN55" s="6">
        <f t="shared" si="1288"/>
        <v>-9.8420000000000005</v>
      </c>
      <c r="ZO55" s="6">
        <f t="shared" si="1288"/>
        <v>-9.8420000000000005</v>
      </c>
      <c r="ZP55" s="6">
        <f t="shared" si="1288"/>
        <v>-11.942000000000002</v>
      </c>
      <c r="ZQ55" s="6">
        <f t="shared" si="1288"/>
        <v>-11.942000000000002</v>
      </c>
      <c r="ZR55" s="6">
        <f t="shared" si="1288"/>
        <v>-11.942000000000002</v>
      </c>
      <c r="ZS55" s="6">
        <f t="shared" si="1288"/>
        <v>-11.942000000000002</v>
      </c>
      <c r="ZT55" s="6">
        <f t="shared" si="1288"/>
        <v>-12.042000000000002</v>
      </c>
      <c r="ZU55" s="6">
        <f t="shared" si="1288"/>
        <v>-12.042000000000002</v>
      </c>
      <c r="ZV55" s="6">
        <f t="shared" si="1288"/>
        <v>-12.042000000000002</v>
      </c>
      <c r="ZW55" s="6">
        <f t="shared" si="1288"/>
        <v>-12.042000000000002</v>
      </c>
      <c r="ZX55" s="6">
        <f t="shared" si="1288"/>
        <v>-12.042000000000002</v>
      </c>
      <c r="ZY55" s="6">
        <f t="shared" si="1288"/>
        <v>-12.042000000000002</v>
      </c>
      <c r="ZZ55" s="6">
        <f t="shared" si="1288"/>
        <v>-12.042000000000002</v>
      </c>
      <c r="AAA55" s="6">
        <f t="shared" si="1288"/>
        <v>-12.042000000000002</v>
      </c>
      <c r="AAB55" s="6">
        <f t="shared" si="1288"/>
        <v>-12.042000000000002</v>
      </c>
      <c r="AAC55" s="6">
        <f t="shared" si="1288"/>
        <v>-12.142000000000001</v>
      </c>
      <c r="AAD55" s="6">
        <f t="shared" si="1288"/>
        <v>-12.142000000000001</v>
      </c>
      <c r="AAE55" s="6">
        <f t="shared" si="1288"/>
        <v>-12.142000000000001</v>
      </c>
      <c r="AAF55" s="6">
        <f t="shared" ref="AAF55:ACQ55" si="1289">SUM(AAF56:AAF61)</f>
        <v>-12.142000000000001</v>
      </c>
      <c r="AAG55" s="6">
        <f t="shared" si="1289"/>
        <v>-12.142000000000001</v>
      </c>
      <c r="AAH55" s="6">
        <f t="shared" si="1289"/>
        <v>-3.1219999999999999</v>
      </c>
      <c r="AAI55" s="6">
        <f t="shared" si="1289"/>
        <v>-3.1219999999999999</v>
      </c>
      <c r="AAJ55" s="6">
        <f t="shared" si="1289"/>
        <v>-3.1219999999999999</v>
      </c>
      <c r="AAK55" s="6">
        <f t="shared" si="1289"/>
        <v>-12.142000000000001</v>
      </c>
      <c r="AAL55" s="6">
        <f t="shared" si="1289"/>
        <v>-12.142000000000001</v>
      </c>
      <c r="AAM55" s="6">
        <f t="shared" si="1289"/>
        <v>-12.142000000000001</v>
      </c>
      <c r="AAN55" s="6">
        <f t="shared" si="1289"/>
        <v>-12.142000000000001</v>
      </c>
      <c r="AAO55" s="6">
        <f t="shared" si="1289"/>
        <v>-12.142000000000001</v>
      </c>
      <c r="AAP55" s="6">
        <f t="shared" si="1289"/>
        <v>-12.142000000000001</v>
      </c>
      <c r="AAQ55" s="6">
        <f t="shared" si="1289"/>
        <v>-12.142000000000001</v>
      </c>
      <c r="AAR55" s="6">
        <f t="shared" si="1289"/>
        <v>-12.142000000000001</v>
      </c>
      <c r="AAS55" s="6">
        <f t="shared" si="1289"/>
        <v>-12.142000000000001</v>
      </c>
      <c r="AAT55" s="6">
        <f t="shared" si="1289"/>
        <v>-12.142000000000001</v>
      </c>
      <c r="AAU55" s="6">
        <f t="shared" si="1289"/>
        <v>-12.142000000000001</v>
      </c>
      <c r="AAV55" s="6">
        <f t="shared" si="1289"/>
        <v>-11.842000000000001</v>
      </c>
      <c r="AAW55" s="6">
        <f t="shared" si="1289"/>
        <v>-11.842000000000001</v>
      </c>
      <c r="AAX55" s="6">
        <f t="shared" si="1289"/>
        <v>-11.842000000000001</v>
      </c>
      <c r="AAY55" s="6">
        <f t="shared" si="1289"/>
        <v>-11.842000000000001</v>
      </c>
      <c r="AAZ55" s="6">
        <f t="shared" si="1289"/>
        <v>-9.9420000000000002</v>
      </c>
      <c r="ABA55" s="6">
        <f t="shared" si="1289"/>
        <v>-9.9420000000000002</v>
      </c>
      <c r="ABB55" s="6">
        <f t="shared" si="1289"/>
        <v>-9.9420000000000002</v>
      </c>
      <c r="ABC55" s="6">
        <f t="shared" si="1289"/>
        <v>-11.842000000000001</v>
      </c>
      <c r="ABD55" s="6">
        <f t="shared" si="1289"/>
        <v>-11.842000000000001</v>
      </c>
      <c r="ABE55" s="6">
        <f t="shared" si="1289"/>
        <v>-11.842000000000001</v>
      </c>
      <c r="ABF55" s="6">
        <f t="shared" si="1289"/>
        <v>-11.842000000000001</v>
      </c>
      <c r="ABG55" s="6">
        <f t="shared" si="1289"/>
        <v>-11.842000000000001</v>
      </c>
      <c r="ABH55" s="6">
        <f t="shared" si="1289"/>
        <v>-11.842000000000001</v>
      </c>
      <c r="ABI55" s="6">
        <f t="shared" si="1289"/>
        <v>-11.842000000000001</v>
      </c>
      <c r="ABJ55" s="6">
        <f t="shared" si="1289"/>
        <v>-11.942000000000002</v>
      </c>
      <c r="ABK55" s="6">
        <f t="shared" si="1289"/>
        <v>-11.942000000000002</v>
      </c>
      <c r="ABL55" s="6">
        <f t="shared" si="1289"/>
        <v>-11.942000000000002</v>
      </c>
      <c r="ABM55" s="6">
        <f t="shared" si="1289"/>
        <v>-11.942000000000002</v>
      </c>
      <c r="ABN55" s="6">
        <f t="shared" si="1289"/>
        <v>11.337999999999999</v>
      </c>
      <c r="ABO55" s="6">
        <f t="shared" si="1289"/>
        <v>11.337999999999999</v>
      </c>
      <c r="ABP55" s="6">
        <f t="shared" si="1289"/>
        <v>11.337999999999999</v>
      </c>
      <c r="ABQ55" s="6">
        <f t="shared" si="1289"/>
        <v>11.337999999999999</v>
      </c>
      <c r="ABR55" s="6">
        <f t="shared" si="1289"/>
        <v>-11.942000000000002</v>
      </c>
      <c r="ABS55" s="6">
        <f t="shared" si="1289"/>
        <v>-11.942000000000002</v>
      </c>
      <c r="ABT55" s="6">
        <f t="shared" si="1289"/>
        <v>-11.942000000000002</v>
      </c>
      <c r="ABU55" s="6">
        <f t="shared" si="1289"/>
        <v>-9.8420000000000005</v>
      </c>
      <c r="ABV55" s="6">
        <f t="shared" si="1289"/>
        <v>-9.8420000000000005</v>
      </c>
      <c r="ABW55" s="6">
        <f t="shared" si="1289"/>
        <v>-9.8420000000000005</v>
      </c>
      <c r="ABX55" s="6">
        <f t="shared" si="1289"/>
        <v>-9.8420000000000005</v>
      </c>
      <c r="ABY55" s="6">
        <f t="shared" si="1289"/>
        <v>-9.8420000000000005</v>
      </c>
      <c r="ABZ55" s="6">
        <f t="shared" si="1289"/>
        <v>-9.8420000000000005</v>
      </c>
      <c r="ACA55" s="6">
        <f t="shared" si="1289"/>
        <v>-9.8420000000000005</v>
      </c>
      <c r="ACB55" s="6">
        <f t="shared" si="1289"/>
        <v>-9.8420000000000005</v>
      </c>
      <c r="ACC55" s="6">
        <f t="shared" si="1289"/>
        <v>-9.8420000000000005</v>
      </c>
      <c r="ACD55" s="6">
        <f t="shared" si="1289"/>
        <v>-9.8420000000000005</v>
      </c>
      <c r="ACE55" s="6">
        <f t="shared" si="1289"/>
        <v>-9.8420000000000005</v>
      </c>
      <c r="ACF55" s="6">
        <f t="shared" si="1289"/>
        <v>-9.8420000000000005</v>
      </c>
      <c r="ACG55" s="6">
        <f t="shared" si="1289"/>
        <v>-9.8420000000000005</v>
      </c>
      <c r="ACH55" s="6">
        <f t="shared" si="1289"/>
        <v>-9.8420000000000005</v>
      </c>
      <c r="ACI55" s="6">
        <f t="shared" si="1289"/>
        <v>-9.8420000000000005</v>
      </c>
      <c r="ACJ55" s="6">
        <f t="shared" si="1289"/>
        <v>-11.942000000000002</v>
      </c>
      <c r="ACK55" s="6">
        <f t="shared" si="1289"/>
        <v>-11.942000000000002</v>
      </c>
      <c r="ACL55" s="6">
        <f t="shared" si="1289"/>
        <v>-11.942000000000002</v>
      </c>
      <c r="ACM55" s="6">
        <f t="shared" si="1289"/>
        <v>-11.942000000000002</v>
      </c>
      <c r="ACN55" s="6">
        <f t="shared" si="1289"/>
        <v>-11.942000000000002</v>
      </c>
      <c r="ACO55" s="6">
        <f t="shared" si="1289"/>
        <v>-11.942000000000002</v>
      </c>
      <c r="ACP55" s="6">
        <f t="shared" si="1289"/>
        <v>-11.942000000000002</v>
      </c>
      <c r="ACQ55" s="6">
        <f t="shared" si="1289"/>
        <v>-11.942000000000002</v>
      </c>
      <c r="ACR55" s="6">
        <f t="shared" ref="ACR55:AFC55" si="1290">SUM(ACR56:ACR61)</f>
        <v>-2.9220000000000006</v>
      </c>
      <c r="ACS55" s="6">
        <f t="shared" si="1290"/>
        <v>-2.9220000000000006</v>
      </c>
      <c r="ACT55" s="6">
        <f t="shared" si="1290"/>
        <v>-2.9220000000000006</v>
      </c>
      <c r="ACU55" s="6">
        <f t="shared" si="1290"/>
        <v>-11.942000000000002</v>
      </c>
      <c r="ACV55" s="6">
        <f t="shared" si="1290"/>
        <v>-11.942000000000002</v>
      </c>
      <c r="ACW55" s="6">
        <f t="shared" si="1290"/>
        <v>-11.942000000000002</v>
      </c>
      <c r="ACX55" s="6">
        <f t="shared" si="1290"/>
        <v>-11.942000000000002</v>
      </c>
      <c r="ACY55" s="6">
        <f t="shared" si="1290"/>
        <v>-11.942000000000002</v>
      </c>
      <c r="ACZ55" s="6">
        <f t="shared" si="1290"/>
        <v>-11.942000000000002</v>
      </c>
      <c r="ADA55" s="6">
        <f t="shared" si="1290"/>
        <v>-9.8420000000000005</v>
      </c>
      <c r="ADB55" s="6">
        <f t="shared" si="1290"/>
        <v>-9.8420000000000005</v>
      </c>
      <c r="ADC55" s="6">
        <f t="shared" si="1290"/>
        <v>-9.8420000000000005</v>
      </c>
      <c r="ADD55" s="6">
        <f t="shared" si="1290"/>
        <v>-9.8420000000000005</v>
      </c>
      <c r="ADE55" s="6">
        <f t="shared" si="1290"/>
        <v>-9.8420000000000005</v>
      </c>
      <c r="ADF55" s="6">
        <f t="shared" si="1290"/>
        <v>-9.8420000000000005</v>
      </c>
      <c r="ADG55" s="6">
        <f t="shared" si="1290"/>
        <v>-9.8420000000000005</v>
      </c>
      <c r="ADH55" s="6">
        <f t="shared" si="1290"/>
        <v>-9.8420000000000005</v>
      </c>
      <c r="ADI55" s="6">
        <f t="shared" si="1290"/>
        <v>-9.8420000000000005</v>
      </c>
      <c r="ADJ55" s="6">
        <f t="shared" si="1290"/>
        <v>-9.8420000000000005</v>
      </c>
      <c r="ADK55" s="6">
        <f t="shared" si="1290"/>
        <v>-9.8420000000000005</v>
      </c>
      <c r="ADL55" s="6">
        <f t="shared" si="1290"/>
        <v>-9.8420000000000005</v>
      </c>
      <c r="ADM55" s="6">
        <f t="shared" si="1290"/>
        <v>-9.8420000000000005</v>
      </c>
      <c r="ADN55" s="6">
        <f t="shared" si="1290"/>
        <v>-9.8420000000000005</v>
      </c>
      <c r="ADO55" s="6">
        <f t="shared" si="1290"/>
        <v>-9.8420000000000005</v>
      </c>
      <c r="ADP55" s="6">
        <f t="shared" si="1290"/>
        <v>-11.942000000000002</v>
      </c>
      <c r="ADQ55" s="6">
        <f t="shared" si="1290"/>
        <v>-11.942000000000002</v>
      </c>
      <c r="ADR55" s="6">
        <f t="shared" si="1290"/>
        <v>-11.942000000000002</v>
      </c>
      <c r="ADS55" s="6">
        <f t="shared" si="1290"/>
        <v>-11.942000000000002</v>
      </c>
      <c r="ADT55" s="6">
        <f t="shared" si="1290"/>
        <v>-11.942000000000002</v>
      </c>
      <c r="ADU55" s="6">
        <f t="shared" si="1290"/>
        <v>-11.842000000000001</v>
      </c>
      <c r="ADV55" s="6">
        <f t="shared" si="1290"/>
        <v>-11.842000000000001</v>
      </c>
      <c r="ADW55" s="6">
        <f t="shared" si="1290"/>
        <v>-11.842000000000001</v>
      </c>
      <c r="ADX55" s="6">
        <f t="shared" si="1290"/>
        <v>-11.842000000000001</v>
      </c>
      <c r="ADY55" s="6">
        <f t="shared" si="1290"/>
        <v>-11.842000000000001</v>
      </c>
      <c r="ADZ55" s="6">
        <f t="shared" si="1290"/>
        <v>-9.9420000000000002</v>
      </c>
      <c r="AEA55" s="6">
        <f t="shared" si="1290"/>
        <v>-9.9420000000000002</v>
      </c>
      <c r="AEB55" s="6">
        <f t="shared" si="1290"/>
        <v>-9.9420000000000002</v>
      </c>
      <c r="AEC55" s="6">
        <f t="shared" si="1290"/>
        <v>-11.842000000000001</v>
      </c>
      <c r="AED55" s="6">
        <f t="shared" si="1290"/>
        <v>-11.772000000000002</v>
      </c>
      <c r="AEE55" s="6">
        <f t="shared" si="1290"/>
        <v>-11.772000000000002</v>
      </c>
      <c r="AEF55" s="6">
        <f t="shared" si="1290"/>
        <v>-11.772000000000002</v>
      </c>
      <c r="AEG55" s="6">
        <f t="shared" si="1290"/>
        <v>-11.842000000000001</v>
      </c>
      <c r="AEH55" s="6">
        <f t="shared" si="1290"/>
        <v>11.438000000000001</v>
      </c>
      <c r="AEI55" s="6">
        <f t="shared" si="1290"/>
        <v>11.337999999999999</v>
      </c>
      <c r="AEJ55" s="6">
        <f t="shared" si="1290"/>
        <v>11.337999999999999</v>
      </c>
      <c r="AEK55" s="6">
        <f t="shared" si="1290"/>
        <v>11.337999999999999</v>
      </c>
      <c r="AEL55" s="6">
        <f t="shared" si="1290"/>
        <v>-11.942000000000002</v>
      </c>
      <c r="AEM55" s="6">
        <f t="shared" si="1290"/>
        <v>-11.942000000000002</v>
      </c>
      <c r="AEN55" s="6">
        <f t="shared" si="1290"/>
        <v>-11.942000000000002</v>
      </c>
      <c r="AEO55" s="6">
        <f t="shared" si="1290"/>
        <v>-9.8420000000000005</v>
      </c>
      <c r="AEP55" s="6">
        <f t="shared" si="1290"/>
        <v>-9.8420000000000005</v>
      </c>
      <c r="AEQ55" s="6">
        <f t="shared" si="1290"/>
        <v>-9.8420000000000005</v>
      </c>
      <c r="AER55" s="6">
        <f t="shared" si="1290"/>
        <v>-9.8420000000000005</v>
      </c>
      <c r="AES55" s="6">
        <f t="shared" si="1290"/>
        <v>-9.8420000000000005</v>
      </c>
      <c r="AET55" s="6">
        <f t="shared" si="1290"/>
        <v>-9.8420000000000005</v>
      </c>
      <c r="AEU55" s="6">
        <f t="shared" si="1290"/>
        <v>-9.8420000000000005</v>
      </c>
      <c r="AEV55" s="6">
        <f t="shared" si="1290"/>
        <v>-9.8420000000000005</v>
      </c>
      <c r="AEW55" s="6">
        <f t="shared" si="1290"/>
        <v>-9.8420000000000005</v>
      </c>
      <c r="AEX55" s="6">
        <f t="shared" si="1290"/>
        <v>-9.8420000000000005</v>
      </c>
      <c r="AEY55" s="6">
        <f t="shared" si="1290"/>
        <v>-9.8420000000000005</v>
      </c>
      <c r="AEZ55" s="6">
        <f t="shared" si="1290"/>
        <v>-9.8420000000000005</v>
      </c>
      <c r="AFA55" s="6">
        <f t="shared" si="1290"/>
        <v>-9.8420000000000005</v>
      </c>
      <c r="AFB55" s="6">
        <f t="shared" si="1290"/>
        <v>-9.8420000000000005</v>
      </c>
      <c r="AFC55" s="6">
        <f t="shared" si="1290"/>
        <v>-9.8420000000000005</v>
      </c>
      <c r="AFD55" s="6">
        <f t="shared" ref="AFD55:AHO55" si="1291">SUM(AFD56:AFD61)</f>
        <v>-11.942000000000002</v>
      </c>
      <c r="AFE55" s="6">
        <f t="shared" si="1291"/>
        <v>-11.942000000000002</v>
      </c>
      <c r="AFF55" s="6">
        <f t="shared" si="1291"/>
        <v>-11.942000000000002</v>
      </c>
      <c r="AFG55" s="6">
        <f t="shared" si="1291"/>
        <v>-11.942000000000002</v>
      </c>
      <c r="AFH55" s="6">
        <f t="shared" si="1291"/>
        <v>-12.042000000000002</v>
      </c>
      <c r="AFI55" s="6">
        <f t="shared" si="1291"/>
        <v>-12.042000000000002</v>
      </c>
      <c r="AFJ55" s="6">
        <f t="shared" si="1291"/>
        <v>-12.042000000000002</v>
      </c>
      <c r="AFK55" s="6">
        <f t="shared" si="1291"/>
        <v>-12.042000000000002</v>
      </c>
      <c r="AFL55" s="6">
        <f t="shared" si="1291"/>
        <v>-12.042000000000002</v>
      </c>
      <c r="AFM55" s="6">
        <f t="shared" si="1291"/>
        <v>-12.042000000000002</v>
      </c>
      <c r="AFN55" s="6">
        <f t="shared" si="1291"/>
        <v>-12.042000000000002</v>
      </c>
      <c r="AFO55" s="6">
        <f t="shared" si="1291"/>
        <v>-12.042000000000002</v>
      </c>
      <c r="AFP55" s="6">
        <f t="shared" si="1291"/>
        <v>-12.042000000000002</v>
      </c>
      <c r="AFQ55" s="6">
        <f t="shared" si="1291"/>
        <v>-12.142000000000001</v>
      </c>
      <c r="AFR55" s="6">
        <f t="shared" si="1291"/>
        <v>-12.142000000000001</v>
      </c>
      <c r="AFS55" s="6">
        <f t="shared" si="1291"/>
        <v>-12.142000000000001</v>
      </c>
      <c r="AFT55" s="6">
        <f t="shared" si="1291"/>
        <v>-12.142000000000001</v>
      </c>
      <c r="AFU55" s="6">
        <f t="shared" si="1291"/>
        <v>-12.142000000000001</v>
      </c>
      <c r="AFV55" s="6">
        <f t="shared" si="1291"/>
        <v>-3.1219999999999999</v>
      </c>
      <c r="AFW55" s="6">
        <f t="shared" si="1291"/>
        <v>-3.1219999999999999</v>
      </c>
      <c r="AFX55" s="6">
        <f t="shared" si="1291"/>
        <v>-3.1219999999999999</v>
      </c>
      <c r="AFY55" s="6">
        <f t="shared" si="1291"/>
        <v>-12.142000000000001</v>
      </c>
      <c r="AFZ55" s="6">
        <f t="shared" si="1291"/>
        <v>-12.142000000000001</v>
      </c>
      <c r="AGA55" s="6">
        <f t="shared" si="1291"/>
        <v>-12.142000000000001</v>
      </c>
      <c r="AGB55" s="6">
        <f t="shared" si="1291"/>
        <v>-12.142000000000001</v>
      </c>
      <c r="AGC55" s="6">
        <f t="shared" si="1291"/>
        <v>-12.142000000000001</v>
      </c>
      <c r="AGD55" s="6">
        <f t="shared" si="1291"/>
        <v>-12.142000000000001</v>
      </c>
      <c r="AGE55" s="6">
        <f t="shared" si="1291"/>
        <v>-12.142000000000001</v>
      </c>
      <c r="AGF55" s="6">
        <f t="shared" si="1291"/>
        <v>-12.142000000000001</v>
      </c>
      <c r="AGG55" s="6">
        <f t="shared" si="1291"/>
        <v>-12.142000000000001</v>
      </c>
      <c r="AGH55" s="6">
        <f t="shared" si="1291"/>
        <v>-12.142000000000001</v>
      </c>
      <c r="AGI55" s="6">
        <f t="shared" si="1291"/>
        <v>-12.142000000000001</v>
      </c>
      <c r="AGJ55" s="6">
        <f t="shared" si="1291"/>
        <v>-11.842000000000001</v>
      </c>
      <c r="AGK55" s="6">
        <f t="shared" si="1291"/>
        <v>-11.842000000000001</v>
      </c>
      <c r="AGL55" s="6">
        <f t="shared" si="1291"/>
        <v>-11.842000000000001</v>
      </c>
      <c r="AGM55" s="6">
        <f t="shared" si="1291"/>
        <v>-11.842000000000001</v>
      </c>
      <c r="AGN55" s="6">
        <f t="shared" si="1291"/>
        <v>-9.9420000000000002</v>
      </c>
      <c r="AGO55" s="6">
        <f t="shared" si="1291"/>
        <v>-9.9420000000000002</v>
      </c>
      <c r="AGP55" s="6">
        <f t="shared" si="1291"/>
        <v>-9.9420000000000002</v>
      </c>
      <c r="AGQ55" s="6">
        <f t="shared" si="1291"/>
        <v>-11.842000000000001</v>
      </c>
      <c r="AGR55" s="6">
        <f t="shared" si="1291"/>
        <v>-11.842000000000001</v>
      </c>
      <c r="AGS55" s="6">
        <f t="shared" si="1291"/>
        <v>-11.842000000000001</v>
      </c>
      <c r="AGT55" s="6">
        <f t="shared" si="1291"/>
        <v>-11.842000000000001</v>
      </c>
      <c r="AGU55" s="6">
        <f t="shared" si="1291"/>
        <v>-11.842000000000001</v>
      </c>
      <c r="AGV55" s="6">
        <f t="shared" si="1291"/>
        <v>-11.842000000000001</v>
      </c>
      <c r="AGW55" s="6">
        <f t="shared" si="1291"/>
        <v>-11.842000000000001</v>
      </c>
      <c r="AGX55" s="6">
        <f t="shared" si="1291"/>
        <v>-11.942000000000002</v>
      </c>
      <c r="AGY55" s="6">
        <f t="shared" si="1291"/>
        <v>-11.942000000000002</v>
      </c>
      <c r="AGZ55" s="6">
        <f t="shared" si="1291"/>
        <v>-11.942000000000002</v>
      </c>
      <c r="AHA55" s="6">
        <f t="shared" si="1291"/>
        <v>-11.942000000000002</v>
      </c>
      <c r="AHB55" s="6">
        <f t="shared" si="1291"/>
        <v>11.337999999999999</v>
      </c>
      <c r="AHC55" s="6">
        <f t="shared" si="1291"/>
        <v>11.337999999999999</v>
      </c>
      <c r="AHD55" s="6">
        <f t="shared" si="1291"/>
        <v>11.337999999999999</v>
      </c>
      <c r="AHE55" s="6">
        <f t="shared" si="1291"/>
        <v>11.337999999999999</v>
      </c>
      <c r="AHF55" s="6">
        <f t="shared" si="1291"/>
        <v>-11.942000000000002</v>
      </c>
      <c r="AHG55" s="6">
        <f t="shared" si="1291"/>
        <v>-11.942000000000002</v>
      </c>
      <c r="AHH55" s="6">
        <f t="shared" si="1291"/>
        <v>-11.942000000000002</v>
      </c>
      <c r="AHI55" s="6">
        <f t="shared" si="1291"/>
        <v>-9.8420000000000005</v>
      </c>
      <c r="AHJ55" s="6">
        <f t="shared" si="1291"/>
        <v>-9.8420000000000005</v>
      </c>
      <c r="AHK55" s="6">
        <f t="shared" si="1291"/>
        <v>-9.8420000000000005</v>
      </c>
      <c r="AHL55" s="6">
        <f t="shared" si="1291"/>
        <v>-9.8420000000000005</v>
      </c>
      <c r="AHM55" s="6">
        <f t="shared" si="1291"/>
        <v>-9.8420000000000005</v>
      </c>
      <c r="AHN55" s="6">
        <f t="shared" si="1291"/>
        <v>-9.8420000000000005</v>
      </c>
      <c r="AHO55" s="6">
        <f t="shared" si="1291"/>
        <v>-9.8420000000000005</v>
      </c>
      <c r="AHP55" s="6">
        <f t="shared" ref="AHP55:AKA55" si="1292">SUM(AHP56:AHP61)</f>
        <v>-9.8420000000000005</v>
      </c>
      <c r="AHQ55" s="6">
        <f t="shared" si="1292"/>
        <v>-9.8420000000000005</v>
      </c>
      <c r="AHR55" s="6">
        <f t="shared" si="1292"/>
        <v>-9.8420000000000005</v>
      </c>
      <c r="AHS55" s="6">
        <f t="shared" si="1292"/>
        <v>-9.8420000000000005</v>
      </c>
      <c r="AHT55" s="6">
        <f t="shared" si="1292"/>
        <v>-9.8420000000000005</v>
      </c>
      <c r="AHU55" s="6">
        <f t="shared" si="1292"/>
        <v>-9.8420000000000005</v>
      </c>
      <c r="AHV55" s="6">
        <f t="shared" si="1292"/>
        <v>-9.8420000000000005</v>
      </c>
      <c r="AHW55" s="6">
        <f t="shared" si="1292"/>
        <v>-9.8420000000000005</v>
      </c>
      <c r="AHX55" s="6">
        <f t="shared" si="1292"/>
        <v>-11.942000000000002</v>
      </c>
      <c r="AHY55" s="6">
        <f t="shared" si="1292"/>
        <v>-11.942000000000002</v>
      </c>
      <c r="AHZ55" s="6">
        <f t="shared" si="1292"/>
        <v>-11.942000000000002</v>
      </c>
      <c r="AIA55" s="6">
        <f t="shared" si="1292"/>
        <v>-11.942000000000002</v>
      </c>
      <c r="AIB55" s="6">
        <f t="shared" si="1292"/>
        <v>-11.942000000000002</v>
      </c>
      <c r="AIC55" s="6">
        <f t="shared" si="1292"/>
        <v>-11.942000000000002</v>
      </c>
      <c r="AID55" s="6">
        <f t="shared" si="1292"/>
        <v>-11.942000000000002</v>
      </c>
      <c r="AIE55" s="6">
        <f t="shared" si="1292"/>
        <v>-11.942000000000002</v>
      </c>
      <c r="AIF55" s="6">
        <f t="shared" si="1292"/>
        <v>-2.9220000000000006</v>
      </c>
      <c r="AIG55" s="6">
        <f t="shared" si="1292"/>
        <v>-2.9220000000000006</v>
      </c>
      <c r="AIH55" s="6">
        <f t="shared" si="1292"/>
        <v>-2.9220000000000006</v>
      </c>
      <c r="AII55" s="6">
        <f t="shared" si="1292"/>
        <v>-11.942000000000002</v>
      </c>
      <c r="AIJ55" s="6">
        <f t="shared" si="1292"/>
        <v>-11.942000000000002</v>
      </c>
      <c r="AIK55" s="6">
        <f t="shared" si="1292"/>
        <v>-11.942000000000002</v>
      </c>
      <c r="AIL55" s="6">
        <f t="shared" si="1292"/>
        <v>-11.942000000000002</v>
      </c>
      <c r="AIM55" s="6">
        <f t="shared" si="1292"/>
        <v>-11.942000000000002</v>
      </c>
      <c r="AIN55" s="6">
        <f t="shared" si="1292"/>
        <v>-11.942000000000002</v>
      </c>
      <c r="AIO55" s="6">
        <f t="shared" si="1292"/>
        <v>-9.8420000000000005</v>
      </c>
      <c r="AIP55" s="6">
        <f t="shared" si="1292"/>
        <v>-9.8420000000000005</v>
      </c>
      <c r="AIQ55" s="6">
        <f t="shared" si="1292"/>
        <v>-9.8420000000000005</v>
      </c>
      <c r="AIR55" s="6">
        <f t="shared" si="1292"/>
        <v>-9.8420000000000005</v>
      </c>
      <c r="AIS55" s="6">
        <f t="shared" si="1292"/>
        <v>-9.8420000000000005</v>
      </c>
      <c r="AIT55" s="6">
        <f t="shared" si="1292"/>
        <v>-9.8420000000000005</v>
      </c>
      <c r="AIU55" s="6">
        <f t="shared" si="1292"/>
        <v>-9.8420000000000005</v>
      </c>
      <c r="AIV55" s="6">
        <f t="shared" si="1292"/>
        <v>-9.8420000000000005</v>
      </c>
      <c r="AIW55" s="6">
        <f t="shared" si="1292"/>
        <v>-9.8420000000000005</v>
      </c>
      <c r="AIX55" s="6">
        <f t="shared" si="1292"/>
        <v>-9.8420000000000005</v>
      </c>
      <c r="AIY55" s="6">
        <f t="shared" si="1292"/>
        <v>-9.8420000000000005</v>
      </c>
      <c r="AIZ55" s="6">
        <f t="shared" si="1292"/>
        <v>-9.8420000000000005</v>
      </c>
      <c r="AJA55" s="6">
        <f t="shared" si="1292"/>
        <v>-9.8420000000000005</v>
      </c>
      <c r="AJB55" s="6">
        <f t="shared" si="1292"/>
        <v>-9.8420000000000005</v>
      </c>
      <c r="AJC55" s="6">
        <f t="shared" si="1292"/>
        <v>-9.8420000000000005</v>
      </c>
      <c r="AJD55" s="6">
        <f t="shared" si="1292"/>
        <v>-11.942000000000002</v>
      </c>
      <c r="AJE55" s="6">
        <f t="shared" si="1292"/>
        <v>-11.942000000000002</v>
      </c>
      <c r="AJF55" s="6">
        <f t="shared" si="1292"/>
        <v>-11.942000000000002</v>
      </c>
      <c r="AJG55" s="6">
        <f t="shared" si="1292"/>
        <v>-11.942000000000002</v>
      </c>
      <c r="AJH55" s="6">
        <f t="shared" si="1292"/>
        <v>-11.942000000000002</v>
      </c>
      <c r="AJI55" s="6">
        <f t="shared" si="1292"/>
        <v>-11.842000000000001</v>
      </c>
      <c r="AJJ55" s="6">
        <f t="shared" si="1292"/>
        <v>-11.842000000000001</v>
      </c>
      <c r="AJK55" s="6">
        <f t="shared" si="1292"/>
        <v>-11.842000000000001</v>
      </c>
      <c r="AJL55" s="6">
        <f t="shared" si="1292"/>
        <v>-11.842000000000001</v>
      </c>
      <c r="AJM55" s="6">
        <f t="shared" si="1292"/>
        <v>-11.842000000000001</v>
      </c>
      <c r="AJN55" s="6">
        <f t="shared" si="1292"/>
        <v>-9.9420000000000002</v>
      </c>
      <c r="AJO55" s="6">
        <f t="shared" si="1292"/>
        <v>-9.9420000000000002</v>
      </c>
      <c r="AJP55" s="6">
        <f t="shared" si="1292"/>
        <v>-9.9420000000000002</v>
      </c>
      <c r="AJQ55" s="6">
        <f t="shared" si="1292"/>
        <v>-11.842000000000001</v>
      </c>
      <c r="AJR55" s="6">
        <f t="shared" si="1292"/>
        <v>-11.772000000000002</v>
      </c>
      <c r="AJS55" s="6">
        <f t="shared" si="1292"/>
        <v>-11.772000000000002</v>
      </c>
      <c r="AJT55" s="6">
        <f t="shared" si="1292"/>
        <v>-11.772000000000002</v>
      </c>
      <c r="AJU55" s="6">
        <f t="shared" si="1292"/>
        <v>-11.842000000000001</v>
      </c>
      <c r="AJV55" s="6">
        <f t="shared" si="1292"/>
        <v>11.438000000000001</v>
      </c>
      <c r="AJW55" s="6">
        <f t="shared" si="1292"/>
        <v>11.337999999999999</v>
      </c>
      <c r="AJX55" s="6">
        <f t="shared" si="1292"/>
        <v>11.337999999999999</v>
      </c>
      <c r="AJY55" s="6">
        <f t="shared" si="1292"/>
        <v>11.337999999999999</v>
      </c>
      <c r="AJZ55" s="6">
        <f t="shared" si="1292"/>
        <v>-11.942000000000002</v>
      </c>
      <c r="AKA55" s="6">
        <f t="shared" si="1292"/>
        <v>-11.942000000000002</v>
      </c>
      <c r="AKB55" s="6">
        <f t="shared" ref="AKB55:ALW55" si="1293">SUM(AKB56:AKB61)</f>
        <v>-11.942000000000002</v>
      </c>
      <c r="AKC55" s="6">
        <f t="shared" si="1293"/>
        <v>-9.8420000000000005</v>
      </c>
      <c r="AKD55" s="6">
        <f t="shared" si="1293"/>
        <v>-9.8420000000000005</v>
      </c>
      <c r="AKE55" s="6">
        <f t="shared" si="1293"/>
        <v>-9.8420000000000005</v>
      </c>
      <c r="AKF55" s="6">
        <f t="shared" si="1293"/>
        <v>-9.8420000000000005</v>
      </c>
      <c r="AKG55" s="6">
        <f t="shared" si="1293"/>
        <v>-9.8420000000000005</v>
      </c>
      <c r="AKH55" s="6">
        <f t="shared" si="1293"/>
        <v>-9.8420000000000005</v>
      </c>
      <c r="AKI55" s="6">
        <f t="shared" si="1293"/>
        <v>-9.8420000000000005</v>
      </c>
      <c r="AKJ55" s="6">
        <f t="shared" si="1293"/>
        <v>-9.8420000000000005</v>
      </c>
      <c r="AKK55" s="6">
        <f t="shared" si="1293"/>
        <v>-9.8420000000000005</v>
      </c>
      <c r="AKL55" s="6">
        <f t="shared" si="1293"/>
        <v>-9.8420000000000005</v>
      </c>
      <c r="AKM55" s="6">
        <f t="shared" si="1293"/>
        <v>-9.8420000000000005</v>
      </c>
      <c r="AKN55" s="6">
        <f t="shared" si="1293"/>
        <v>-9.8420000000000005</v>
      </c>
      <c r="AKO55" s="6">
        <f t="shared" si="1293"/>
        <v>-9.8420000000000005</v>
      </c>
      <c r="AKP55" s="6">
        <f t="shared" si="1293"/>
        <v>-9.8420000000000005</v>
      </c>
      <c r="AKQ55" s="6">
        <f t="shared" si="1293"/>
        <v>-9.8420000000000005</v>
      </c>
      <c r="AKR55" s="6">
        <f t="shared" si="1293"/>
        <v>-11.942000000000002</v>
      </c>
      <c r="AKS55" s="6">
        <f t="shared" si="1293"/>
        <v>-11.942000000000002</v>
      </c>
      <c r="AKT55" s="6">
        <f t="shared" si="1293"/>
        <v>-11.942000000000002</v>
      </c>
      <c r="AKU55" s="6">
        <f t="shared" si="1293"/>
        <v>-11.942000000000002</v>
      </c>
      <c r="AKV55" s="6">
        <f t="shared" si="1293"/>
        <v>-12.042000000000002</v>
      </c>
      <c r="AKW55" s="6">
        <f t="shared" si="1293"/>
        <v>-12.042000000000002</v>
      </c>
      <c r="AKX55" s="6">
        <f t="shared" si="1293"/>
        <v>-12.042000000000002</v>
      </c>
      <c r="AKY55" s="6">
        <f t="shared" si="1293"/>
        <v>-12.042000000000002</v>
      </c>
      <c r="AKZ55" s="6">
        <f t="shared" si="1293"/>
        <v>-12.042000000000002</v>
      </c>
      <c r="ALA55" s="6">
        <f t="shared" si="1293"/>
        <v>-12.042000000000002</v>
      </c>
      <c r="ALB55" s="6">
        <f t="shared" si="1293"/>
        <v>-12.042000000000002</v>
      </c>
      <c r="ALC55" s="6">
        <f t="shared" si="1293"/>
        <v>-12.042000000000002</v>
      </c>
      <c r="ALD55" s="6">
        <f t="shared" si="1293"/>
        <v>-12.042000000000002</v>
      </c>
      <c r="ALE55" s="6">
        <f t="shared" si="1293"/>
        <v>-12.142000000000001</v>
      </c>
      <c r="ALF55" s="6">
        <f t="shared" si="1293"/>
        <v>-12.142000000000001</v>
      </c>
      <c r="ALG55" s="6">
        <f t="shared" si="1293"/>
        <v>-12.142000000000001</v>
      </c>
      <c r="ALH55" s="6">
        <f t="shared" si="1293"/>
        <v>-12.142000000000001</v>
      </c>
      <c r="ALI55" s="6">
        <f t="shared" si="1293"/>
        <v>-12.142000000000001</v>
      </c>
      <c r="ALJ55" s="6">
        <f t="shared" si="1293"/>
        <v>-3.1219999999999999</v>
      </c>
      <c r="ALK55" s="6">
        <f t="shared" si="1293"/>
        <v>-3.1219999999999999</v>
      </c>
      <c r="ALL55" s="6">
        <f t="shared" si="1293"/>
        <v>-3.1219999999999999</v>
      </c>
      <c r="ALM55" s="6">
        <f t="shared" si="1293"/>
        <v>-12.142000000000001</v>
      </c>
      <c r="ALN55" s="6">
        <f t="shared" si="1293"/>
        <v>-12.142000000000001</v>
      </c>
      <c r="ALO55" s="6">
        <f t="shared" si="1293"/>
        <v>-12.142000000000001</v>
      </c>
      <c r="ALP55" s="6">
        <f t="shared" si="1293"/>
        <v>-12.142000000000001</v>
      </c>
      <c r="ALQ55" s="6">
        <f t="shared" si="1293"/>
        <v>-12.142000000000001</v>
      </c>
      <c r="ALR55" s="6">
        <f t="shared" si="1293"/>
        <v>-12.142000000000001</v>
      </c>
      <c r="ALS55" s="6">
        <f t="shared" si="1293"/>
        <v>-12.142000000000001</v>
      </c>
      <c r="ALT55" s="6">
        <f t="shared" si="1293"/>
        <v>-12.142000000000001</v>
      </c>
      <c r="ALU55" s="6">
        <f t="shared" si="1293"/>
        <v>-12.142000000000001</v>
      </c>
      <c r="ALV55" s="6">
        <f t="shared" si="1293"/>
        <v>-12.142000000000001</v>
      </c>
      <c r="ALW55" s="6">
        <f t="shared" si="1293"/>
        <v>-12.142000000000001</v>
      </c>
    </row>
    <row r="56" spans="2:1011" outlineLevel="1" x14ac:dyDescent="0.25">
      <c r="C56" s="5" t="s">
        <v>11</v>
      </c>
      <c r="D56" s="6">
        <f>VLOOKUP(D$26, SCOOP!$G$3:$J$9, 3, FALSE)</f>
        <v>0</v>
      </c>
      <c r="E56" s="6">
        <f>VLOOKUP(E$26, SCOOP!$G$3:$J$9, 3, FALSE)</f>
        <v>0</v>
      </c>
      <c r="F56" s="6">
        <f>VLOOKUP(F$26, SCOOP!$G$3:$J$9, 3, FALSE)</f>
        <v>0</v>
      </c>
      <c r="G56" s="6">
        <f>VLOOKUP(G$26, SCOOP!$G$3:$J$9, 3, FALSE)</f>
        <v>0</v>
      </c>
      <c r="H56" s="6">
        <f>VLOOKUP(H$26, SCOOP!$G$3:$J$9, 3, FALSE)</f>
        <v>0</v>
      </c>
      <c r="I56" s="6">
        <f>VLOOKUP(I$26, SCOOP!$G$3:$J$9, 3, FALSE)</f>
        <v>0</v>
      </c>
      <c r="J56" s="6">
        <f>VLOOKUP(J$26, SCOOP!$G$3:$J$9, 3, FALSE)</f>
        <v>0</v>
      </c>
      <c r="K56" s="6">
        <f>VLOOKUP(K$26, SCOOP!$G$3:$J$9, 3, FALSE)</f>
        <v>0</v>
      </c>
      <c r="L56" s="6">
        <f>VLOOKUP(L$26, SCOOP!$G$3:$J$9, 3, FALSE)</f>
        <v>0</v>
      </c>
      <c r="M56" s="6">
        <f>VLOOKUP(M$26, SCOOP!$G$3:$J$9, 3, FALSE)</f>
        <v>0</v>
      </c>
      <c r="N56" s="6">
        <f>VLOOKUP(N$26, SCOOP!$G$3:$J$9, 3, FALSE)</f>
        <v>0</v>
      </c>
      <c r="O56" s="6">
        <f>VLOOKUP(O$26, SCOOP!$G$3:$J$9, 3, FALSE)</f>
        <v>0</v>
      </c>
      <c r="P56" s="6">
        <f>VLOOKUP(P$26, SCOOP!$G$3:$J$9, 3, FALSE)</f>
        <v>0</v>
      </c>
      <c r="Q56" s="6">
        <f>VLOOKUP(Q$26, SCOOP!$G$3:$J$9, 3, FALSE)</f>
        <v>0</v>
      </c>
      <c r="R56" s="6">
        <f>VLOOKUP(R$26, SCOOP!$G$3:$J$9, 3, FALSE)</f>
        <v>0</v>
      </c>
      <c r="S56" s="6">
        <f>VLOOKUP(S$26, SCOOP!$G$3:$J$9, 3, FALSE)</f>
        <v>0</v>
      </c>
      <c r="T56" s="6">
        <f>VLOOKUP(T$26, SCOOP!$G$3:$J$9, 3, FALSE)</f>
        <v>0</v>
      </c>
      <c r="U56" s="6">
        <f>VLOOKUP(U$26, SCOOP!$G$3:$J$9, 3, FALSE)</f>
        <v>0</v>
      </c>
      <c r="V56" s="6">
        <f>VLOOKUP(V$26, SCOOP!$G$3:$J$9, 3, FALSE)</f>
        <v>0</v>
      </c>
      <c r="W56" s="6">
        <f>VLOOKUP(W$26, SCOOP!$G$3:$J$9, 3, FALSE)</f>
        <v>0</v>
      </c>
      <c r="X56" s="6">
        <f>VLOOKUP(X$26, SCOOP!$G$3:$J$9, 3, FALSE)</f>
        <v>0</v>
      </c>
      <c r="Y56" s="6">
        <f>VLOOKUP(Y$26, SCOOP!$G$3:$J$9, 3, FALSE)</f>
        <v>0</v>
      </c>
      <c r="Z56" s="6">
        <f>VLOOKUP(Z$26, SCOOP!$G$3:$J$9, 3, FALSE)</f>
        <v>0</v>
      </c>
      <c r="AA56" s="6">
        <f>VLOOKUP(AA$26, SCOOP!$G$3:$J$9, 3, FALSE)</f>
        <v>0</v>
      </c>
      <c r="AB56" s="6">
        <f>VLOOKUP(AB$26, SCOOP!$G$3:$J$9, 3, FALSE)</f>
        <v>0</v>
      </c>
      <c r="AC56" s="6">
        <f>VLOOKUP(AC$26, SCOOP!$G$3:$J$9, 3, FALSE)</f>
        <v>0</v>
      </c>
      <c r="AD56" s="6">
        <f>VLOOKUP(AD$26, SCOOP!$G$3:$J$9, 3, FALSE)</f>
        <v>0</v>
      </c>
      <c r="AE56" s="6">
        <f>VLOOKUP(AE$26, SCOOP!$G$3:$J$9, 3, FALSE)</f>
        <v>0</v>
      </c>
      <c r="AF56" s="6">
        <f>VLOOKUP(AF$26, SCOOP!$G$3:$J$9, 3, FALSE)</f>
        <v>0</v>
      </c>
      <c r="AG56" s="6">
        <f>VLOOKUP(AG$26, SCOOP!$G$3:$J$9, 3, FALSE)</f>
        <v>0</v>
      </c>
      <c r="AH56" s="6">
        <f>VLOOKUP(AH$26, SCOOP!$G$3:$J$9, 3, FALSE)</f>
        <v>0</v>
      </c>
      <c r="AI56" s="6">
        <f>VLOOKUP(AI$26, SCOOP!$G$3:$J$9, 3, FALSE)</f>
        <v>0</v>
      </c>
      <c r="AJ56" s="6">
        <f>VLOOKUP(AJ$26, SCOOP!$G$3:$J$9, 3, FALSE)</f>
        <v>0</v>
      </c>
      <c r="AK56" s="6">
        <f>VLOOKUP(AK$26, SCOOP!$G$3:$J$9, 3, FALSE)</f>
        <v>0</v>
      </c>
      <c r="AL56" s="6">
        <f>VLOOKUP(AL$26, SCOOP!$G$3:$J$9, 3, FALSE)</f>
        <v>0</v>
      </c>
      <c r="AM56" s="6">
        <f>VLOOKUP(AM$26, SCOOP!$G$3:$J$9, 3, FALSE)</f>
        <v>0</v>
      </c>
      <c r="AN56" s="6">
        <f>VLOOKUP(AN$26, SCOOP!$G$3:$J$9, 3, FALSE)</f>
        <v>0</v>
      </c>
      <c r="AO56" s="6">
        <f>VLOOKUP(AO$26, SCOOP!$G$3:$J$9, 3, FALSE)</f>
        <v>0</v>
      </c>
      <c r="AP56" s="6">
        <f>VLOOKUP(AP$26, SCOOP!$G$3:$J$9, 3, FALSE)</f>
        <v>0</v>
      </c>
      <c r="AQ56" s="6">
        <f>VLOOKUP(AQ$26, SCOOP!$G$3:$J$9, 3, FALSE)</f>
        <v>0</v>
      </c>
      <c r="AR56" s="6">
        <f>VLOOKUP(AR$26, SCOOP!$G$3:$J$9, 3, FALSE)</f>
        <v>0</v>
      </c>
      <c r="AS56" s="6">
        <f>VLOOKUP(AS$26, SCOOP!$G$3:$J$9, 3, FALSE)</f>
        <v>0</v>
      </c>
      <c r="AT56" s="6">
        <f>VLOOKUP(AT$26, SCOOP!$G$3:$J$9, 3, FALSE)</f>
        <v>0</v>
      </c>
      <c r="AU56" s="6">
        <f>VLOOKUP(AU$26, SCOOP!$G$3:$J$9, 3, FALSE)</f>
        <v>0</v>
      </c>
      <c r="AV56" s="6">
        <f>VLOOKUP(AV$26, SCOOP!$G$3:$J$9, 3, FALSE)</f>
        <v>0</v>
      </c>
      <c r="AW56" s="6">
        <f>VLOOKUP(AW$26, SCOOP!$G$3:$J$9, 3, FALSE)</f>
        <v>0</v>
      </c>
      <c r="AX56" s="6">
        <f>VLOOKUP(AX$26, SCOOP!$G$3:$J$9, 3, FALSE)</f>
        <v>0</v>
      </c>
      <c r="AY56" s="6">
        <f>VLOOKUP(AY$26, SCOOP!$G$3:$J$9, 3, FALSE)</f>
        <v>0</v>
      </c>
      <c r="AZ56" s="6">
        <f>VLOOKUP(AZ$26, SCOOP!$G$3:$J$9, 3, FALSE)</f>
        <v>0</v>
      </c>
      <c r="BA56" s="6">
        <f>VLOOKUP(BA$26, SCOOP!$G$3:$J$9, 3, FALSE)</f>
        <v>0</v>
      </c>
      <c r="BB56" s="6">
        <f>VLOOKUP(BB$26, SCOOP!$G$3:$J$9, 3, FALSE)</f>
        <v>0</v>
      </c>
      <c r="BC56" s="6">
        <f>VLOOKUP(BC$26, SCOOP!$G$3:$J$9, 3, FALSE)</f>
        <v>0</v>
      </c>
      <c r="BD56" s="6">
        <f>VLOOKUP(BD$26, SCOOP!$G$3:$J$9, 3, FALSE)</f>
        <v>0</v>
      </c>
      <c r="BE56" s="6">
        <f>VLOOKUP(BE$26, SCOOP!$G$3:$J$9, 3, FALSE)</f>
        <v>0</v>
      </c>
      <c r="BF56" s="6">
        <f>VLOOKUP(BF$26, SCOOP!$G$3:$J$9, 3, FALSE)</f>
        <v>0</v>
      </c>
      <c r="BG56" s="6">
        <f>VLOOKUP(BG$26, SCOOP!$G$3:$J$9, 3, FALSE)</f>
        <v>0</v>
      </c>
      <c r="BH56" s="6">
        <f>VLOOKUP(BH$26, SCOOP!$G$3:$J$9, 3, FALSE)</f>
        <v>0</v>
      </c>
      <c r="BI56" s="6">
        <f>VLOOKUP(BI$26, SCOOP!$G$3:$J$9, 3, FALSE)</f>
        <v>0</v>
      </c>
      <c r="BJ56" s="6">
        <f>VLOOKUP(BJ$26, SCOOP!$G$3:$J$9, 3, FALSE)</f>
        <v>0</v>
      </c>
      <c r="BK56" s="6">
        <f>VLOOKUP(BK$26, SCOOP!$G$3:$J$9, 3, FALSE)</f>
        <v>0</v>
      </c>
      <c r="BL56" s="6">
        <f>VLOOKUP(BL$26, SCOOP!$G$3:$J$9, 3, FALSE)</f>
        <v>0</v>
      </c>
      <c r="BM56" s="6">
        <f>VLOOKUP(BM$26, SCOOP!$G$3:$J$9, 3, FALSE)</f>
        <v>0</v>
      </c>
      <c r="BN56" s="6">
        <f>VLOOKUP(BN$26, SCOOP!$G$3:$J$9, 3, FALSE)</f>
        <v>0</v>
      </c>
      <c r="BO56" s="6">
        <f>VLOOKUP(BO$26, SCOOP!$G$3:$J$9, 3, FALSE)</f>
        <v>0</v>
      </c>
      <c r="BP56" s="6">
        <f>VLOOKUP(BP$26, SCOOP!$G$3:$J$9, 3, FALSE)</f>
        <v>0</v>
      </c>
      <c r="BQ56" s="6">
        <f>VLOOKUP(BQ$26, SCOOP!$G$3:$J$9, 3, FALSE)</f>
        <v>0</v>
      </c>
      <c r="BR56" s="6">
        <f>VLOOKUP(BR$26, SCOOP!$G$3:$J$9, 3, FALSE)</f>
        <v>0</v>
      </c>
      <c r="BS56" s="6">
        <f>VLOOKUP(BS$26, SCOOP!$G$3:$J$9, 3, FALSE)</f>
        <v>0</v>
      </c>
      <c r="BT56" s="6">
        <f>VLOOKUP(BT$26, SCOOP!$G$3:$J$9, 3, FALSE)</f>
        <v>0</v>
      </c>
      <c r="BU56" s="6">
        <f>VLOOKUP(BU$26, SCOOP!$G$3:$J$9, 3, FALSE)</f>
        <v>0</v>
      </c>
      <c r="BV56" s="6">
        <f>VLOOKUP(BV$26, SCOOP!$G$3:$J$9, 3, FALSE)</f>
        <v>0</v>
      </c>
      <c r="BW56" s="6">
        <f>VLOOKUP(BW$26, SCOOP!$G$3:$J$9, 3, FALSE)</f>
        <v>0</v>
      </c>
      <c r="BX56" s="6">
        <f>VLOOKUP(BX$26, SCOOP!$G$3:$J$9, 3, FALSE)</f>
        <v>0</v>
      </c>
      <c r="BY56" s="6">
        <f>VLOOKUP(BY$26, SCOOP!$G$3:$J$9, 3, FALSE)</f>
        <v>0</v>
      </c>
      <c r="BZ56" s="6">
        <f>VLOOKUP(BZ$26, SCOOP!$G$3:$J$9, 3, FALSE)</f>
        <v>0</v>
      </c>
      <c r="CA56" s="6">
        <f>VLOOKUP(CA$26, SCOOP!$G$3:$J$9, 3, FALSE)</f>
        <v>0</v>
      </c>
      <c r="CB56" s="6">
        <f>VLOOKUP(CB$26, SCOOP!$G$3:$J$9, 3, FALSE)</f>
        <v>0</v>
      </c>
      <c r="CC56" s="6">
        <f>VLOOKUP(CC$26, SCOOP!$G$3:$J$9, 3, FALSE)</f>
        <v>0</v>
      </c>
      <c r="CD56" s="6">
        <f>VLOOKUP(CD$26, SCOOP!$G$3:$J$9, 3, FALSE)</f>
        <v>0</v>
      </c>
      <c r="CE56" s="6">
        <f>VLOOKUP(CE$26, SCOOP!$G$3:$J$9, 3, FALSE)</f>
        <v>0</v>
      </c>
      <c r="CF56" s="6">
        <f>VLOOKUP(CF$26, SCOOP!$G$3:$J$9, 3, FALSE)</f>
        <v>0</v>
      </c>
      <c r="CG56" s="6">
        <f>VLOOKUP(CG$26, SCOOP!$G$3:$J$9, 3, FALSE)</f>
        <v>0</v>
      </c>
      <c r="CH56" s="6">
        <f>VLOOKUP(CH$26, SCOOP!$G$3:$J$9, 3, FALSE)</f>
        <v>0</v>
      </c>
      <c r="CI56" s="6">
        <f>VLOOKUP(CI$26, SCOOP!$G$3:$J$9, 3, FALSE)</f>
        <v>0</v>
      </c>
      <c r="CJ56" s="6">
        <f>VLOOKUP(CJ$26, SCOOP!$G$3:$J$9, 3, FALSE)</f>
        <v>0</v>
      </c>
      <c r="CK56" s="6">
        <f>VLOOKUP(CK$26, SCOOP!$G$3:$J$9, 3, FALSE)</f>
        <v>0</v>
      </c>
      <c r="CL56" s="6">
        <f>VLOOKUP(CL$26, SCOOP!$G$3:$J$9, 3, FALSE)</f>
        <v>0</v>
      </c>
      <c r="CM56" s="6">
        <f>VLOOKUP(CM$26, SCOOP!$G$3:$J$9, 3, FALSE)</f>
        <v>0</v>
      </c>
      <c r="CN56" s="6">
        <f>VLOOKUP(CN$26, SCOOP!$G$3:$J$9, 3, FALSE)</f>
        <v>0</v>
      </c>
      <c r="CO56" s="6">
        <f>VLOOKUP(CO$26, SCOOP!$G$3:$J$9, 3, FALSE)</f>
        <v>0</v>
      </c>
      <c r="CP56" s="6">
        <f>VLOOKUP(CP$26, SCOOP!$G$3:$J$9, 3, FALSE)</f>
        <v>0</v>
      </c>
      <c r="CQ56" s="6">
        <f>VLOOKUP(CQ$26, SCOOP!$G$3:$J$9, 3, FALSE)</f>
        <v>0</v>
      </c>
      <c r="CR56" s="6">
        <f>VLOOKUP(CR$26, SCOOP!$G$3:$J$9, 3, FALSE)</f>
        <v>0</v>
      </c>
      <c r="CS56" s="6">
        <f>VLOOKUP(CS$26, SCOOP!$G$3:$J$9, 3, FALSE)</f>
        <v>0</v>
      </c>
      <c r="CT56" s="6">
        <f>VLOOKUP(CT$26, SCOOP!$G$3:$J$9, 3, FALSE)</f>
        <v>0</v>
      </c>
      <c r="CU56" s="6">
        <f>VLOOKUP(CU$26, SCOOP!$G$3:$J$9, 3, FALSE)</f>
        <v>0</v>
      </c>
      <c r="CV56" s="6">
        <f>VLOOKUP(CV$26, SCOOP!$G$3:$J$9, 3, FALSE)</f>
        <v>0</v>
      </c>
      <c r="CW56" s="6">
        <f>VLOOKUP(CW$26, SCOOP!$G$3:$J$9, 3, FALSE)</f>
        <v>0</v>
      </c>
      <c r="CX56" s="6">
        <f>VLOOKUP(CX$26, SCOOP!$G$3:$J$9, 3, FALSE)</f>
        <v>0</v>
      </c>
      <c r="CY56" s="6">
        <f>VLOOKUP(CY$26, SCOOP!$G$3:$J$9, 3, FALSE)</f>
        <v>0</v>
      </c>
      <c r="CZ56" s="6">
        <f>VLOOKUP(CZ$26, SCOOP!$G$3:$J$9, 3, FALSE)</f>
        <v>0</v>
      </c>
      <c r="DA56" s="6">
        <f>VLOOKUP(DA$26, SCOOP!$G$3:$J$9, 3, FALSE)</f>
        <v>0</v>
      </c>
      <c r="DB56" s="6">
        <f>VLOOKUP(DB$26, SCOOP!$G$3:$J$9, 3, FALSE)</f>
        <v>0</v>
      </c>
      <c r="DC56" s="6">
        <f>VLOOKUP(DC$26, SCOOP!$G$3:$J$9, 3, FALSE)</f>
        <v>0</v>
      </c>
      <c r="DD56" s="6">
        <f>VLOOKUP(DD$26, SCOOP!$G$3:$J$9, 3, FALSE)</f>
        <v>0</v>
      </c>
      <c r="DE56" s="6">
        <f>VLOOKUP(DE$26, SCOOP!$G$3:$J$9, 3, FALSE)</f>
        <v>0</v>
      </c>
      <c r="DF56" s="6">
        <f>VLOOKUP(DF$26, SCOOP!$G$3:$J$9, 3, FALSE)</f>
        <v>0</v>
      </c>
      <c r="DG56" s="6">
        <f>VLOOKUP(DG$26, SCOOP!$G$3:$J$9, 3, FALSE)</f>
        <v>0</v>
      </c>
      <c r="DH56" s="6">
        <f>VLOOKUP(DH$26, SCOOP!$G$3:$J$9, 3, FALSE)</f>
        <v>0</v>
      </c>
      <c r="DI56" s="6">
        <f>VLOOKUP(DI$26, SCOOP!$G$3:$J$9, 3, FALSE)</f>
        <v>0</v>
      </c>
      <c r="DJ56" s="6">
        <f>VLOOKUP(DJ$26, SCOOP!$G$3:$J$9, 3, FALSE)</f>
        <v>0</v>
      </c>
      <c r="DK56" s="6">
        <f>VLOOKUP(DK$26, SCOOP!$G$3:$J$9, 3, FALSE)</f>
        <v>0</v>
      </c>
      <c r="DL56" s="6">
        <f>VLOOKUP(DL$26, SCOOP!$G$3:$J$9, 3, FALSE)</f>
        <v>0</v>
      </c>
      <c r="DM56" s="6">
        <f>VLOOKUP(DM$26, SCOOP!$G$3:$J$9, 3, FALSE)</f>
        <v>0</v>
      </c>
      <c r="DN56" s="6">
        <f>VLOOKUP(DN$26, SCOOP!$G$3:$J$9, 3, FALSE)</f>
        <v>0</v>
      </c>
      <c r="DO56" s="6">
        <f>VLOOKUP(DO$26, SCOOP!$G$3:$J$9, 3, FALSE)</f>
        <v>0</v>
      </c>
      <c r="DP56" s="6">
        <f>VLOOKUP(DP$26, SCOOP!$G$3:$J$9, 3, FALSE)</f>
        <v>0</v>
      </c>
      <c r="DQ56" s="6">
        <f>VLOOKUP(DQ$26, SCOOP!$G$3:$J$9, 3, FALSE)</f>
        <v>0</v>
      </c>
      <c r="DR56" s="6">
        <f>VLOOKUP(DR$26, SCOOP!$G$3:$J$9, 3, FALSE)</f>
        <v>0</v>
      </c>
      <c r="DS56" s="6">
        <f>VLOOKUP(DS$26, SCOOP!$G$3:$J$9, 3, FALSE)</f>
        <v>0</v>
      </c>
      <c r="DT56" s="6">
        <f>VLOOKUP(DT$26, SCOOP!$G$3:$J$9, 3, FALSE)</f>
        <v>0</v>
      </c>
      <c r="DU56" s="6">
        <f>VLOOKUP(DU$26, SCOOP!$G$3:$J$9, 3, FALSE)</f>
        <v>0</v>
      </c>
      <c r="DV56" s="6">
        <f>VLOOKUP(DV$26, SCOOP!$G$3:$J$9, 3, FALSE)</f>
        <v>0</v>
      </c>
      <c r="DW56" s="6">
        <f>VLOOKUP(DW$26, SCOOP!$G$3:$J$9, 3, FALSE)</f>
        <v>0</v>
      </c>
      <c r="DX56" s="6">
        <f>VLOOKUP(DX$26, SCOOP!$G$3:$J$9, 3, FALSE)</f>
        <v>0</v>
      </c>
      <c r="DY56" s="6">
        <f>VLOOKUP(DY$26, SCOOP!$G$3:$J$9, 3, FALSE)</f>
        <v>0</v>
      </c>
      <c r="DZ56" s="6">
        <f>VLOOKUP(DZ$26, SCOOP!$G$3:$J$9, 3, FALSE)</f>
        <v>0</v>
      </c>
      <c r="EA56" s="6">
        <f>VLOOKUP(EA$26, SCOOP!$G$3:$J$9, 3, FALSE)</f>
        <v>0</v>
      </c>
      <c r="EB56" s="6">
        <f>VLOOKUP(EB$26, SCOOP!$G$3:$J$9, 3, FALSE)</f>
        <v>0</v>
      </c>
      <c r="EC56" s="6">
        <f>VLOOKUP(EC$26, SCOOP!$G$3:$J$9, 3, FALSE)</f>
        <v>0</v>
      </c>
      <c r="ED56" s="6">
        <f>VLOOKUP(ED$26, SCOOP!$G$3:$J$9, 3, FALSE)</f>
        <v>0</v>
      </c>
      <c r="EE56" s="6">
        <f>VLOOKUP(EE$26, SCOOP!$G$3:$J$9, 3, FALSE)</f>
        <v>0</v>
      </c>
      <c r="EF56" s="6">
        <f>VLOOKUP(EF$26, SCOOP!$G$3:$J$9, 3, FALSE)</f>
        <v>0</v>
      </c>
      <c r="EG56" s="6">
        <f>VLOOKUP(EG$26, SCOOP!$G$3:$J$9, 3, FALSE)</f>
        <v>0</v>
      </c>
      <c r="EH56" s="6">
        <f>VLOOKUP(EH$26, SCOOP!$G$3:$J$9, 3, FALSE)</f>
        <v>0</v>
      </c>
      <c r="EI56" s="6">
        <f>VLOOKUP(EI$26, SCOOP!$G$3:$J$9, 3, FALSE)</f>
        <v>0</v>
      </c>
      <c r="EJ56" s="6">
        <f>VLOOKUP(EJ$26, SCOOP!$G$3:$J$9, 3, FALSE)</f>
        <v>0</v>
      </c>
      <c r="EK56" s="6">
        <f>VLOOKUP(EK$26, SCOOP!$G$3:$J$9, 3, FALSE)</f>
        <v>0</v>
      </c>
      <c r="EL56" s="6">
        <f>VLOOKUP(EL$26, SCOOP!$G$3:$J$9, 3, FALSE)</f>
        <v>0</v>
      </c>
      <c r="EM56" s="6">
        <f>VLOOKUP(EM$26, SCOOP!$G$3:$J$9, 3, FALSE)</f>
        <v>0</v>
      </c>
      <c r="EN56" s="6">
        <f>VLOOKUP(EN$26, SCOOP!$G$3:$J$9, 3, FALSE)</f>
        <v>0</v>
      </c>
      <c r="EO56" s="6">
        <f>VLOOKUP(EO$26, SCOOP!$G$3:$J$9, 3, FALSE)</f>
        <v>0</v>
      </c>
      <c r="EP56" s="6">
        <f>VLOOKUP(EP$26, SCOOP!$G$3:$J$9, 3, FALSE)</f>
        <v>0</v>
      </c>
      <c r="EQ56" s="6">
        <f>VLOOKUP(EQ$26, SCOOP!$G$3:$J$9, 3, FALSE)</f>
        <v>0</v>
      </c>
      <c r="ER56" s="6">
        <f>VLOOKUP(ER$26, SCOOP!$G$3:$J$9, 3, FALSE)</f>
        <v>0.1</v>
      </c>
      <c r="ES56" s="6">
        <f>VLOOKUP(ES$26, SCOOP!$G$3:$J$9, 3, FALSE)</f>
        <v>0.1</v>
      </c>
      <c r="ET56" s="6">
        <f>VLOOKUP(ET$26, SCOOP!$G$3:$J$9, 3, FALSE)</f>
        <v>0.1</v>
      </c>
      <c r="EU56" s="6">
        <f>VLOOKUP(EU$26, SCOOP!$G$3:$J$9, 3, FALSE)</f>
        <v>0.1</v>
      </c>
      <c r="EV56" s="6">
        <f>VLOOKUP(EV$26, SCOOP!$G$3:$J$9, 3, FALSE)</f>
        <v>0.1</v>
      </c>
      <c r="EW56" s="6">
        <f>VLOOKUP(EW$26, SCOOP!$G$3:$J$9, 3, FALSE)</f>
        <v>0.1</v>
      </c>
      <c r="EX56" s="6">
        <f>VLOOKUP(EX$26, SCOOP!$G$3:$J$9, 3, FALSE)</f>
        <v>10</v>
      </c>
      <c r="EY56" s="6">
        <f>VLOOKUP(EY$26, SCOOP!$G$3:$J$9, 3, FALSE)</f>
        <v>10</v>
      </c>
      <c r="EZ56" s="6">
        <f>VLOOKUP(EZ$26, SCOOP!$G$3:$J$9, 3, FALSE)</f>
        <v>10</v>
      </c>
      <c r="FA56" s="6">
        <f>VLOOKUP(FA$26, SCOOP!$G$3:$J$9, 3, FALSE)</f>
        <v>10</v>
      </c>
      <c r="FB56" s="6">
        <f>VLOOKUP(FB$26, SCOOP!$G$3:$J$9, 3, FALSE)</f>
        <v>10</v>
      </c>
      <c r="FC56" s="6">
        <f>VLOOKUP(FC$26, SCOOP!$G$3:$J$9, 3, FALSE)</f>
        <v>10</v>
      </c>
      <c r="FD56" s="6">
        <f>VLOOKUP(FD$26, SCOOP!$G$3:$J$9, 3, FALSE)</f>
        <v>10</v>
      </c>
      <c r="FE56" s="6">
        <f>VLOOKUP(FE$26, SCOOP!$G$3:$J$9, 3, FALSE)</f>
        <v>10</v>
      </c>
      <c r="FF56" s="6">
        <f>VLOOKUP(FF$26, SCOOP!$G$3:$J$9, 3, FALSE)</f>
        <v>10</v>
      </c>
      <c r="FG56" s="6">
        <f>VLOOKUP(FG$26, SCOOP!$G$3:$J$9, 3, FALSE)</f>
        <v>10</v>
      </c>
      <c r="FH56" s="6">
        <f>VLOOKUP(FH$26, SCOOP!$G$3:$J$9, 3, FALSE)</f>
        <v>10</v>
      </c>
      <c r="FI56" s="6">
        <f>VLOOKUP(FI$26, SCOOP!$G$3:$J$9, 3, FALSE)</f>
        <v>10</v>
      </c>
      <c r="FJ56" s="6">
        <f>VLOOKUP(FJ$26, SCOOP!$G$3:$J$9, 3, FALSE)</f>
        <v>1.2</v>
      </c>
      <c r="FK56" s="6">
        <f>VLOOKUP(FK$26, SCOOP!$G$3:$J$9, 3, FALSE)</f>
        <v>1.2</v>
      </c>
      <c r="FL56" s="6">
        <f>VLOOKUP(FL$26, SCOOP!$G$3:$J$9, 3, FALSE)</f>
        <v>1.2</v>
      </c>
      <c r="FM56" s="6">
        <f>VLOOKUP(FM$26, SCOOP!$G$3:$J$9, 3, FALSE)</f>
        <v>1.2</v>
      </c>
      <c r="FN56" s="6">
        <f>VLOOKUP(FN$26, SCOOP!$G$3:$J$9, 3, FALSE)</f>
        <v>1.2</v>
      </c>
      <c r="FO56" s="6">
        <f>VLOOKUP(FO$26, SCOOP!$G$3:$J$9, 3, FALSE)</f>
        <v>1.2</v>
      </c>
      <c r="FP56" s="6">
        <f>VLOOKUP(FP$26, SCOOP!$G$3:$J$9, 3, FALSE)</f>
        <v>0.3</v>
      </c>
      <c r="FQ56" s="6">
        <f>VLOOKUP(FQ$26, SCOOP!$G$3:$J$9, 3, FALSE)</f>
        <v>0.3</v>
      </c>
      <c r="FR56" s="6">
        <f>VLOOKUP(FR$26, SCOOP!$G$3:$J$9, 3, FALSE)</f>
        <v>0.3</v>
      </c>
      <c r="FS56" s="6">
        <f>VLOOKUP(FS$26, SCOOP!$G$3:$J$9, 3, FALSE)</f>
        <v>0.3</v>
      </c>
      <c r="FT56" s="6">
        <f>VLOOKUP(FT$26, SCOOP!$G$3:$J$9, 3, FALSE)</f>
        <v>0.3</v>
      </c>
      <c r="FU56" s="6">
        <f>VLOOKUP(FU$26, SCOOP!$G$3:$J$9, 3, FALSE)</f>
        <v>0.3</v>
      </c>
      <c r="FV56" s="6">
        <f>VLOOKUP(FV$26, SCOOP!$G$3:$J$9, 3, FALSE)</f>
        <v>0.3</v>
      </c>
      <c r="FW56" s="6">
        <f>VLOOKUP(FW$26, SCOOP!$G$3:$J$9, 3, FALSE)</f>
        <v>0.3</v>
      </c>
      <c r="FX56" s="6">
        <f>VLOOKUP(FX$26, SCOOP!$G$3:$J$9, 3, FALSE)</f>
        <v>0.3</v>
      </c>
      <c r="FY56" s="6">
        <f>VLOOKUP(FY$26, SCOOP!$G$3:$J$9, 3, FALSE)</f>
        <v>0.3</v>
      </c>
      <c r="FZ56" s="6">
        <f>VLOOKUP(FZ$26, SCOOP!$G$3:$J$9, 3, FALSE)</f>
        <v>0.3</v>
      </c>
      <c r="GA56" s="6">
        <f>VLOOKUP(GA$26, SCOOP!$G$3:$J$9, 3, FALSE)</f>
        <v>0.3</v>
      </c>
      <c r="GB56" s="6">
        <f>VLOOKUP(GB$26, SCOOP!$G$3:$J$9, 3, FALSE)</f>
        <v>0.3</v>
      </c>
      <c r="GC56" s="6">
        <f>VLOOKUP(GC$26, SCOOP!$G$3:$J$9, 3, FALSE)</f>
        <v>0.3</v>
      </c>
      <c r="GD56" s="6">
        <f>VLOOKUP(GD$26, SCOOP!$G$3:$J$9, 3, FALSE)</f>
        <v>0.3</v>
      </c>
      <c r="GE56" s="6">
        <f>VLOOKUP(GE$26, SCOOP!$G$3:$J$9, 3, FALSE)</f>
        <v>0.3</v>
      </c>
      <c r="GF56" s="6">
        <f>VLOOKUP(GF$26, SCOOP!$G$3:$J$9, 3, FALSE)</f>
        <v>0.3</v>
      </c>
      <c r="GG56" s="6">
        <f>VLOOKUP(GG$26, SCOOP!$G$3:$J$9, 3, FALSE)</f>
        <v>0.3</v>
      </c>
      <c r="GH56" s="6">
        <f>VLOOKUP(GH$26, SCOOP!$G$3:$J$9, 3, FALSE)</f>
        <v>0.3</v>
      </c>
      <c r="GI56" s="6">
        <f>VLOOKUP(GI$26, SCOOP!$G$3:$J$9, 3, FALSE)</f>
        <v>0.3</v>
      </c>
      <c r="GJ56" s="6">
        <f>VLOOKUP(GJ$26, SCOOP!$G$3:$J$9, 3, FALSE)</f>
        <v>0.3</v>
      </c>
      <c r="GK56" s="6">
        <f>VLOOKUP(GK$26, SCOOP!$G$3:$J$9, 3, FALSE)</f>
        <v>0.3</v>
      </c>
      <c r="GL56" s="6">
        <f>VLOOKUP(GL$26, SCOOP!$G$3:$J$9, 3, FALSE)</f>
        <v>0.3</v>
      </c>
      <c r="GM56" s="6">
        <f>VLOOKUP(GM$26, SCOOP!$G$3:$J$9, 3, FALSE)</f>
        <v>0.3</v>
      </c>
      <c r="GN56" s="6">
        <f>VLOOKUP(GN$26, SCOOP!$G$3:$J$9, 3, FALSE)</f>
        <v>0.3</v>
      </c>
      <c r="GO56" s="6">
        <f>VLOOKUP(GO$26, SCOOP!$G$3:$J$9, 3, FALSE)</f>
        <v>0.3</v>
      </c>
      <c r="GP56" s="6">
        <f>VLOOKUP(GP$26, SCOOP!$G$3:$J$9, 3, FALSE)</f>
        <v>0.3</v>
      </c>
      <c r="GQ56" s="6">
        <f>VLOOKUP(GQ$26, SCOOP!$G$3:$J$9, 3, FALSE)</f>
        <v>0.3</v>
      </c>
      <c r="GR56" s="6">
        <f>VLOOKUP(GR$26, SCOOP!$G$3:$J$9, 3, FALSE)</f>
        <v>0.3</v>
      </c>
      <c r="GS56" s="6">
        <f>VLOOKUP(GS$26, SCOOP!$G$3:$J$9, 3, FALSE)</f>
        <v>0.3</v>
      </c>
      <c r="GT56" s="6">
        <f>VLOOKUP(GT$26, SCOOP!$G$3:$J$9, 3, FALSE)</f>
        <v>0.3</v>
      </c>
      <c r="GU56" s="6">
        <f>VLOOKUP(GU$26, SCOOP!$G$3:$J$9, 3, FALSE)</f>
        <v>0.3</v>
      </c>
      <c r="GV56" s="6">
        <f>VLOOKUP(GV$26, SCOOP!$G$3:$J$9, 3, FALSE)</f>
        <v>0.3</v>
      </c>
      <c r="GW56" s="6">
        <f>VLOOKUP(GW$26, SCOOP!$G$3:$J$9, 3, FALSE)</f>
        <v>0.3</v>
      </c>
      <c r="GX56" s="6">
        <f>VLOOKUP(GX$26, SCOOP!$G$3:$J$9, 3, FALSE)</f>
        <v>0.3</v>
      </c>
      <c r="GY56" s="6">
        <f>VLOOKUP(GY$26, SCOOP!$G$3:$J$9, 3, FALSE)</f>
        <v>0.3</v>
      </c>
      <c r="GZ56" s="6">
        <f>VLOOKUP(GZ$26, SCOOP!$G$3:$J$9, 3, FALSE)</f>
        <v>0.3</v>
      </c>
      <c r="HA56" s="6">
        <f>VLOOKUP(HA$26, SCOOP!$G$3:$J$9, 3, FALSE)</f>
        <v>0.3</v>
      </c>
      <c r="HB56" s="6">
        <f>VLOOKUP(HB$26, SCOOP!$G$3:$J$9, 3, FALSE)</f>
        <v>0.3</v>
      </c>
      <c r="HC56" s="6">
        <f>VLOOKUP(HC$26, SCOOP!$G$3:$J$9, 3, FALSE)</f>
        <v>0.3</v>
      </c>
      <c r="HD56" s="6">
        <f>VLOOKUP(HD$26, SCOOP!$G$3:$J$9, 3, FALSE)</f>
        <v>0.3</v>
      </c>
      <c r="HE56" s="6">
        <f>VLOOKUP(HE$26, SCOOP!$G$3:$J$9, 3, FALSE)</f>
        <v>0.3</v>
      </c>
      <c r="HF56" s="6">
        <f>VLOOKUP(HF$26, SCOOP!$G$3:$J$9, 3, FALSE)</f>
        <v>0.3</v>
      </c>
      <c r="HG56" s="6">
        <f>VLOOKUP(HG$26, SCOOP!$G$3:$J$9, 3, FALSE)</f>
        <v>0.3</v>
      </c>
      <c r="HH56" s="6">
        <f>VLOOKUP(HH$26, SCOOP!$G$3:$J$9, 3, FALSE)</f>
        <v>0.3</v>
      </c>
      <c r="HI56" s="6">
        <f>VLOOKUP(HI$26, SCOOP!$G$3:$J$9, 3, FALSE)</f>
        <v>0.3</v>
      </c>
      <c r="HJ56" s="6">
        <f>VLOOKUP(HJ$26, SCOOP!$G$3:$J$9, 3, FALSE)</f>
        <v>0.3</v>
      </c>
      <c r="HK56" s="6">
        <f>VLOOKUP(HK$26, SCOOP!$G$3:$J$9, 3, FALSE)</f>
        <v>0.3</v>
      </c>
      <c r="HL56" s="6">
        <f>VLOOKUP(HL$26, SCOOP!$G$3:$J$9, 3, FALSE)</f>
        <v>0.3</v>
      </c>
      <c r="HM56" s="6">
        <f>VLOOKUP(HM$26, SCOOP!$G$3:$J$9, 3, FALSE)</f>
        <v>0.3</v>
      </c>
      <c r="HN56" s="6">
        <f>VLOOKUP(HN$26, SCOOP!$G$3:$J$9, 3, FALSE)</f>
        <v>0.3</v>
      </c>
      <c r="HO56" s="6">
        <f>VLOOKUP(HO$26, SCOOP!$G$3:$J$9, 3, FALSE)</f>
        <v>0.3</v>
      </c>
      <c r="HP56" s="6">
        <f>VLOOKUP(HP$26, SCOOP!$G$3:$J$9, 3, FALSE)</f>
        <v>0.3</v>
      </c>
      <c r="HQ56" s="6">
        <f>VLOOKUP(HQ$26, SCOOP!$G$3:$J$9, 3, FALSE)</f>
        <v>0.3</v>
      </c>
      <c r="HR56" s="6">
        <f>VLOOKUP(HR$26, SCOOP!$G$3:$J$9, 3, FALSE)</f>
        <v>0.3</v>
      </c>
      <c r="HS56" s="6">
        <f>VLOOKUP(HS$26, SCOOP!$G$3:$J$9, 3, FALSE)</f>
        <v>0.3</v>
      </c>
      <c r="HT56" s="6">
        <f>VLOOKUP(HT$26, SCOOP!$G$3:$J$9, 3, FALSE)</f>
        <v>0.3</v>
      </c>
      <c r="HU56" s="6">
        <f>VLOOKUP(HU$26, SCOOP!$G$3:$J$9, 3, FALSE)</f>
        <v>0.3</v>
      </c>
      <c r="HV56" s="6">
        <f>VLOOKUP(HV$26, SCOOP!$G$3:$J$9, 3, FALSE)</f>
        <v>0.3</v>
      </c>
      <c r="HW56" s="6">
        <f>VLOOKUP(HW$26, SCOOP!$G$3:$J$9, 3, FALSE)</f>
        <v>0.3</v>
      </c>
      <c r="HX56" s="6">
        <f>VLOOKUP(HX$26, SCOOP!$G$3:$J$9, 3, FALSE)</f>
        <v>0.3</v>
      </c>
      <c r="HY56" s="6">
        <f>VLOOKUP(HY$26, SCOOP!$G$3:$J$9, 3, FALSE)</f>
        <v>0.3</v>
      </c>
      <c r="HZ56" s="6">
        <f>VLOOKUP(HZ$26, SCOOP!$G$3:$J$9, 3, FALSE)</f>
        <v>0.3</v>
      </c>
      <c r="IA56" s="6">
        <f>VLOOKUP(IA$26, SCOOP!$G$3:$J$9, 3, FALSE)</f>
        <v>0.3</v>
      </c>
      <c r="IB56" s="6">
        <f>VLOOKUP(IB$26, SCOOP!$G$3:$J$9, 3, FALSE)</f>
        <v>0.3</v>
      </c>
      <c r="IC56" s="6">
        <f>VLOOKUP(IC$26, SCOOP!$G$3:$J$9, 3, FALSE)</f>
        <v>0.3</v>
      </c>
      <c r="ID56" s="6">
        <f>VLOOKUP(ID$26, SCOOP!$G$3:$J$9, 3, FALSE)</f>
        <v>0.3</v>
      </c>
      <c r="IE56" s="6">
        <f>VLOOKUP(IE$26, SCOOP!$G$3:$J$9, 3, FALSE)</f>
        <v>0.3</v>
      </c>
      <c r="IF56" s="6">
        <f>VLOOKUP(IF$26, SCOOP!$G$3:$J$9, 3, FALSE)</f>
        <v>0.3</v>
      </c>
      <c r="IG56" s="6">
        <f>VLOOKUP(IG$26, SCOOP!$G$3:$J$9, 3, FALSE)</f>
        <v>0.3</v>
      </c>
      <c r="IH56" s="6">
        <f>VLOOKUP(IH$26, SCOOP!$G$3:$J$9, 3, FALSE)</f>
        <v>0.3</v>
      </c>
      <c r="II56" s="6">
        <f>VLOOKUP(II$26, SCOOP!$G$3:$J$9, 3, FALSE)</f>
        <v>0.3</v>
      </c>
      <c r="IJ56" s="6">
        <f>VLOOKUP(IJ$26, SCOOP!$G$3:$J$9, 3, FALSE)</f>
        <v>0.3</v>
      </c>
      <c r="IK56" s="6">
        <f>VLOOKUP(IK$26, SCOOP!$G$3:$J$9, 3, FALSE)</f>
        <v>0.3</v>
      </c>
      <c r="IL56" s="6">
        <f>VLOOKUP(IL$26, SCOOP!$G$3:$J$9, 3, FALSE)</f>
        <v>0.3</v>
      </c>
      <c r="IM56" s="6">
        <f>VLOOKUP(IM$26, SCOOP!$G$3:$J$9, 3, FALSE)</f>
        <v>0.3</v>
      </c>
      <c r="IN56" s="6">
        <f>VLOOKUP(IN$26, SCOOP!$G$3:$J$9, 3, FALSE)</f>
        <v>0.3</v>
      </c>
      <c r="IO56" s="6">
        <f>VLOOKUP(IO$26, SCOOP!$G$3:$J$9, 3, FALSE)</f>
        <v>0.3</v>
      </c>
      <c r="IP56" s="6">
        <f>VLOOKUP(IP$26, SCOOP!$G$3:$J$9, 3, FALSE)</f>
        <v>0.3</v>
      </c>
      <c r="IQ56" s="6">
        <f>VLOOKUP(IQ$26, SCOOP!$G$3:$J$9, 3, FALSE)</f>
        <v>0.3</v>
      </c>
      <c r="IR56" s="6">
        <f>VLOOKUP(IR$26, SCOOP!$G$3:$J$9, 3, FALSE)</f>
        <v>0.3</v>
      </c>
      <c r="IS56" s="6">
        <f>VLOOKUP(IS$26, SCOOP!$G$3:$J$9, 3, FALSE)</f>
        <v>0.3</v>
      </c>
      <c r="IT56" s="6">
        <f>VLOOKUP(IT$26, SCOOP!$G$3:$J$9, 3, FALSE)</f>
        <v>0.3</v>
      </c>
      <c r="IU56" s="6">
        <f>VLOOKUP(IU$26, SCOOP!$G$3:$J$9, 3, FALSE)</f>
        <v>0.3</v>
      </c>
      <c r="IV56" s="6">
        <f>VLOOKUP(IV$26, SCOOP!$G$3:$J$9, 3, FALSE)</f>
        <v>0.3</v>
      </c>
      <c r="IW56" s="6">
        <f>VLOOKUP(IW$26, SCOOP!$G$3:$J$9, 3, FALSE)</f>
        <v>0.3</v>
      </c>
      <c r="IX56" s="6">
        <f>VLOOKUP(IX$26, SCOOP!$G$3:$J$9, 3, FALSE)</f>
        <v>0.3</v>
      </c>
      <c r="IY56" s="6">
        <f>VLOOKUP(IY$26, SCOOP!$G$3:$J$9, 3, FALSE)</f>
        <v>0.3</v>
      </c>
      <c r="IZ56" s="6">
        <f>VLOOKUP(IZ$26, SCOOP!$G$3:$J$9, 3, FALSE)</f>
        <v>0.3</v>
      </c>
      <c r="JA56" s="6">
        <f>VLOOKUP(JA$26, SCOOP!$G$3:$J$9, 3, FALSE)</f>
        <v>0.3</v>
      </c>
      <c r="JB56" s="6">
        <f>VLOOKUP(JB$26, SCOOP!$G$3:$J$9, 3, FALSE)</f>
        <v>0.3</v>
      </c>
      <c r="JC56" s="6">
        <f>VLOOKUP(JC$26, SCOOP!$G$3:$J$9, 3, FALSE)</f>
        <v>0.3</v>
      </c>
      <c r="JD56" s="6">
        <f>VLOOKUP(JD$26, SCOOP!$G$3:$J$9, 3, FALSE)</f>
        <v>0.3</v>
      </c>
      <c r="JE56" s="6">
        <f>VLOOKUP(JE$26, SCOOP!$G$3:$J$9, 3, FALSE)</f>
        <v>0.3</v>
      </c>
      <c r="JF56" s="6">
        <f>VLOOKUP(JF$26, SCOOP!$G$3:$J$9, 3, FALSE)</f>
        <v>0.3</v>
      </c>
      <c r="JG56" s="6">
        <f>VLOOKUP(JG$26, SCOOP!$G$3:$J$9, 3, FALSE)</f>
        <v>0.3</v>
      </c>
      <c r="JH56" s="6">
        <f>VLOOKUP(JH$26, SCOOP!$G$3:$J$9, 3, FALSE)</f>
        <v>0.3</v>
      </c>
      <c r="JI56" s="6">
        <f>VLOOKUP(JI$26, SCOOP!$G$3:$J$9, 3, FALSE)</f>
        <v>0.3</v>
      </c>
      <c r="JJ56" s="6">
        <f>VLOOKUP(JJ$26, SCOOP!$G$3:$J$9, 3, FALSE)</f>
        <v>0.3</v>
      </c>
      <c r="JK56" s="6">
        <f>VLOOKUP(JK$26, SCOOP!$G$3:$J$9, 3, FALSE)</f>
        <v>0.3</v>
      </c>
      <c r="JL56" s="6">
        <f>VLOOKUP(JL$26, SCOOP!$G$3:$J$9, 3, FALSE)</f>
        <v>0.3</v>
      </c>
      <c r="JM56" s="6">
        <f>VLOOKUP(JM$26, SCOOP!$G$3:$J$9, 3, FALSE)</f>
        <v>0.3</v>
      </c>
      <c r="JN56" s="6">
        <f>VLOOKUP(JN$26, SCOOP!$G$3:$J$9, 3, FALSE)</f>
        <v>0.3</v>
      </c>
      <c r="JO56" s="6">
        <f>VLOOKUP(JO$26, SCOOP!$G$3:$J$9, 3, FALSE)</f>
        <v>0.3</v>
      </c>
      <c r="JP56" s="6">
        <f>VLOOKUP(JP$26, SCOOP!$G$3:$J$9, 3, FALSE)</f>
        <v>0.3</v>
      </c>
      <c r="JQ56" s="6">
        <f>VLOOKUP(JQ$26, SCOOP!$G$3:$J$9, 3, FALSE)</f>
        <v>0.3</v>
      </c>
      <c r="JR56" s="6">
        <f>VLOOKUP(JR$26, SCOOP!$G$3:$J$9, 3, FALSE)</f>
        <v>0.3</v>
      </c>
      <c r="JS56" s="6">
        <f>VLOOKUP(JS$26, SCOOP!$G$3:$J$9, 3, FALSE)</f>
        <v>0.3</v>
      </c>
      <c r="JT56" s="6">
        <f>VLOOKUP(JT$26, SCOOP!$G$3:$J$9, 3, FALSE)</f>
        <v>0.3</v>
      </c>
      <c r="JU56" s="6">
        <f>VLOOKUP(JU$26, SCOOP!$G$3:$J$9, 3, FALSE)</f>
        <v>0.3</v>
      </c>
      <c r="JV56" s="6">
        <f>VLOOKUP(JV$26, SCOOP!$G$3:$J$9, 3, FALSE)</f>
        <v>0.3</v>
      </c>
      <c r="JW56" s="6">
        <f>VLOOKUP(JW$26, SCOOP!$G$3:$J$9, 3, FALSE)</f>
        <v>0.3</v>
      </c>
      <c r="JX56" s="6">
        <f>VLOOKUP(JX$26, SCOOP!$G$3:$J$9, 3, FALSE)</f>
        <v>0.3</v>
      </c>
      <c r="JY56" s="6">
        <f>VLOOKUP(JY$26, SCOOP!$G$3:$J$9, 3, FALSE)</f>
        <v>0.3</v>
      </c>
      <c r="JZ56" s="6">
        <f>VLOOKUP(JZ$26, SCOOP!$G$3:$J$9, 3, FALSE)</f>
        <v>0.3</v>
      </c>
      <c r="KA56" s="6">
        <f>VLOOKUP(KA$26, SCOOP!$G$3:$J$9, 3, FALSE)</f>
        <v>0.3</v>
      </c>
      <c r="KB56" s="6">
        <f>VLOOKUP(KB$26, SCOOP!$G$3:$J$9, 3, FALSE)</f>
        <v>0.3</v>
      </c>
      <c r="KC56" s="6">
        <f>VLOOKUP(KC$26, SCOOP!$G$3:$J$9, 3, FALSE)</f>
        <v>0.3</v>
      </c>
      <c r="KD56" s="6">
        <f>VLOOKUP(KD$26, SCOOP!$G$3:$J$9, 3, FALSE)</f>
        <v>0.3</v>
      </c>
      <c r="KE56" s="6">
        <f>VLOOKUP(KE$26, SCOOP!$G$3:$J$9, 3, FALSE)</f>
        <v>0.3</v>
      </c>
      <c r="KF56" s="6">
        <f>VLOOKUP(KF$26, SCOOP!$G$3:$J$9, 3, FALSE)</f>
        <v>0</v>
      </c>
      <c r="KG56" s="6">
        <f>VLOOKUP(KG$26, SCOOP!$G$3:$J$9, 3, FALSE)</f>
        <v>0</v>
      </c>
      <c r="KH56" s="6">
        <f>VLOOKUP(KH$26, SCOOP!$G$3:$J$9, 3, FALSE)</f>
        <v>0</v>
      </c>
      <c r="KI56" s="6">
        <f>VLOOKUP(KI$26, SCOOP!$G$3:$J$9, 3, FALSE)</f>
        <v>0</v>
      </c>
      <c r="KJ56" s="6">
        <f>VLOOKUP(KJ$26, SCOOP!$G$3:$J$9, 3, FALSE)</f>
        <v>0</v>
      </c>
      <c r="KK56" s="6">
        <f>VLOOKUP(KK$26, SCOOP!$G$3:$J$9, 3, FALSE)</f>
        <v>0</v>
      </c>
      <c r="KL56" s="6">
        <f>VLOOKUP(KL$26, SCOOP!$G$3:$J$9, 3, FALSE)</f>
        <v>0</v>
      </c>
      <c r="KM56" s="6">
        <f>VLOOKUP(KM$26, SCOOP!$G$3:$J$9, 3, FALSE)</f>
        <v>0</v>
      </c>
      <c r="KN56" s="6">
        <f>VLOOKUP(KN$26, SCOOP!$G$3:$J$9, 3, FALSE)</f>
        <v>0</v>
      </c>
      <c r="KO56" s="6">
        <f>VLOOKUP(KO$26, SCOOP!$G$3:$J$9, 3, FALSE)</f>
        <v>0</v>
      </c>
      <c r="KP56" s="6">
        <f>VLOOKUP(KP$26, SCOOP!$G$3:$J$9, 3, FALSE)</f>
        <v>0</v>
      </c>
      <c r="KQ56" s="6">
        <f>VLOOKUP(KQ$26, SCOOP!$G$3:$J$9, 3, FALSE)</f>
        <v>0</v>
      </c>
      <c r="KR56" s="6">
        <f>VLOOKUP(KR$26, SCOOP!$G$3:$J$9, 3, FALSE)</f>
        <v>0</v>
      </c>
      <c r="KS56" s="6">
        <f>VLOOKUP(KS$26, SCOOP!$G$3:$J$9, 3, FALSE)</f>
        <v>0</v>
      </c>
      <c r="KT56" s="6">
        <f>VLOOKUP(KT$26, SCOOP!$G$3:$J$9, 3, FALSE)</f>
        <v>0</v>
      </c>
      <c r="KU56" s="6">
        <f>VLOOKUP(KU$26, SCOOP!$G$3:$J$9, 3, FALSE)</f>
        <v>0</v>
      </c>
      <c r="KV56" s="6">
        <f>VLOOKUP(KV$26, SCOOP!$G$3:$J$9, 3, FALSE)</f>
        <v>0</v>
      </c>
      <c r="KW56" s="6">
        <f>VLOOKUP(KW$26, SCOOP!$G$3:$J$9, 3, FALSE)</f>
        <v>0</v>
      </c>
      <c r="KX56" s="6">
        <f>VLOOKUP(KX$26, SCOOP!$G$3:$J$9, 3, FALSE)</f>
        <v>0</v>
      </c>
      <c r="KY56" s="6">
        <f>VLOOKUP(KY$26, SCOOP!$G$3:$J$9, 3, FALSE)</f>
        <v>0</v>
      </c>
      <c r="KZ56" s="6">
        <f>VLOOKUP(KZ$26, SCOOP!$G$3:$J$9, 3, FALSE)</f>
        <v>0</v>
      </c>
      <c r="LA56" s="6">
        <f>VLOOKUP(LA$26, SCOOP!$G$3:$J$9, 3, FALSE)</f>
        <v>0</v>
      </c>
      <c r="LB56" s="6">
        <f>VLOOKUP(LB$26, SCOOP!$G$3:$J$9, 3, FALSE)</f>
        <v>0</v>
      </c>
      <c r="LC56" s="6">
        <f>VLOOKUP(LC$26, SCOOP!$G$3:$J$9, 3, FALSE)</f>
        <v>0</v>
      </c>
      <c r="LD56" s="6">
        <f>VLOOKUP(LD$26, SCOOP!$G$3:$J$9, 3, FALSE)</f>
        <v>0</v>
      </c>
      <c r="LE56" s="6">
        <f>VLOOKUP(LE$26, SCOOP!$G$3:$J$9, 3, FALSE)</f>
        <v>0</v>
      </c>
      <c r="LF56" s="6">
        <f>VLOOKUP(LF$26, SCOOP!$G$3:$J$9, 3, FALSE)</f>
        <v>0</v>
      </c>
      <c r="LG56" s="6">
        <f>VLOOKUP(LG$26, SCOOP!$G$3:$J$9, 3, FALSE)</f>
        <v>0</v>
      </c>
      <c r="LH56" s="6">
        <f>VLOOKUP(LH$26, SCOOP!$G$3:$J$9, 3, FALSE)</f>
        <v>0</v>
      </c>
      <c r="LI56" s="6">
        <f>VLOOKUP(LI$26, SCOOP!$G$3:$J$9, 3, FALSE)</f>
        <v>0</v>
      </c>
      <c r="LJ56" s="6">
        <f>VLOOKUP(LJ$26, SCOOP!$G$3:$J$9, 3, FALSE)</f>
        <v>0</v>
      </c>
      <c r="LK56" s="6">
        <f>VLOOKUP(LK$26, SCOOP!$G$3:$J$9, 3, FALSE)</f>
        <v>0</v>
      </c>
      <c r="LL56" s="6">
        <f>VLOOKUP(LL$26, SCOOP!$G$3:$J$9, 3, FALSE)</f>
        <v>0</v>
      </c>
      <c r="LM56" s="6">
        <f>VLOOKUP(LM$26, SCOOP!$G$3:$J$9, 3, FALSE)</f>
        <v>0</v>
      </c>
      <c r="LN56" s="6">
        <f>VLOOKUP(LN$26, SCOOP!$G$3:$J$9, 3, FALSE)</f>
        <v>0</v>
      </c>
      <c r="LO56" s="6">
        <f>VLOOKUP(LO$26, SCOOP!$G$3:$J$9, 3, FALSE)</f>
        <v>0</v>
      </c>
      <c r="LP56" s="6">
        <f>VLOOKUP(LP$26, SCOOP!$G$3:$J$9, 3, FALSE)</f>
        <v>0</v>
      </c>
      <c r="LQ56" s="6">
        <f>VLOOKUP(LQ$26, SCOOP!$G$3:$J$9, 3, FALSE)</f>
        <v>0</v>
      </c>
      <c r="LR56" s="6">
        <f>VLOOKUP(LR$26, SCOOP!$G$3:$J$9, 3, FALSE)</f>
        <v>0</v>
      </c>
      <c r="LS56" s="6">
        <f>VLOOKUP(LS$26, SCOOP!$G$3:$J$9, 3, FALSE)</f>
        <v>0</v>
      </c>
      <c r="LT56" s="6">
        <f>VLOOKUP(LT$26, SCOOP!$G$3:$J$9, 3, FALSE)</f>
        <v>0</v>
      </c>
      <c r="LU56" s="6">
        <f>VLOOKUP(LU$26, SCOOP!$G$3:$J$9, 3, FALSE)</f>
        <v>0</v>
      </c>
      <c r="LV56" s="6">
        <f>VLOOKUP(LV$26, SCOOP!$G$3:$J$9, 3, FALSE)</f>
        <v>0</v>
      </c>
      <c r="LW56" s="6">
        <f>VLOOKUP(LW$26, SCOOP!$G$3:$J$9, 3, FALSE)</f>
        <v>0</v>
      </c>
      <c r="LX56" s="6">
        <f>VLOOKUP(LX$26, SCOOP!$G$3:$J$9, 3, FALSE)</f>
        <v>0</v>
      </c>
      <c r="LY56" s="6">
        <f>VLOOKUP(LY$26, SCOOP!$G$3:$J$9, 3, FALSE)</f>
        <v>0</v>
      </c>
      <c r="LZ56" s="6">
        <f>VLOOKUP(LZ$26, SCOOP!$G$3:$J$9, 3, FALSE)</f>
        <v>0</v>
      </c>
      <c r="MA56" s="6">
        <f>VLOOKUP(MA$26, SCOOP!$G$3:$J$9, 3, FALSE)</f>
        <v>0</v>
      </c>
      <c r="MB56" s="6">
        <f>VLOOKUP(MB$26, SCOOP!$G$3:$J$9, 3, FALSE)</f>
        <v>0</v>
      </c>
      <c r="MC56" s="6">
        <f>VLOOKUP(MC$26, SCOOP!$G$3:$J$9, 3, FALSE)</f>
        <v>0</v>
      </c>
      <c r="MD56" s="6">
        <f>VLOOKUP(MD$26, SCOOP!$G$3:$J$9, 3, FALSE)</f>
        <v>0</v>
      </c>
      <c r="ME56" s="6">
        <f>VLOOKUP(ME$26, SCOOP!$G$3:$J$9, 3, FALSE)</f>
        <v>0</v>
      </c>
      <c r="MF56" s="6">
        <f>VLOOKUP(MF$26, SCOOP!$G$3:$J$9, 3, FALSE)</f>
        <v>0</v>
      </c>
      <c r="MG56" s="6">
        <f>VLOOKUP(MG$26, SCOOP!$G$3:$J$9, 3, FALSE)</f>
        <v>0</v>
      </c>
      <c r="MH56" s="6">
        <f>VLOOKUP(MH$26, SCOOP!$G$3:$J$9, 3, FALSE)</f>
        <v>0</v>
      </c>
      <c r="MI56" s="6">
        <f>VLOOKUP(MI$26, SCOOP!$G$3:$J$9, 3, FALSE)</f>
        <v>0</v>
      </c>
      <c r="MJ56" s="6">
        <f>VLOOKUP(MJ$26, SCOOP!$G$3:$J$9, 3, FALSE)</f>
        <v>0</v>
      </c>
      <c r="MK56" s="6">
        <f>VLOOKUP(MK$26, SCOOP!$G$3:$J$9, 3, FALSE)</f>
        <v>0</v>
      </c>
      <c r="ML56" s="6">
        <f>VLOOKUP(ML$26, SCOOP!$G$3:$J$9, 3, FALSE)</f>
        <v>0</v>
      </c>
      <c r="MM56" s="6">
        <f>VLOOKUP(MM$26, SCOOP!$G$3:$J$9, 3, FALSE)</f>
        <v>0</v>
      </c>
      <c r="MN56" s="6">
        <f>VLOOKUP(MN$26, SCOOP!$G$3:$J$9, 3, FALSE)</f>
        <v>0</v>
      </c>
      <c r="MO56" s="6">
        <f>VLOOKUP(MO$26, SCOOP!$G$3:$J$9, 3, FALSE)</f>
        <v>0</v>
      </c>
      <c r="MP56" s="6">
        <f>VLOOKUP(MP$26, SCOOP!$G$3:$J$9, 3, FALSE)</f>
        <v>0</v>
      </c>
      <c r="MQ56" s="6">
        <f>VLOOKUP(MQ$26, SCOOP!$G$3:$J$9, 3, FALSE)</f>
        <v>0</v>
      </c>
      <c r="MR56" s="6">
        <f>VLOOKUP(MR$26, SCOOP!$G$3:$J$9, 3, FALSE)</f>
        <v>0</v>
      </c>
      <c r="MS56" s="6">
        <f>VLOOKUP(MS$26, SCOOP!$G$3:$J$9, 3, FALSE)</f>
        <v>0</v>
      </c>
      <c r="MT56" s="6">
        <f>VLOOKUP(MT$26, SCOOP!$G$3:$J$9, 3, FALSE)</f>
        <v>0</v>
      </c>
      <c r="MU56" s="6">
        <f>VLOOKUP(MU$26, SCOOP!$G$3:$J$9, 3, FALSE)</f>
        <v>0</v>
      </c>
      <c r="MV56" s="6">
        <f>VLOOKUP(MV$26, SCOOP!$G$3:$J$9, 3, FALSE)</f>
        <v>0</v>
      </c>
      <c r="MW56" s="6">
        <f>VLOOKUP(MW$26, SCOOP!$G$3:$J$9, 3, FALSE)</f>
        <v>0</v>
      </c>
      <c r="MX56" s="6">
        <f>VLOOKUP(MX$26, SCOOP!$G$3:$J$9, 3, FALSE)</f>
        <v>0</v>
      </c>
      <c r="MY56" s="6">
        <f>VLOOKUP(MY$26, SCOOP!$G$3:$J$9, 3, FALSE)</f>
        <v>0</v>
      </c>
      <c r="MZ56" s="6">
        <f>VLOOKUP(MZ$26, SCOOP!$G$3:$J$9, 3, FALSE)</f>
        <v>0</v>
      </c>
      <c r="NA56" s="6">
        <f>VLOOKUP(NA$26, SCOOP!$G$3:$J$9, 3, FALSE)</f>
        <v>0</v>
      </c>
      <c r="NB56" s="6">
        <f>VLOOKUP(NB$26, SCOOP!$G$3:$J$9, 3, FALSE)</f>
        <v>0</v>
      </c>
      <c r="NC56" s="6">
        <f>VLOOKUP(NC$26, SCOOP!$G$3:$J$9, 3, FALSE)</f>
        <v>0</v>
      </c>
      <c r="ND56" s="6">
        <f>VLOOKUP(ND$26, SCOOP!$G$3:$J$9, 3, FALSE)</f>
        <v>0</v>
      </c>
      <c r="NE56" s="6">
        <f>VLOOKUP(NE$26, SCOOP!$G$3:$J$9, 3, FALSE)</f>
        <v>0</v>
      </c>
      <c r="NF56" s="6">
        <f>VLOOKUP(NF$26, SCOOP!$G$3:$J$9, 3, FALSE)</f>
        <v>0</v>
      </c>
      <c r="NG56" s="6">
        <f>VLOOKUP(NG$26, SCOOP!$G$3:$J$9, 3, FALSE)</f>
        <v>0</v>
      </c>
      <c r="NH56" s="6">
        <f>VLOOKUP(NH$26, SCOOP!$G$3:$J$9, 3, FALSE)</f>
        <v>0</v>
      </c>
      <c r="NI56" s="6">
        <f>VLOOKUP(NI$26, SCOOP!$G$3:$J$9, 3, FALSE)</f>
        <v>0</v>
      </c>
      <c r="NJ56" s="6">
        <f>VLOOKUP(NJ$26, SCOOP!$G$3:$J$9, 3, FALSE)</f>
        <v>0</v>
      </c>
      <c r="NK56" s="6">
        <f>VLOOKUP(NK$26, SCOOP!$G$3:$J$9, 3, FALSE)</f>
        <v>0</v>
      </c>
      <c r="NL56" s="6">
        <f>VLOOKUP(NL$26, SCOOP!$G$3:$J$9, 3, FALSE)</f>
        <v>0</v>
      </c>
      <c r="NM56" s="6">
        <f>VLOOKUP(NM$26, SCOOP!$G$3:$J$9, 3, FALSE)</f>
        <v>0</v>
      </c>
      <c r="NN56" s="6">
        <f>VLOOKUP(NN$26, SCOOP!$G$3:$J$9, 3, FALSE)</f>
        <v>0</v>
      </c>
      <c r="NO56" s="6">
        <f>VLOOKUP(NO$26, SCOOP!$G$3:$J$9, 3, FALSE)</f>
        <v>0</v>
      </c>
      <c r="NP56" s="6">
        <f>VLOOKUP(NP$26, SCOOP!$G$3:$J$9, 3, FALSE)</f>
        <v>0</v>
      </c>
      <c r="NQ56" s="6">
        <f>VLOOKUP(NQ$26, SCOOP!$G$3:$J$9, 3, FALSE)</f>
        <v>0</v>
      </c>
      <c r="NR56" s="6">
        <f>VLOOKUP(NR$26, SCOOP!$G$3:$J$9, 3, FALSE)</f>
        <v>0</v>
      </c>
      <c r="NS56" s="6">
        <f>VLOOKUP(NS$26, SCOOP!$G$3:$J$9, 3, FALSE)</f>
        <v>0</v>
      </c>
      <c r="NT56" s="6">
        <f>VLOOKUP(NT$26, SCOOP!$G$3:$J$9, 3, FALSE)</f>
        <v>0</v>
      </c>
      <c r="NU56" s="6">
        <f>VLOOKUP(NU$26, SCOOP!$G$3:$J$9, 3, FALSE)</f>
        <v>0</v>
      </c>
      <c r="NV56" s="6">
        <f>VLOOKUP(NV$26, SCOOP!$G$3:$J$9, 3, FALSE)</f>
        <v>0</v>
      </c>
      <c r="NW56" s="6">
        <f>VLOOKUP(NW$26, SCOOP!$G$3:$J$9, 3, FALSE)</f>
        <v>0</v>
      </c>
      <c r="NX56" s="6">
        <f>VLOOKUP(NX$26, SCOOP!$G$3:$J$9, 3, FALSE)</f>
        <v>0</v>
      </c>
      <c r="NY56" s="6">
        <f>VLOOKUP(NY$26, SCOOP!$G$3:$J$9, 3, FALSE)</f>
        <v>0</v>
      </c>
      <c r="NZ56" s="6">
        <f>VLOOKUP(NZ$26, SCOOP!$G$3:$J$9, 3, FALSE)</f>
        <v>0</v>
      </c>
      <c r="OA56" s="6">
        <f>VLOOKUP(OA$26, SCOOP!$G$3:$J$9, 3, FALSE)</f>
        <v>0</v>
      </c>
      <c r="OB56" s="6">
        <f>VLOOKUP(OB$26, SCOOP!$G$3:$J$9, 3, FALSE)</f>
        <v>0</v>
      </c>
      <c r="OC56" s="6">
        <f>VLOOKUP(OC$26, SCOOP!$G$3:$J$9, 3, FALSE)</f>
        <v>0</v>
      </c>
      <c r="OD56" s="6">
        <f>VLOOKUP(OD$26, SCOOP!$G$3:$J$9, 3, FALSE)</f>
        <v>0</v>
      </c>
      <c r="OE56" s="6">
        <f>VLOOKUP(OE$26, SCOOP!$G$3:$J$9, 3, FALSE)</f>
        <v>0</v>
      </c>
      <c r="OF56" s="6">
        <f>VLOOKUP(OF$26, SCOOP!$G$3:$J$9, 3, FALSE)</f>
        <v>0</v>
      </c>
      <c r="OG56" s="6">
        <f>VLOOKUP(OG$26, SCOOP!$G$3:$J$9, 3, FALSE)</f>
        <v>0</v>
      </c>
      <c r="OH56" s="6">
        <f>VLOOKUP(OH$26, SCOOP!$G$3:$J$9, 3, FALSE)</f>
        <v>0</v>
      </c>
      <c r="OI56" s="6">
        <f>VLOOKUP(OI$26, SCOOP!$G$3:$J$9, 3, FALSE)</f>
        <v>0</v>
      </c>
      <c r="OJ56" s="6">
        <f>VLOOKUP(OJ$26, SCOOP!$G$3:$J$9, 3, FALSE)</f>
        <v>0</v>
      </c>
      <c r="OK56" s="6">
        <f>VLOOKUP(OK$26, SCOOP!$G$3:$J$9, 3, FALSE)</f>
        <v>0</v>
      </c>
      <c r="OL56" s="6">
        <f>VLOOKUP(OL$26, SCOOP!$G$3:$J$9, 3, FALSE)</f>
        <v>0</v>
      </c>
      <c r="OM56" s="6">
        <f>VLOOKUP(OM$26, SCOOP!$G$3:$J$9, 3, FALSE)</f>
        <v>0</v>
      </c>
      <c r="ON56" s="6">
        <f>VLOOKUP(ON$26, SCOOP!$G$3:$J$9, 3, FALSE)</f>
        <v>0</v>
      </c>
      <c r="OO56" s="6">
        <f>VLOOKUP(OO$26, SCOOP!$G$3:$J$9, 3, FALSE)</f>
        <v>0</v>
      </c>
      <c r="OP56" s="6">
        <f>VLOOKUP(OP$26, SCOOP!$G$3:$J$9, 3, FALSE)</f>
        <v>0</v>
      </c>
      <c r="OQ56" s="6">
        <f>VLOOKUP(OQ$26, SCOOP!$G$3:$J$9, 3, FALSE)</f>
        <v>0</v>
      </c>
      <c r="OR56" s="6">
        <f>VLOOKUP(OR$26, SCOOP!$G$3:$J$9, 3, FALSE)</f>
        <v>0</v>
      </c>
      <c r="OS56" s="6">
        <f>VLOOKUP(OS$26, SCOOP!$G$3:$J$9, 3, FALSE)</f>
        <v>0</v>
      </c>
      <c r="OT56" s="6">
        <f>VLOOKUP(OT$26, SCOOP!$G$3:$J$9, 3, FALSE)</f>
        <v>0</v>
      </c>
      <c r="OU56" s="6">
        <f>VLOOKUP(OU$26, SCOOP!$G$3:$J$9, 3, FALSE)</f>
        <v>0</v>
      </c>
      <c r="OV56" s="6">
        <f>VLOOKUP(OV$26, SCOOP!$G$3:$J$9, 3, FALSE)</f>
        <v>0</v>
      </c>
      <c r="OW56" s="6">
        <f>VLOOKUP(OW$26, SCOOP!$G$3:$J$9, 3, FALSE)</f>
        <v>0</v>
      </c>
      <c r="OX56" s="6">
        <f>VLOOKUP(OX$26, SCOOP!$G$3:$J$9, 3, FALSE)</f>
        <v>0</v>
      </c>
      <c r="OY56" s="6">
        <f>VLOOKUP(OY$26, SCOOP!$G$3:$J$9, 3, FALSE)</f>
        <v>0</v>
      </c>
      <c r="OZ56" s="6">
        <f>VLOOKUP(OZ$26, SCOOP!$G$3:$J$9, 3, FALSE)</f>
        <v>0</v>
      </c>
      <c r="PA56" s="6">
        <f>VLOOKUP(PA$26, SCOOP!$G$3:$J$9, 3, FALSE)</f>
        <v>0</v>
      </c>
      <c r="PB56" s="6">
        <f>VLOOKUP(PB$26, SCOOP!$G$3:$J$9, 3, FALSE)</f>
        <v>0</v>
      </c>
      <c r="PC56" s="6">
        <f>VLOOKUP(PC$26, SCOOP!$G$3:$J$9, 3, FALSE)</f>
        <v>0</v>
      </c>
      <c r="PD56" s="6">
        <f>VLOOKUP(PD$26, SCOOP!$G$3:$J$9, 3, FALSE)</f>
        <v>0</v>
      </c>
      <c r="PE56" s="6">
        <f>VLOOKUP(PE$26, SCOOP!$G$3:$J$9, 3, FALSE)</f>
        <v>0</v>
      </c>
      <c r="PF56" s="6">
        <f>VLOOKUP(PF$26, SCOOP!$G$3:$J$9, 3, FALSE)</f>
        <v>0</v>
      </c>
      <c r="PG56" s="6">
        <f>VLOOKUP(PG$26, SCOOP!$G$3:$J$9, 3, FALSE)</f>
        <v>0</v>
      </c>
      <c r="PH56" s="6">
        <f>VLOOKUP(PH$26, SCOOP!$G$3:$J$9, 3, FALSE)</f>
        <v>0</v>
      </c>
      <c r="PI56" s="6">
        <f>VLOOKUP(PI$26, SCOOP!$G$3:$J$9, 3, FALSE)</f>
        <v>0</v>
      </c>
      <c r="PJ56" s="6">
        <f>VLOOKUP(PJ$26, SCOOP!$G$3:$J$9, 3, FALSE)</f>
        <v>0</v>
      </c>
      <c r="PK56" s="6">
        <f>VLOOKUP(PK$26, SCOOP!$G$3:$J$9, 3, FALSE)</f>
        <v>0</v>
      </c>
      <c r="PL56" s="6">
        <f>VLOOKUP(PL$26, SCOOP!$G$3:$J$9, 3, FALSE)</f>
        <v>0</v>
      </c>
      <c r="PM56" s="6">
        <f>VLOOKUP(PM$26, SCOOP!$G$3:$J$9, 3, FALSE)</f>
        <v>0</v>
      </c>
      <c r="PN56" s="6">
        <f>VLOOKUP(PN$26, SCOOP!$G$3:$J$9, 3, FALSE)</f>
        <v>0</v>
      </c>
      <c r="PO56" s="6">
        <f>VLOOKUP(PO$26, SCOOP!$G$3:$J$9, 3, FALSE)</f>
        <v>0</v>
      </c>
      <c r="PP56" s="6">
        <f>VLOOKUP(PP$26, SCOOP!$G$3:$J$9, 3, FALSE)</f>
        <v>0</v>
      </c>
      <c r="PQ56" s="6">
        <f>VLOOKUP(PQ$26, SCOOP!$G$3:$J$9, 3, FALSE)</f>
        <v>0</v>
      </c>
      <c r="PR56" s="6">
        <f>VLOOKUP(PR$26, SCOOP!$G$3:$J$9, 3, FALSE)</f>
        <v>0</v>
      </c>
      <c r="PS56" s="6">
        <f>VLOOKUP(PS$26, SCOOP!$G$3:$J$9, 3, FALSE)</f>
        <v>0</v>
      </c>
      <c r="PT56" s="6">
        <f>VLOOKUP(PT$26, SCOOP!$G$3:$J$9, 3, FALSE)</f>
        <v>0</v>
      </c>
      <c r="PU56" s="6">
        <f>VLOOKUP(PU$26, SCOOP!$G$3:$J$9, 3, FALSE)</f>
        <v>0</v>
      </c>
      <c r="PV56" s="6">
        <f>VLOOKUP(PV$26, SCOOP!$G$3:$J$9, 3, FALSE)</f>
        <v>0</v>
      </c>
      <c r="PW56" s="6">
        <f>VLOOKUP(PW$26, SCOOP!$G$3:$J$9, 3, FALSE)</f>
        <v>0</v>
      </c>
      <c r="PX56" s="6">
        <f>VLOOKUP(PX$26, SCOOP!$G$3:$J$9, 3, FALSE)</f>
        <v>0</v>
      </c>
      <c r="PY56" s="6">
        <f>VLOOKUP(PY$26, SCOOP!$G$3:$J$9, 3, FALSE)</f>
        <v>0</v>
      </c>
      <c r="PZ56" s="6">
        <f>VLOOKUP(PZ$26, SCOOP!$G$3:$J$9, 3, FALSE)</f>
        <v>0</v>
      </c>
      <c r="QA56" s="6">
        <f>VLOOKUP(QA$26, SCOOP!$G$3:$J$9, 3, FALSE)</f>
        <v>0</v>
      </c>
      <c r="QB56" s="6">
        <f>VLOOKUP(QB$26, SCOOP!$G$3:$J$9, 3, FALSE)</f>
        <v>0</v>
      </c>
      <c r="QC56" s="6">
        <f>VLOOKUP(QC$26, SCOOP!$G$3:$J$9, 3, FALSE)</f>
        <v>0</v>
      </c>
      <c r="QD56" s="6">
        <f>VLOOKUP(QD$26, SCOOP!$G$3:$J$9, 3, FALSE)</f>
        <v>0</v>
      </c>
      <c r="QE56" s="6">
        <f>VLOOKUP(QE$26, SCOOP!$G$3:$J$9, 3, FALSE)</f>
        <v>0</v>
      </c>
      <c r="QF56" s="6">
        <f>VLOOKUP(QF$26, SCOOP!$G$3:$J$9, 3, FALSE)</f>
        <v>0</v>
      </c>
      <c r="QG56" s="6">
        <f>VLOOKUP(QG$26, SCOOP!$G$3:$J$9, 3, FALSE)</f>
        <v>0</v>
      </c>
      <c r="QH56" s="6">
        <f>VLOOKUP(QH$26, SCOOP!$G$3:$J$9, 3, FALSE)</f>
        <v>0</v>
      </c>
      <c r="QI56" s="6">
        <f>VLOOKUP(QI$26, SCOOP!$G$3:$J$9, 3, FALSE)</f>
        <v>0</v>
      </c>
      <c r="QJ56" s="6">
        <f>VLOOKUP(QJ$26, SCOOP!$G$3:$J$9, 3, FALSE)</f>
        <v>0</v>
      </c>
      <c r="QK56" s="6">
        <f>VLOOKUP(QK$26, SCOOP!$G$3:$J$9, 3, FALSE)</f>
        <v>0</v>
      </c>
      <c r="QL56" s="6">
        <f>VLOOKUP(QL$26, SCOOP!$G$3:$J$9, 3, FALSE)</f>
        <v>0</v>
      </c>
      <c r="QM56" s="6">
        <f>VLOOKUP(QM$26, SCOOP!$G$3:$J$9, 3, FALSE)</f>
        <v>0</v>
      </c>
      <c r="QN56" s="6">
        <f>VLOOKUP(QN$26, SCOOP!$G$3:$J$9, 3, FALSE)</f>
        <v>0</v>
      </c>
      <c r="QO56" s="6">
        <f>VLOOKUP(QO$26, SCOOP!$G$3:$J$9, 3, FALSE)</f>
        <v>0</v>
      </c>
      <c r="QP56" s="6">
        <f>VLOOKUP(QP$26, SCOOP!$G$3:$J$9, 3, FALSE)</f>
        <v>0</v>
      </c>
      <c r="QQ56" s="6">
        <f>VLOOKUP(QQ$26, SCOOP!$G$3:$J$9, 3, FALSE)</f>
        <v>0</v>
      </c>
      <c r="QR56" s="6">
        <f>VLOOKUP(QR$26, SCOOP!$G$3:$J$9, 3, FALSE)</f>
        <v>0</v>
      </c>
      <c r="QS56" s="6">
        <f>VLOOKUP(QS$26, SCOOP!$G$3:$J$9, 3, FALSE)</f>
        <v>0</v>
      </c>
      <c r="QT56" s="6">
        <f>VLOOKUP(QT$26, SCOOP!$G$3:$J$9, 3, FALSE)</f>
        <v>0</v>
      </c>
      <c r="QU56" s="6">
        <f>VLOOKUP(QU$26, SCOOP!$G$3:$J$9, 3, FALSE)</f>
        <v>0</v>
      </c>
      <c r="QV56" s="6">
        <f>VLOOKUP(QV$26, SCOOP!$G$3:$J$9, 3, FALSE)</f>
        <v>0</v>
      </c>
      <c r="QW56" s="6">
        <f>VLOOKUP(QW$26, SCOOP!$G$3:$J$9, 3, FALSE)</f>
        <v>0</v>
      </c>
      <c r="QX56" s="6">
        <f>VLOOKUP(QX$26, SCOOP!$G$3:$J$9, 3, FALSE)</f>
        <v>0</v>
      </c>
      <c r="QY56" s="6">
        <f>VLOOKUP(QY$26, SCOOP!$G$3:$J$9, 3, FALSE)</f>
        <v>0</v>
      </c>
      <c r="QZ56" s="6">
        <f>VLOOKUP(QZ$26, SCOOP!$G$3:$J$9, 3, FALSE)</f>
        <v>0</v>
      </c>
      <c r="RA56" s="6">
        <f>VLOOKUP(RA$26, SCOOP!$G$3:$J$9, 3, FALSE)</f>
        <v>0</v>
      </c>
      <c r="RB56" s="6">
        <f>VLOOKUP(RB$26, SCOOP!$G$3:$J$9, 3, FALSE)</f>
        <v>0</v>
      </c>
      <c r="RC56" s="6">
        <f>VLOOKUP(RC$26, SCOOP!$G$3:$J$9, 3, FALSE)</f>
        <v>0</v>
      </c>
      <c r="RD56" s="6">
        <f>VLOOKUP(RD$26, SCOOP!$G$3:$J$9, 3, FALSE)</f>
        <v>0</v>
      </c>
      <c r="RE56" s="6">
        <f>VLOOKUP(RE$26, SCOOP!$G$3:$J$9, 3, FALSE)</f>
        <v>0</v>
      </c>
      <c r="RF56" s="6">
        <f>VLOOKUP(RF$26, SCOOP!$G$3:$J$9, 3, FALSE)</f>
        <v>0</v>
      </c>
      <c r="RG56" s="6">
        <f>VLOOKUP(RG$26, SCOOP!$G$3:$J$9, 3, FALSE)</f>
        <v>0</v>
      </c>
      <c r="RH56" s="6">
        <f>VLOOKUP(RH$26, SCOOP!$G$3:$J$9, 3, FALSE)</f>
        <v>0</v>
      </c>
      <c r="RI56" s="6">
        <f>VLOOKUP(RI$26, SCOOP!$G$3:$J$9, 3, FALSE)</f>
        <v>0</v>
      </c>
      <c r="RJ56" s="6">
        <f>VLOOKUP(RJ$26, SCOOP!$G$3:$J$9, 3, FALSE)</f>
        <v>0</v>
      </c>
      <c r="RK56" s="6">
        <f>VLOOKUP(RK$26, SCOOP!$G$3:$J$9, 3, FALSE)</f>
        <v>0</v>
      </c>
      <c r="RL56" s="6">
        <f>VLOOKUP(RL$26, SCOOP!$G$3:$J$9, 3, FALSE)</f>
        <v>0</v>
      </c>
      <c r="RM56" s="6">
        <f>VLOOKUP(RM$26, SCOOP!$G$3:$J$9, 3, FALSE)</f>
        <v>0</v>
      </c>
      <c r="RN56" s="6">
        <f>VLOOKUP(RN$26, SCOOP!$G$3:$J$9, 3, FALSE)</f>
        <v>0</v>
      </c>
      <c r="RO56" s="6">
        <f>VLOOKUP(RO$26, SCOOP!$G$3:$J$9, 3, FALSE)</f>
        <v>0</v>
      </c>
      <c r="RP56" s="6">
        <f>VLOOKUP(RP$26, SCOOP!$G$3:$J$9, 3, FALSE)</f>
        <v>0</v>
      </c>
      <c r="RQ56" s="6">
        <f>VLOOKUP(RQ$26, SCOOP!$G$3:$J$9, 3, FALSE)</f>
        <v>0</v>
      </c>
      <c r="RR56" s="6">
        <f>VLOOKUP(RR$26, SCOOP!$G$3:$J$9, 3, FALSE)</f>
        <v>0</v>
      </c>
      <c r="RS56" s="6">
        <f>VLOOKUP(RS$26, SCOOP!$G$3:$J$9, 3, FALSE)</f>
        <v>0</v>
      </c>
      <c r="RT56" s="6">
        <f>VLOOKUP(RT$26, SCOOP!$G$3:$J$9, 3, FALSE)</f>
        <v>0</v>
      </c>
      <c r="RU56" s="6">
        <f>VLOOKUP(RU$26, SCOOP!$G$3:$J$9, 3, FALSE)</f>
        <v>0</v>
      </c>
      <c r="RV56" s="6">
        <f>VLOOKUP(RV$26, SCOOP!$G$3:$J$9, 3, FALSE)</f>
        <v>0</v>
      </c>
      <c r="RW56" s="6">
        <f>VLOOKUP(RW$26, SCOOP!$G$3:$J$9, 3, FALSE)</f>
        <v>0</v>
      </c>
      <c r="RX56" s="6">
        <f>VLOOKUP(RX$26, SCOOP!$G$3:$J$9, 3, FALSE)</f>
        <v>0</v>
      </c>
      <c r="RY56" s="6">
        <f>VLOOKUP(RY$26, SCOOP!$G$3:$J$9, 3, FALSE)</f>
        <v>0</v>
      </c>
      <c r="RZ56" s="6">
        <f>VLOOKUP(RZ$26, SCOOP!$G$3:$J$9, 3, FALSE)</f>
        <v>0</v>
      </c>
      <c r="SA56" s="6">
        <f>VLOOKUP(SA$26, SCOOP!$G$3:$J$9, 3, FALSE)</f>
        <v>0</v>
      </c>
      <c r="SB56" s="6">
        <f>VLOOKUP(SB$26, SCOOP!$G$3:$J$9, 3, FALSE)</f>
        <v>0</v>
      </c>
      <c r="SC56" s="6">
        <f>VLOOKUP(SC$26, SCOOP!$G$3:$J$9, 3, FALSE)</f>
        <v>0</v>
      </c>
      <c r="SD56" s="6">
        <f>VLOOKUP(SD$26, SCOOP!$G$3:$J$9, 3, FALSE)</f>
        <v>0</v>
      </c>
      <c r="SE56" s="6">
        <f>VLOOKUP(SE$26, SCOOP!$G$3:$J$9, 3, FALSE)</f>
        <v>0</v>
      </c>
      <c r="SF56" s="6">
        <f>VLOOKUP(SF$26, SCOOP!$G$3:$J$9, 3, FALSE)</f>
        <v>0</v>
      </c>
      <c r="SG56" s="6">
        <f>VLOOKUP(SG$26, SCOOP!$G$3:$J$9, 3, FALSE)</f>
        <v>0</v>
      </c>
      <c r="SH56" s="6">
        <f>VLOOKUP(SH$26, SCOOP!$G$3:$J$9, 3, FALSE)</f>
        <v>0</v>
      </c>
      <c r="SI56" s="6">
        <f>VLOOKUP(SI$26, SCOOP!$G$3:$J$9, 3, FALSE)</f>
        <v>0</v>
      </c>
      <c r="SJ56" s="6">
        <f>VLOOKUP(SJ$26, SCOOP!$G$3:$J$9, 3, FALSE)</f>
        <v>0</v>
      </c>
      <c r="SK56" s="6">
        <f>VLOOKUP(SK$26, SCOOP!$G$3:$J$9, 3, FALSE)</f>
        <v>0</v>
      </c>
      <c r="SL56" s="6">
        <f>VLOOKUP(SL$26, SCOOP!$G$3:$J$9, 3, FALSE)</f>
        <v>0</v>
      </c>
      <c r="SM56" s="6">
        <f>VLOOKUP(SM$26, SCOOP!$G$3:$J$9, 3, FALSE)</f>
        <v>0</v>
      </c>
      <c r="SN56" s="6">
        <f>VLOOKUP(SN$26, SCOOP!$G$3:$J$9, 3, FALSE)</f>
        <v>0</v>
      </c>
      <c r="SO56" s="6">
        <f>VLOOKUP(SO$26, SCOOP!$G$3:$J$9, 3, FALSE)</f>
        <v>0</v>
      </c>
      <c r="SP56" s="6">
        <f>VLOOKUP(SP$26, SCOOP!$G$3:$J$9, 3, FALSE)</f>
        <v>0</v>
      </c>
      <c r="SQ56" s="6">
        <f>VLOOKUP(SQ$26, SCOOP!$G$3:$J$9, 3, FALSE)</f>
        <v>0</v>
      </c>
      <c r="SR56" s="6">
        <f>VLOOKUP(SR$26, SCOOP!$G$3:$J$9, 3, FALSE)</f>
        <v>0</v>
      </c>
      <c r="SS56" s="6">
        <f>VLOOKUP(SS$26, SCOOP!$G$3:$J$9, 3, FALSE)</f>
        <v>0</v>
      </c>
      <c r="ST56" s="6">
        <f>VLOOKUP(ST$26, SCOOP!$G$3:$J$9, 3, FALSE)</f>
        <v>0</v>
      </c>
      <c r="SU56" s="6">
        <f>VLOOKUP(SU$26, SCOOP!$G$3:$J$9, 3, FALSE)</f>
        <v>0</v>
      </c>
      <c r="SV56" s="6">
        <f>VLOOKUP(SV$26, SCOOP!$G$3:$J$9, 3, FALSE)</f>
        <v>0</v>
      </c>
      <c r="SW56" s="6">
        <f>VLOOKUP(SW$26, SCOOP!$G$3:$J$9, 3, FALSE)</f>
        <v>0</v>
      </c>
      <c r="SX56" s="6">
        <f>VLOOKUP(SX$26, SCOOP!$G$3:$J$9, 3, FALSE)</f>
        <v>0</v>
      </c>
      <c r="SY56" s="6">
        <f>VLOOKUP(SY$26, SCOOP!$G$3:$J$9, 3, FALSE)</f>
        <v>0</v>
      </c>
      <c r="SZ56" s="6">
        <f>VLOOKUP(SZ$26, SCOOP!$G$3:$J$9, 3, FALSE)</f>
        <v>0</v>
      </c>
      <c r="TA56" s="6">
        <f>VLOOKUP(TA$26, SCOOP!$G$3:$J$9, 3, FALSE)</f>
        <v>0</v>
      </c>
      <c r="TB56" s="6">
        <f>VLOOKUP(TB$26, SCOOP!$G$3:$J$9, 3, FALSE)</f>
        <v>0</v>
      </c>
      <c r="TC56" s="6">
        <f>VLOOKUP(TC$26, SCOOP!$G$3:$J$9, 3, FALSE)</f>
        <v>0</v>
      </c>
      <c r="TD56" s="6">
        <f>VLOOKUP(TD$26, SCOOP!$G$3:$J$9, 3, FALSE)</f>
        <v>0</v>
      </c>
      <c r="TE56" s="6">
        <f>VLOOKUP(TE$26, SCOOP!$G$3:$J$9, 3, FALSE)</f>
        <v>0</v>
      </c>
      <c r="TF56" s="6">
        <f>VLOOKUP(TF$26, SCOOP!$G$3:$J$9, 3, FALSE)</f>
        <v>0</v>
      </c>
      <c r="TG56" s="6">
        <f>VLOOKUP(TG$26, SCOOP!$G$3:$J$9, 3, FALSE)</f>
        <v>0</v>
      </c>
      <c r="TH56" s="6">
        <f>VLOOKUP(TH$26, SCOOP!$G$3:$J$9, 3, FALSE)</f>
        <v>0</v>
      </c>
      <c r="TI56" s="6">
        <f>VLOOKUP(TI$26, SCOOP!$G$3:$J$9, 3, FALSE)</f>
        <v>0</v>
      </c>
      <c r="TJ56" s="6">
        <f>VLOOKUP(TJ$26, SCOOP!$G$3:$J$9, 3, FALSE)</f>
        <v>0</v>
      </c>
      <c r="TK56" s="6">
        <f>VLOOKUP(TK$26, SCOOP!$G$3:$J$9, 3, FALSE)</f>
        <v>0</v>
      </c>
      <c r="TL56" s="6">
        <f>VLOOKUP(TL$26, SCOOP!$G$3:$J$9, 3, FALSE)</f>
        <v>0</v>
      </c>
      <c r="TM56" s="6">
        <f>VLOOKUP(TM$26, SCOOP!$G$3:$J$9, 3, FALSE)</f>
        <v>0</v>
      </c>
      <c r="TN56" s="6">
        <f>VLOOKUP(TN$26, SCOOP!$G$3:$J$9, 3, FALSE)</f>
        <v>0</v>
      </c>
      <c r="TO56" s="6">
        <f>VLOOKUP(TO$26, SCOOP!$G$3:$J$9, 3, FALSE)</f>
        <v>0</v>
      </c>
      <c r="TP56" s="6">
        <f>VLOOKUP(TP$26, SCOOP!$G$3:$J$9, 3, FALSE)</f>
        <v>0</v>
      </c>
      <c r="TQ56" s="6">
        <f>VLOOKUP(TQ$26, SCOOP!$G$3:$J$9, 3, FALSE)</f>
        <v>0</v>
      </c>
      <c r="TR56" s="6">
        <f>VLOOKUP(TR$26, SCOOP!$G$3:$J$9, 3, FALSE)</f>
        <v>0</v>
      </c>
      <c r="TS56" s="6">
        <f>VLOOKUP(TS$26, SCOOP!$G$3:$J$9, 3, FALSE)</f>
        <v>0</v>
      </c>
      <c r="TT56" s="6">
        <f>VLOOKUP(TT$26, SCOOP!$G$3:$J$9, 3, FALSE)</f>
        <v>0</v>
      </c>
      <c r="TU56" s="6">
        <f>VLOOKUP(TU$26, SCOOP!$G$3:$J$9, 3, FALSE)</f>
        <v>0</v>
      </c>
      <c r="TV56" s="6">
        <f>VLOOKUP(TV$26, SCOOP!$G$3:$J$9, 3, FALSE)</f>
        <v>0</v>
      </c>
      <c r="TW56" s="6">
        <f>VLOOKUP(TW$26, SCOOP!$G$3:$J$9, 3, FALSE)</f>
        <v>0</v>
      </c>
      <c r="TX56" s="6">
        <f>VLOOKUP(TX$26, SCOOP!$G$3:$J$9, 3, FALSE)</f>
        <v>0</v>
      </c>
      <c r="TY56" s="6">
        <f>VLOOKUP(TY$26, SCOOP!$G$3:$J$9, 3, FALSE)</f>
        <v>0</v>
      </c>
      <c r="TZ56" s="6">
        <f>VLOOKUP(TZ$26, SCOOP!$G$3:$J$9, 3, FALSE)</f>
        <v>0</v>
      </c>
      <c r="UA56" s="6">
        <f>VLOOKUP(UA$26, SCOOP!$G$3:$J$9, 3, FALSE)</f>
        <v>0</v>
      </c>
      <c r="UB56" s="6">
        <f>VLOOKUP(UB$26, SCOOP!$G$3:$J$9, 3, FALSE)</f>
        <v>0</v>
      </c>
      <c r="UC56" s="6">
        <f>VLOOKUP(UC$26, SCOOP!$G$3:$J$9, 3, FALSE)</f>
        <v>0</v>
      </c>
      <c r="UD56" s="6">
        <f>VLOOKUP(UD$26, SCOOP!$G$3:$J$9, 3, FALSE)</f>
        <v>0</v>
      </c>
      <c r="UE56" s="6">
        <f>VLOOKUP(UE$26, SCOOP!$G$3:$J$9, 3, FALSE)</f>
        <v>0</v>
      </c>
      <c r="UF56" s="6">
        <f>VLOOKUP(UF$26, SCOOP!$G$3:$J$9, 3, FALSE)</f>
        <v>0</v>
      </c>
      <c r="UG56" s="6">
        <f>VLOOKUP(UG$26, SCOOP!$G$3:$J$9, 3, FALSE)</f>
        <v>0</v>
      </c>
      <c r="UH56" s="6">
        <f>VLOOKUP(UH$26, SCOOP!$G$3:$J$9, 3, FALSE)</f>
        <v>0</v>
      </c>
      <c r="UI56" s="6">
        <f>VLOOKUP(UI$26, SCOOP!$G$3:$J$9, 3, FALSE)</f>
        <v>0</v>
      </c>
      <c r="UJ56" s="6">
        <f>VLOOKUP(UJ$26, SCOOP!$G$3:$J$9, 3, FALSE)</f>
        <v>0</v>
      </c>
      <c r="UK56" s="6">
        <f>VLOOKUP(UK$26, SCOOP!$G$3:$J$9, 3, FALSE)</f>
        <v>0</v>
      </c>
      <c r="UL56" s="6">
        <f>VLOOKUP(UL$26, SCOOP!$G$3:$J$9, 3, FALSE)</f>
        <v>0</v>
      </c>
      <c r="UM56" s="6">
        <f>VLOOKUP(UM$26, SCOOP!$G$3:$J$9, 3, FALSE)</f>
        <v>0</v>
      </c>
      <c r="UN56" s="6">
        <f>VLOOKUP(UN$26, SCOOP!$G$3:$J$9, 3, FALSE)</f>
        <v>0</v>
      </c>
      <c r="UO56" s="6">
        <f>VLOOKUP(UO$26, SCOOP!$G$3:$J$9, 3, FALSE)</f>
        <v>0</v>
      </c>
      <c r="UP56" s="6">
        <f>VLOOKUP(UP$26, SCOOP!$G$3:$J$9, 3, FALSE)</f>
        <v>0</v>
      </c>
      <c r="UQ56" s="6">
        <f>VLOOKUP(UQ$26, SCOOP!$G$3:$J$9, 3, FALSE)</f>
        <v>0</v>
      </c>
      <c r="UR56" s="6">
        <f>VLOOKUP(UR$26, SCOOP!$G$3:$J$9, 3, FALSE)</f>
        <v>0</v>
      </c>
      <c r="US56" s="6">
        <f>VLOOKUP(US$26, SCOOP!$G$3:$J$9, 3, FALSE)</f>
        <v>0</v>
      </c>
      <c r="UT56" s="6">
        <f>VLOOKUP(UT$26, SCOOP!$G$3:$J$9, 3, FALSE)</f>
        <v>0</v>
      </c>
      <c r="UU56" s="6">
        <f>VLOOKUP(UU$26, SCOOP!$G$3:$J$9, 3, FALSE)</f>
        <v>0</v>
      </c>
      <c r="UV56" s="6">
        <f>VLOOKUP(UV$26, SCOOP!$G$3:$J$9, 3, FALSE)</f>
        <v>0</v>
      </c>
      <c r="UW56" s="6">
        <f>VLOOKUP(UW$26, SCOOP!$G$3:$J$9, 3, FALSE)</f>
        <v>0</v>
      </c>
      <c r="UX56" s="6">
        <f>VLOOKUP(UX$26, SCOOP!$G$3:$J$9, 3, FALSE)</f>
        <v>0</v>
      </c>
      <c r="UY56" s="6">
        <f>VLOOKUP(UY$26, SCOOP!$G$3:$J$9, 3, FALSE)</f>
        <v>0</v>
      </c>
      <c r="UZ56" s="6">
        <f>VLOOKUP(UZ$26, SCOOP!$G$3:$J$9, 3, FALSE)</f>
        <v>0</v>
      </c>
      <c r="VA56" s="6">
        <f>VLOOKUP(VA$26, SCOOP!$G$3:$J$9, 3, FALSE)</f>
        <v>0</v>
      </c>
      <c r="VB56" s="6">
        <f>VLOOKUP(VB$26, SCOOP!$G$3:$J$9, 3, FALSE)</f>
        <v>0</v>
      </c>
      <c r="VC56" s="6">
        <f>VLOOKUP(VC$26, SCOOP!$G$3:$J$9, 3, FALSE)</f>
        <v>0</v>
      </c>
      <c r="VD56" s="6">
        <f>VLOOKUP(VD$26, SCOOP!$G$3:$J$9, 3, FALSE)</f>
        <v>0</v>
      </c>
      <c r="VE56" s="6">
        <f>VLOOKUP(VE$26, SCOOP!$G$3:$J$9, 3, FALSE)</f>
        <v>0</v>
      </c>
      <c r="VF56" s="6">
        <f>VLOOKUP(VF$26, SCOOP!$G$3:$J$9, 3, FALSE)</f>
        <v>0</v>
      </c>
      <c r="VG56" s="6">
        <f>VLOOKUP(VG$26, SCOOP!$G$3:$J$9, 3, FALSE)</f>
        <v>0</v>
      </c>
      <c r="VH56" s="6">
        <f>VLOOKUP(VH$26, SCOOP!$G$3:$J$9, 3, FALSE)</f>
        <v>0</v>
      </c>
      <c r="VI56" s="6">
        <f>VLOOKUP(VI$26, SCOOP!$G$3:$J$9, 3, FALSE)</f>
        <v>0</v>
      </c>
      <c r="VJ56" s="6">
        <f>VLOOKUP(VJ$26, SCOOP!$G$3:$J$9, 3, FALSE)</f>
        <v>0</v>
      </c>
      <c r="VK56" s="6">
        <f>VLOOKUP(VK$26, SCOOP!$G$3:$J$9, 3, FALSE)</f>
        <v>0</v>
      </c>
      <c r="VL56" s="6">
        <f>VLOOKUP(VL$26, SCOOP!$G$3:$J$9, 3, FALSE)</f>
        <v>0</v>
      </c>
      <c r="VM56" s="6">
        <f>VLOOKUP(VM$26, SCOOP!$G$3:$J$9, 3, FALSE)</f>
        <v>0</v>
      </c>
      <c r="VN56" s="6">
        <f>VLOOKUP(VN$26, SCOOP!$G$3:$J$9, 3, FALSE)</f>
        <v>0</v>
      </c>
      <c r="VO56" s="6">
        <f>VLOOKUP(VO$26, SCOOP!$G$3:$J$9, 3, FALSE)</f>
        <v>0</v>
      </c>
      <c r="VP56" s="6">
        <f>VLOOKUP(VP$26, SCOOP!$G$3:$J$9, 3, FALSE)</f>
        <v>0</v>
      </c>
      <c r="VQ56" s="6">
        <f>VLOOKUP(VQ$26, SCOOP!$G$3:$J$9, 3, FALSE)</f>
        <v>0</v>
      </c>
      <c r="VR56" s="6">
        <f>VLOOKUP(VR$26, SCOOP!$G$3:$J$9, 3, FALSE)</f>
        <v>0</v>
      </c>
      <c r="VS56" s="6">
        <f>VLOOKUP(VS$26, SCOOP!$G$3:$J$9, 3, FALSE)</f>
        <v>0</v>
      </c>
      <c r="VT56" s="6">
        <f>VLOOKUP(VT$26, SCOOP!$G$3:$J$9, 3, FALSE)</f>
        <v>0</v>
      </c>
      <c r="VU56" s="6">
        <f>VLOOKUP(VU$26, SCOOP!$G$3:$J$9, 3, FALSE)</f>
        <v>0</v>
      </c>
      <c r="VV56" s="6">
        <f>VLOOKUP(VV$26, SCOOP!$G$3:$J$9, 3, FALSE)</f>
        <v>0</v>
      </c>
      <c r="VW56" s="6">
        <f>VLOOKUP(VW$26, SCOOP!$G$3:$J$9, 3, FALSE)</f>
        <v>0</v>
      </c>
      <c r="VX56" s="6">
        <f>VLOOKUP(VX$26, SCOOP!$G$3:$J$9, 3, FALSE)</f>
        <v>0</v>
      </c>
      <c r="VY56" s="6">
        <f>VLOOKUP(VY$26, SCOOP!$G$3:$J$9, 3, FALSE)</f>
        <v>0</v>
      </c>
      <c r="VZ56" s="6">
        <f>VLOOKUP(VZ$26, SCOOP!$G$3:$J$9, 3, FALSE)</f>
        <v>0</v>
      </c>
      <c r="WA56" s="6">
        <f>VLOOKUP(WA$26, SCOOP!$G$3:$J$9, 3, FALSE)</f>
        <v>0</v>
      </c>
      <c r="WB56" s="6">
        <f>VLOOKUP(WB$26, SCOOP!$G$3:$J$9, 3, FALSE)</f>
        <v>0</v>
      </c>
      <c r="WC56" s="6">
        <f>VLOOKUP(WC$26, SCOOP!$G$3:$J$9, 3, FALSE)</f>
        <v>0</v>
      </c>
      <c r="WD56" s="6">
        <f>VLOOKUP(WD$26, SCOOP!$G$3:$J$9, 3, FALSE)</f>
        <v>0</v>
      </c>
      <c r="WE56" s="6">
        <f>VLOOKUP(WE$26, SCOOP!$G$3:$J$9, 3, FALSE)</f>
        <v>0</v>
      </c>
      <c r="WF56" s="6">
        <f>VLOOKUP(WF$26, SCOOP!$G$3:$J$9, 3, FALSE)</f>
        <v>0</v>
      </c>
      <c r="WG56" s="6">
        <f>VLOOKUP(WG$26, SCOOP!$G$3:$J$9, 3, FALSE)</f>
        <v>0</v>
      </c>
      <c r="WH56" s="6">
        <f>VLOOKUP(WH$26, SCOOP!$G$3:$J$9, 3, FALSE)</f>
        <v>0</v>
      </c>
      <c r="WI56" s="6">
        <f>VLOOKUP(WI$26, SCOOP!$G$3:$J$9, 3, FALSE)</f>
        <v>0</v>
      </c>
      <c r="WJ56" s="6">
        <f>VLOOKUP(WJ$26, SCOOP!$G$3:$J$9, 3, FALSE)</f>
        <v>0</v>
      </c>
      <c r="WK56" s="6">
        <f>VLOOKUP(WK$26, SCOOP!$G$3:$J$9, 3, FALSE)</f>
        <v>0</v>
      </c>
      <c r="WL56" s="6">
        <f>VLOOKUP(WL$26, SCOOP!$G$3:$J$9, 3, FALSE)</f>
        <v>0</v>
      </c>
      <c r="WM56" s="6">
        <f>VLOOKUP(WM$26, SCOOP!$G$3:$J$9, 3, FALSE)</f>
        <v>0</v>
      </c>
      <c r="WN56" s="6">
        <f>VLOOKUP(WN$26, SCOOP!$G$3:$J$9, 3, FALSE)</f>
        <v>0</v>
      </c>
      <c r="WO56" s="6">
        <f>VLOOKUP(WO$26, SCOOP!$G$3:$J$9, 3, FALSE)</f>
        <v>0</v>
      </c>
      <c r="WP56" s="6">
        <f>VLOOKUP(WP$26, SCOOP!$G$3:$J$9, 3, FALSE)</f>
        <v>0</v>
      </c>
      <c r="WQ56" s="6">
        <f>VLOOKUP(WQ$26, SCOOP!$G$3:$J$9, 3, FALSE)</f>
        <v>0</v>
      </c>
      <c r="WR56" s="6">
        <f>VLOOKUP(WR$26, SCOOP!$G$3:$J$9, 3, FALSE)</f>
        <v>0</v>
      </c>
      <c r="WS56" s="6">
        <f>VLOOKUP(WS$26, SCOOP!$G$3:$J$9, 3, FALSE)</f>
        <v>0</v>
      </c>
      <c r="WT56" s="6">
        <f>VLOOKUP(WT$26, SCOOP!$G$3:$J$9, 3, FALSE)</f>
        <v>0</v>
      </c>
      <c r="WU56" s="6">
        <f>VLOOKUP(WU$26, SCOOP!$G$3:$J$9, 3, FALSE)</f>
        <v>0</v>
      </c>
      <c r="WV56" s="6">
        <f>VLOOKUP(WV$26, SCOOP!$G$3:$J$9, 3, FALSE)</f>
        <v>0</v>
      </c>
      <c r="WW56" s="6">
        <f>VLOOKUP(WW$26, SCOOP!$G$3:$J$9, 3, FALSE)</f>
        <v>0</v>
      </c>
      <c r="WX56" s="6">
        <f>VLOOKUP(WX$26, SCOOP!$G$3:$J$9, 3, FALSE)</f>
        <v>0</v>
      </c>
      <c r="WY56" s="6">
        <f>VLOOKUP(WY$26, SCOOP!$G$3:$J$9, 3, FALSE)</f>
        <v>0</v>
      </c>
      <c r="WZ56" s="6">
        <f>VLOOKUP(WZ$26, SCOOP!$G$3:$J$9, 3, FALSE)</f>
        <v>0</v>
      </c>
      <c r="XA56" s="6">
        <f>VLOOKUP(XA$26, SCOOP!$G$3:$J$9, 3, FALSE)</f>
        <v>0</v>
      </c>
      <c r="XB56" s="6">
        <f>VLOOKUP(XB$26, SCOOP!$G$3:$J$9, 3, FALSE)</f>
        <v>0</v>
      </c>
      <c r="XC56" s="6">
        <f>VLOOKUP(XC$26, SCOOP!$G$3:$J$9, 3, FALSE)</f>
        <v>0</v>
      </c>
      <c r="XD56" s="6">
        <f>VLOOKUP(XD$26, SCOOP!$G$3:$J$9, 3, FALSE)</f>
        <v>0</v>
      </c>
      <c r="XE56" s="6">
        <f>VLOOKUP(XE$26, SCOOP!$G$3:$J$9, 3, FALSE)</f>
        <v>0</v>
      </c>
      <c r="XF56" s="6">
        <f>VLOOKUP(XF$26, SCOOP!$G$3:$J$9, 3, FALSE)</f>
        <v>0</v>
      </c>
      <c r="XG56" s="6">
        <f>VLOOKUP(XG$26, SCOOP!$G$3:$J$9, 3, FALSE)</f>
        <v>0</v>
      </c>
      <c r="XH56" s="6">
        <f>VLOOKUP(XH$26, SCOOP!$G$3:$J$9, 3, FALSE)</f>
        <v>0</v>
      </c>
      <c r="XI56" s="6">
        <f>VLOOKUP(XI$26, SCOOP!$G$3:$J$9, 3, FALSE)</f>
        <v>0</v>
      </c>
      <c r="XJ56" s="6">
        <f>VLOOKUP(XJ$26, SCOOP!$G$3:$J$9, 3, FALSE)</f>
        <v>0</v>
      </c>
      <c r="XK56" s="6">
        <f>VLOOKUP(XK$26, SCOOP!$G$3:$J$9, 3, FALSE)</f>
        <v>0</v>
      </c>
      <c r="XL56" s="6">
        <f>VLOOKUP(XL$26, SCOOP!$G$3:$J$9, 3, FALSE)</f>
        <v>0</v>
      </c>
      <c r="XM56" s="6">
        <f>VLOOKUP(XM$26, SCOOP!$G$3:$J$9, 3, FALSE)</f>
        <v>0</v>
      </c>
      <c r="XN56" s="6">
        <f>VLOOKUP(XN$26, SCOOP!$G$3:$J$9, 3, FALSE)</f>
        <v>0</v>
      </c>
      <c r="XO56" s="6">
        <f>VLOOKUP(XO$26, SCOOP!$G$3:$J$9, 3, FALSE)</f>
        <v>0</v>
      </c>
      <c r="XP56" s="6">
        <f>VLOOKUP(XP$26, SCOOP!$G$3:$J$9, 3, FALSE)</f>
        <v>0</v>
      </c>
      <c r="XQ56" s="6">
        <f>VLOOKUP(XQ$26, SCOOP!$G$3:$J$9, 3, FALSE)</f>
        <v>0</v>
      </c>
      <c r="XR56" s="6">
        <f>VLOOKUP(XR$26, SCOOP!$G$3:$J$9, 3, FALSE)</f>
        <v>0</v>
      </c>
      <c r="XS56" s="6">
        <f>VLOOKUP(XS$26, SCOOP!$G$3:$J$9, 3, FALSE)</f>
        <v>0</v>
      </c>
      <c r="XT56" s="6">
        <f>VLOOKUP(XT$26, SCOOP!$G$3:$J$9, 3, FALSE)</f>
        <v>0</v>
      </c>
      <c r="XU56" s="6">
        <f>VLOOKUP(XU$26, SCOOP!$G$3:$J$9, 3, FALSE)</f>
        <v>0</v>
      </c>
      <c r="XV56" s="6">
        <f>VLOOKUP(XV$26, SCOOP!$G$3:$J$9, 3, FALSE)</f>
        <v>0</v>
      </c>
      <c r="XW56" s="6">
        <f>VLOOKUP(XW$26, SCOOP!$G$3:$J$9, 3, FALSE)</f>
        <v>0</v>
      </c>
      <c r="XX56" s="6">
        <f>VLOOKUP(XX$26, SCOOP!$G$3:$J$9, 3, FALSE)</f>
        <v>0</v>
      </c>
      <c r="XY56" s="6">
        <f>VLOOKUP(XY$26, SCOOP!$G$3:$J$9, 3, FALSE)</f>
        <v>0</v>
      </c>
      <c r="XZ56" s="6">
        <f>VLOOKUP(XZ$26, SCOOP!$G$3:$J$9, 3, FALSE)</f>
        <v>0</v>
      </c>
      <c r="YA56" s="6">
        <f>VLOOKUP(YA$26, SCOOP!$G$3:$J$9, 3, FALSE)</f>
        <v>0</v>
      </c>
      <c r="YB56" s="6">
        <f>VLOOKUP(YB$26, SCOOP!$G$3:$J$9, 3, FALSE)</f>
        <v>0</v>
      </c>
      <c r="YC56" s="6">
        <f>VLOOKUP(YC$26, SCOOP!$G$3:$J$9, 3, FALSE)</f>
        <v>0</v>
      </c>
      <c r="YD56" s="6">
        <f>VLOOKUP(YD$26, SCOOP!$G$3:$J$9, 3, FALSE)</f>
        <v>0</v>
      </c>
      <c r="YE56" s="6">
        <f>VLOOKUP(YE$26, SCOOP!$G$3:$J$9, 3, FALSE)</f>
        <v>0</v>
      </c>
      <c r="YF56" s="6">
        <f>VLOOKUP(YF$26, SCOOP!$G$3:$J$9, 3, FALSE)</f>
        <v>0</v>
      </c>
      <c r="YG56" s="6">
        <f>VLOOKUP(YG$26, SCOOP!$G$3:$J$9, 3, FALSE)</f>
        <v>0</v>
      </c>
      <c r="YH56" s="6">
        <f>VLOOKUP(YH$26, SCOOP!$G$3:$J$9, 3, FALSE)</f>
        <v>0</v>
      </c>
      <c r="YI56" s="6">
        <f>VLOOKUP(YI$26, SCOOP!$G$3:$J$9, 3, FALSE)</f>
        <v>0</v>
      </c>
      <c r="YJ56" s="6">
        <f>VLOOKUP(YJ$26, SCOOP!$G$3:$J$9, 3, FALSE)</f>
        <v>0</v>
      </c>
      <c r="YK56" s="6">
        <f>VLOOKUP(YK$26, SCOOP!$G$3:$J$9, 3, FALSE)</f>
        <v>0</v>
      </c>
      <c r="YL56" s="6">
        <f>VLOOKUP(YL$26, SCOOP!$G$3:$J$9, 3, FALSE)</f>
        <v>0</v>
      </c>
      <c r="YM56" s="6">
        <f>VLOOKUP(YM$26, SCOOP!$G$3:$J$9, 3, FALSE)</f>
        <v>0</v>
      </c>
      <c r="YN56" s="6">
        <f>VLOOKUP(YN$26, SCOOP!$G$3:$J$9, 3, FALSE)</f>
        <v>0</v>
      </c>
      <c r="YO56" s="6">
        <f>VLOOKUP(YO$26, SCOOP!$G$3:$J$9, 3, FALSE)</f>
        <v>0</v>
      </c>
      <c r="YP56" s="6">
        <f>VLOOKUP(YP$26, SCOOP!$G$3:$J$9, 3, FALSE)</f>
        <v>0</v>
      </c>
      <c r="YQ56" s="6">
        <f>VLOOKUP(YQ$26, SCOOP!$G$3:$J$9, 3, FALSE)</f>
        <v>0</v>
      </c>
      <c r="YR56" s="6">
        <f>VLOOKUP(YR$26, SCOOP!$G$3:$J$9, 3, FALSE)</f>
        <v>0</v>
      </c>
      <c r="YS56" s="6">
        <f>VLOOKUP(YS$26, SCOOP!$G$3:$J$9, 3, FALSE)</f>
        <v>0</v>
      </c>
      <c r="YT56" s="6">
        <f>VLOOKUP(YT$26, SCOOP!$G$3:$J$9, 3, FALSE)</f>
        <v>0</v>
      </c>
      <c r="YU56" s="6">
        <f>VLOOKUP(YU$26, SCOOP!$G$3:$J$9, 3, FALSE)</f>
        <v>0</v>
      </c>
      <c r="YV56" s="6">
        <f>VLOOKUP(YV$26, SCOOP!$G$3:$J$9, 3, FALSE)</f>
        <v>0</v>
      </c>
      <c r="YW56" s="6">
        <f>VLOOKUP(YW$26, SCOOP!$G$3:$J$9, 3, FALSE)</f>
        <v>0</v>
      </c>
      <c r="YX56" s="6">
        <f>VLOOKUP(YX$26, SCOOP!$G$3:$J$9, 3, FALSE)</f>
        <v>0</v>
      </c>
      <c r="YY56" s="6">
        <f>VLOOKUP(YY$26, SCOOP!$G$3:$J$9, 3, FALSE)</f>
        <v>0</v>
      </c>
      <c r="YZ56" s="6">
        <f>VLOOKUP(YZ$26, SCOOP!$G$3:$J$9, 3, FALSE)</f>
        <v>0</v>
      </c>
      <c r="ZA56" s="6">
        <f>VLOOKUP(ZA$26, SCOOP!$G$3:$J$9, 3, FALSE)</f>
        <v>0</v>
      </c>
      <c r="ZB56" s="6">
        <f>VLOOKUP(ZB$26, SCOOP!$G$3:$J$9, 3, FALSE)</f>
        <v>0</v>
      </c>
      <c r="ZC56" s="6">
        <f>VLOOKUP(ZC$26, SCOOP!$G$3:$J$9, 3, FALSE)</f>
        <v>0</v>
      </c>
      <c r="ZD56" s="6">
        <f>VLOOKUP(ZD$26, SCOOP!$G$3:$J$9, 3, FALSE)</f>
        <v>0</v>
      </c>
      <c r="ZE56" s="6">
        <f>VLOOKUP(ZE$26, SCOOP!$G$3:$J$9, 3, FALSE)</f>
        <v>0</v>
      </c>
      <c r="ZF56" s="6">
        <f>VLOOKUP(ZF$26, SCOOP!$G$3:$J$9, 3, FALSE)</f>
        <v>0</v>
      </c>
      <c r="ZG56" s="6">
        <f>VLOOKUP(ZG$26, SCOOP!$G$3:$J$9, 3, FALSE)</f>
        <v>0</v>
      </c>
      <c r="ZH56" s="6">
        <f>VLOOKUP(ZH$26, SCOOP!$G$3:$J$9, 3, FALSE)</f>
        <v>0</v>
      </c>
      <c r="ZI56" s="6">
        <f>VLOOKUP(ZI$26, SCOOP!$G$3:$J$9, 3, FALSE)</f>
        <v>0</v>
      </c>
      <c r="ZJ56" s="6">
        <f>VLOOKUP(ZJ$26, SCOOP!$G$3:$J$9, 3, FALSE)</f>
        <v>0</v>
      </c>
      <c r="ZK56" s="6">
        <f>VLOOKUP(ZK$26, SCOOP!$G$3:$J$9, 3, FALSE)</f>
        <v>0</v>
      </c>
      <c r="ZL56" s="6">
        <f>VLOOKUP(ZL$26, SCOOP!$G$3:$J$9, 3, FALSE)</f>
        <v>0</v>
      </c>
      <c r="ZM56" s="6">
        <f>VLOOKUP(ZM$26, SCOOP!$G$3:$J$9, 3, FALSE)</f>
        <v>0</v>
      </c>
      <c r="ZN56" s="6">
        <f>VLOOKUP(ZN$26, SCOOP!$G$3:$J$9, 3, FALSE)</f>
        <v>0</v>
      </c>
      <c r="ZO56" s="6">
        <f>VLOOKUP(ZO$26, SCOOP!$G$3:$J$9, 3, FALSE)</f>
        <v>0</v>
      </c>
      <c r="ZP56" s="6">
        <f>VLOOKUP(ZP$26, SCOOP!$G$3:$J$9, 3, FALSE)</f>
        <v>0</v>
      </c>
      <c r="ZQ56" s="6">
        <f>VLOOKUP(ZQ$26, SCOOP!$G$3:$J$9, 3, FALSE)</f>
        <v>0</v>
      </c>
      <c r="ZR56" s="6">
        <f>VLOOKUP(ZR$26, SCOOP!$G$3:$J$9, 3, FALSE)</f>
        <v>0</v>
      </c>
      <c r="ZS56" s="6">
        <f>VLOOKUP(ZS$26, SCOOP!$G$3:$J$9, 3, FALSE)</f>
        <v>0</v>
      </c>
      <c r="ZT56" s="6">
        <f>VLOOKUP(ZT$26, SCOOP!$G$3:$J$9, 3, FALSE)</f>
        <v>0</v>
      </c>
      <c r="ZU56" s="6">
        <f>VLOOKUP(ZU$26, SCOOP!$G$3:$J$9, 3, FALSE)</f>
        <v>0</v>
      </c>
      <c r="ZV56" s="6">
        <f>VLOOKUP(ZV$26, SCOOP!$G$3:$J$9, 3, FALSE)</f>
        <v>0</v>
      </c>
      <c r="ZW56" s="6">
        <f>VLOOKUP(ZW$26, SCOOP!$G$3:$J$9, 3, FALSE)</f>
        <v>0</v>
      </c>
      <c r="ZX56" s="6">
        <f>VLOOKUP(ZX$26, SCOOP!$G$3:$J$9, 3, FALSE)</f>
        <v>0</v>
      </c>
      <c r="ZY56" s="6">
        <f>VLOOKUP(ZY$26, SCOOP!$G$3:$J$9, 3, FALSE)</f>
        <v>0</v>
      </c>
      <c r="ZZ56" s="6">
        <f>VLOOKUP(ZZ$26, SCOOP!$G$3:$J$9, 3, FALSE)</f>
        <v>0</v>
      </c>
      <c r="AAA56" s="6">
        <f>VLOOKUP(AAA$26, SCOOP!$G$3:$J$9, 3, FALSE)</f>
        <v>0</v>
      </c>
      <c r="AAB56" s="6">
        <f>VLOOKUP(AAB$26, SCOOP!$G$3:$J$9, 3, FALSE)</f>
        <v>0</v>
      </c>
      <c r="AAC56" s="6">
        <f>VLOOKUP(AAC$26, SCOOP!$G$3:$J$9, 3, FALSE)</f>
        <v>0</v>
      </c>
      <c r="AAD56" s="6">
        <f>VLOOKUP(AAD$26, SCOOP!$G$3:$J$9, 3, FALSE)</f>
        <v>0</v>
      </c>
      <c r="AAE56" s="6">
        <f>VLOOKUP(AAE$26, SCOOP!$G$3:$J$9, 3, FALSE)</f>
        <v>0</v>
      </c>
      <c r="AAF56" s="6">
        <f>VLOOKUP(AAF$26, SCOOP!$G$3:$J$9, 3, FALSE)</f>
        <v>0</v>
      </c>
      <c r="AAG56" s="6">
        <f>VLOOKUP(AAG$26, SCOOP!$G$3:$J$9, 3, FALSE)</f>
        <v>0</v>
      </c>
      <c r="AAH56" s="6">
        <f>VLOOKUP(AAH$26, SCOOP!$G$3:$J$9, 3, FALSE)</f>
        <v>0</v>
      </c>
      <c r="AAI56" s="6">
        <f>VLOOKUP(AAI$26, SCOOP!$G$3:$J$9, 3, FALSE)</f>
        <v>0</v>
      </c>
      <c r="AAJ56" s="6">
        <f>VLOOKUP(AAJ$26, SCOOP!$G$3:$J$9, 3, FALSE)</f>
        <v>0</v>
      </c>
      <c r="AAK56" s="6">
        <f>VLOOKUP(AAK$26, SCOOP!$G$3:$J$9, 3, FALSE)</f>
        <v>0</v>
      </c>
      <c r="AAL56" s="6">
        <f>VLOOKUP(AAL$26, SCOOP!$G$3:$J$9, 3, FALSE)</f>
        <v>0</v>
      </c>
      <c r="AAM56" s="6">
        <f>VLOOKUP(AAM$26, SCOOP!$G$3:$J$9, 3, FALSE)</f>
        <v>0</v>
      </c>
      <c r="AAN56" s="6">
        <f>VLOOKUP(AAN$26, SCOOP!$G$3:$J$9, 3, FALSE)</f>
        <v>0</v>
      </c>
      <c r="AAO56" s="6">
        <f>VLOOKUP(AAO$26, SCOOP!$G$3:$J$9, 3, FALSE)</f>
        <v>0</v>
      </c>
      <c r="AAP56" s="6">
        <f>VLOOKUP(AAP$26, SCOOP!$G$3:$J$9, 3, FALSE)</f>
        <v>0</v>
      </c>
      <c r="AAQ56" s="6">
        <f>VLOOKUP(AAQ$26, SCOOP!$G$3:$J$9, 3, FALSE)</f>
        <v>0</v>
      </c>
      <c r="AAR56" s="6">
        <f>VLOOKUP(AAR$26, SCOOP!$G$3:$J$9, 3, FALSE)</f>
        <v>0</v>
      </c>
      <c r="AAS56" s="6">
        <f>VLOOKUP(AAS$26, SCOOP!$G$3:$J$9, 3, FALSE)</f>
        <v>0</v>
      </c>
      <c r="AAT56" s="6">
        <f>VLOOKUP(AAT$26, SCOOP!$G$3:$J$9, 3, FALSE)</f>
        <v>0</v>
      </c>
      <c r="AAU56" s="6">
        <f>VLOOKUP(AAU$26, SCOOP!$G$3:$J$9, 3, FALSE)</f>
        <v>0</v>
      </c>
      <c r="AAV56" s="6">
        <f>VLOOKUP(AAV$26, SCOOP!$G$3:$J$9, 3, FALSE)</f>
        <v>0</v>
      </c>
      <c r="AAW56" s="6">
        <f>VLOOKUP(AAW$26, SCOOP!$G$3:$J$9, 3, FALSE)</f>
        <v>0</v>
      </c>
      <c r="AAX56" s="6">
        <f>VLOOKUP(AAX$26, SCOOP!$G$3:$J$9, 3, FALSE)</f>
        <v>0</v>
      </c>
      <c r="AAY56" s="6">
        <f>VLOOKUP(AAY$26, SCOOP!$G$3:$J$9, 3, FALSE)</f>
        <v>0</v>
      </c>
      <c r="AAZ56" s="6">
        <f>VLOOKUP(AAZ$26, SCOOP!$G$3:$J$9, 3, FALSE)</f>
        <v>0</v>
      </c>
      <c r="ABA56" s="6">
        <f>VLOOKUP(ABA$26, SCOOP!$G$3:$J$9, 3, FALSE)</f>
        <v>0</v>
      </c>
      <c r="ABB56" s="6">
        <f>VLOOKUP(ABB$26, SCOOP!$G$3:$J$9, 3, FALSE)</f>
        <v>0</v>
      </c>
      <c r="ABC56" s="6">
        <f>VLOOKUP(ABC$26, SCOOP!$G$3:$J$9, 3, FALSE)</f>
        <v>0</v>
      </c>
      <c r="ABD56" s="6">
        <f>VLOOKUP(ABD$26, SCOOP!$G$3:$J$9, 3, FALSE)</f>
        <v>0</v>
      </c>
      <c r="ABE56" s="6">
        <f>VLOOKUP(ABE$26, SCOOP!$G$3:$J$9, 3, FALSE)</f>
        <v>0</v>
      </c>
      <c r="ABF56" s="6">
        <f>VLOOKUP(ABF$26, SCOOP!$G$3:$J$9, 3, FALSE)</f>
        <v>0</v>
      </c>
      <c r="ABG56" s="6">
        <f>VLOOKUP(ABG$26, SCOOP!$G$3:$J$9, 3, FALSE)</f>
        <v>0</v>
      </c>
      <c r="ABH56" s="6">
        <f>VLOOKUP(ABH$26, SCOOP!$G$3:$J$9, 3, FALSE)</f>
        <v>0</v>
      </c>
      <c r="ABI56" s="6">
        <f>VLOOKUP(ABI$26, SCOOP!$G$3:$J$9, 3, FALSE)</f>
        <v>0</v>
      </c>
      <c r="ABJ56" s="6">
        <f>VLOOKUP(ABJ$26, SCOOP!$G$3:$J$9, 3, FALSE)</f>
        <v>0</v>
      </c>
      <c r="ABK56" s="6">
        <f>VLOOKUP(ABK$26, SCOOP!$G$3:$J$9, 3, FALSE)</f>
        <v>0</v>
      </c>
      <c r="ABL56" s="6">
        <f>VLOOKUP(ABL$26, SCOOP!$G$3:$J$9, 3, FALSE)</f>
        <v>0</v>
      </c>
      <c r="ABM56" s="6">
        <f>VLOOKUP(ABM$26, SCOOP!$G$3:$J$9, 3, FALSE)</f>
        <v>0</v>
      </c>
      <c r="ABN56" s="6">
        <f>VLOOKUP(ABN$26, SCOOP!$G$3:$J$9, 3, FALSE)</f>
        <v>0</v>
      </c>
      <c r="ABO56" s="6">
        <f>VLOOKUP(ABO$26, SCOOP!$G$3:$J$9, 3, FALSE)</f>
        <v>0</v>
      </c>
      <c r="ABP56" s="6">
        <f>VLOOKUP(ABP$26, SCOOP!$G$3:$J$9, 3, FALSE)</f>
        <v>0</v>
      </c>
      <c r="ABQ56" s="6">
        <f>VLOOKUP(ABQ$26, SCOOP!$G$3:$J$9, 3, FALSE)</f>
        <v>0</v>
      </c>
      <c r="ABR56" s="6">
        <f>VLOOKUP(ABR$26, SCOOP!$G$3:$J$9, 3, FALSE)</f>
        <v>0</v>
      </c>
      <c r="ABS56" s="6">
        <f>VLOOKUP(ABS$26, SCOOP!$G$3:$J$9, 3, FALSE)</f>
        <v>0</v>
      </c>
      <c r="ABT56" s="6">
        <f>VLOOKUP(ABT$26, SCOOP!$G$3:$J$9, 3, FALSE)</f>
        <v>0</v>
      </c>
      <c r="ABU56" s="6">
        <f>VLOOKUP(ABU$26, SCOOP!$G$3:$J$9, 3, FALSE)</f>
        <v>0</v>
      </c>
      <c r="ABV56" s="6">
        <f>VLOOKUP(ABV$26, SCOOP!$G$3:$J$9, 3, FALSE)</f>
        <v>0</v>
      </c>
      <c r="ABW56" s="6">
        <f>VLOOKUP(ABW$26, SCOOP!$G$3:$J$9, 3, FALSE)</f>
        <v>0</v>
      </c>
      <c r="ABX56" s="6">
        <f>VLOOKUP(ABX$26, SCOOP!$G$3:$J$9, 3, FALSE)</f>
        <v>0</v>
      </c>
      <c r="ABY56" s="6">
        <f>VLOOKUP(ABY$26, SCOOP!$G$3:$J$9, 3, FALSE)</f>
        <v>0</v>
      </c>
      <c r="ABZ56" s="6">
        <f>VLOOKUP(ABZ$26, SCOOP!$G$3:$J$9, 3, FALSE)</f>
        <v>0</v>
      </c>
      <c r="ACA56" s="6">
        <f>VLOOKUP(ACA$26, SCOOP!$G$3:$J$9, 3, FALSE)</f>
        <v>0</v>
      </c>
      <c r="ACB56" s="6">
        <f>VLOOKUP(ACB$26, SCOOP!$G$3:$J$9, 3, FALSE)</f>
        <v>0</v>
      </c>
      <c r="ACC56" s="6">
        <f>VLOOKUP(ACC$26, SCOOP!$G$3:$J$9, 3, FALSE)</f>
        <v>0</v>
      </c>
      <c r="ACD56" s="6">
        <f>VLOOKUP(ACD$26, SCOOP!$G$3:$J$9, 3, FALSE)</f>
        <v>0</v>
      </c>
      <c r="ACE56" s="6">
        <f>VLOOKUP(ACE$26, SCOOP!$G$3:$J$9, 3, FALSE)</f>
        <v>0</v>
      </c>
      <c r="ACF56" s="6">
        <f>VLOOKUP(ACF$26, SCOOP!$G$3:$J$9, 3, FALSE)</f>
        <v>0</v>
      </c>
      <c r="ACG56" s="6">
        <f>VLOOKUP(ACG$26, SCOOP!$G$3:$J$9, 3, FALSE)</f>
        <v>0</v>
      </c>
      <c r="ACH56" s="6">
        <f>VLOOKUP(ACH$26, SCOOP!$G$3:$J$9, 3, FALSE)</f>
        <v>0</v>
      </c>
      <c r="ACI56" s="6">
        <f>VLOOKUP(ACI$26, SCOOP!$G$3:$J$9, 3, FALSE)</f>
        <v>0</v>
      </c>
      <c r="ACJ56" s="6">
        <f>VLOOKUP(ACJ$26, SCOOP!$G$3:$J$9, 3, FALSE)</f>
        <v>0</v>
      </c>
      <c r="ACK56" s="6">
        <f>VLOOKUP(ACK$26, SCOOP!$G$3:$J$9, 3, FALSE)</f>
        <v>0</v>
      </c>
      <c r="ACL56" s="6">
        <f>VLOOKUP(ACL$26, SCOOP!$G$3:$J$9, 3, FALSE)</f>
        <v>0</v>
      </c>
      <c r="ACM56" s="6">
        <f>VLOOKUP(ACM$26, SCOOP!$G$3:$J$9, 3, FALSE)</f>
        <v>0</v>
      </c>
      <c r="ACN56" s="6">
        <f>VLOOKUP(ACN$26, SCOOP!$G$3:$J$9, 3, FALSE)</f>
        <v>0</v>
      </c>
      <c r="ACO56" s="6">
        <f>VLOOKUP(ACO$26, SCOOP!$G$3:$J$9, 3, FALSE)</f>
        <v>0</v>
      </c>
      <c r="ACP56" s="6">
        <f>VLOOKUP(ACP$26, SCOOP!$G$3:$J$9, 3, FALSE)</f>
        <v>0</v>
      </c>
      <c r="ACQ56" s="6">
        <f>VLOOKUP(ACQ$26, SCOOP!$G$3:$J$9, 3, FALSE)</f>
        <v>0</v>
      </c>
      <c r="ACR56" s="6">
        <f>VLOOKUP(ACR$26, SCOOP!$G$3:$J$9, 3, FALSE)</f>
        <v>0</v>
      </c>
      <c r="ACS56" s="6">
        <f>VLOOKUP(ACS$26, SCOOP!$G$3:$J$9, 3, FALSE)</f>
        <v>0</v>
      </c>
      <c r="ACT56" s="6">
        <f>VLOOKUP(ACT$26, SCOOP!$G$3:$J$9, 3, FALSE)</f>
        <v>0</v>
      </c>
      <c r="ACU56" s="6">
        <f>VLOOKUP(ACU$26, SCOOP!$G$3:$J$9, 3, FALSE)</f>
        <v>0</v>
      </c>
      <c r="ACV56" s="6">
        <f>VLOOKUP(ACV$26, SCOOP!$G$3:$J$9, 3, FALSE)</f>
        <v>0</v>
      </c>
      <c r="ACW56" s="6">
        <f>VLOOKUP(ACW$26, SCOOP!$G$3:$J$9, 3, FALSE)</f>
        <v>0</v>
      </c>
      <c r="ACX56" s="6">
        <f>VLOOKUP(ACX$26, SCOOP!$G$3:$J$9, 3, FALSE)</f>
        <v>0</v>
      </c>
      <c r="ACY56" s="6">
        <f>VLOOKUP(ACY$26, SCOOP!$G$3:$J$9, 3, FALSE)</f>
        <v>0</v>
      </c>
      <c r="ACZ56" s="6">
        <f>VLOOKUP(ACZ$26, SCOOP!$G$3:$J$9, 3, FALSE)</f>
        <v>0</v>
      </c>
      <c r="ADA56" s="6">
        <f>VLOOKUP(ADA$26, SCOOP!$G$3:$J$9, 3, FALSE)</f>
        <v>0</v>
      </c>
      <c r="ADB56" s="6">
        <f>VLOOKUP(ADB$26, SCOOP!$G$3:$J$9, 3, FALSE)</f>
        <v>0</v>
      </c>
      <c r="ADC56" s="6">
        <f>VLOOKUP(ADC$26, SCOOP!$G$3:$J$9, 3, FALSE)</f>
        <v>0</v>
      </c>
      <c r="ADD56" s="6">
        <f>VLOOKUP(ADD$26, SCOOP!$G$3:$J$9, 3, FALSE)</f>
        <v>0</v>
      </c>
      <c r="ADE56" s="6">
        <f>VLOOKUP(ADE$26, SCOOP!$G$3:$J$9, 3, FALSE)</f>
        <v>0</v>
      </c>
      <c r="ADF56" s="6">
        <f>VLOOKUP(ADF$26, SCOOP!$G$3:$J$9, 3, FALSE)</f>
        <v>0</v>
      </c>
      <c r="ADG56" s="6">
        <f>VLOOKUP(ADG$26, SCOOP!$G$3:$J$9, 3, FALSE)</f>
        <v>0</v>
      </c>
      <c r="ADH56" s="6">
        <f>VLOOKUP(ADH$26, SCOOP!$G$3:$J$9, 3, FALSE)</f>
        <v>0</v>
      </c>
      <c r="ADI56" s="6">
        <f>VLOOKUP(ADI$26, SCOOP!$G$3:$J$9, 3, FALSE)</f>
        <v>0</v>
      </c>
      <c r="ADJ56" s="6">
        <f>VLOOKUP(ADJ$26, SCOOP!$G$3:$J$9, 3, FALSE)</f>
        <v>0</v>
      </c>
      <c r="ADK56" s="6">
        <f>VLOOKUP(ADK$26, SCOOP!$G$3:$J$9, 3, FALSE)</f>
        <v>0</v>
      </c>
      <c r="ADL56" s="6">
        <f>VLOOKUP(ADL$26, SCOOP!$G$3:$J$9, 3, FALSE)</f>
        <v>0</v>
      </c>
      <c r="ADM56" s="6">
        <f>VLOOKUP(ADM$26, SCOOP!$G$3:$J$9, 3, FALSE)</f>
        <v>0</v>
      </c>
      <c r="ADN56" s="6">
        <f>VLOOKUP(ADN$26, SCOOP!$G$3:$J$9, 3, FALSE)</f>
        <v>0</v>
      </c>
      <c r="ADO56" s="6">
        <f>VLOOKUP(ADO$26, SCOOP!$G$3:$J$9, 3, FALSE)</f>
        <v>0</v>
      </c>
      <c r="ADP56" s="6">
        <f>VLOOKUP(ADP$26, SCOOP!$G$3:$J$9, 3, FALSE)</f>
        <v>0</v>
      </c>
      <c r="ADQ56" s="6">
        <f>VLOOKUP(ADQ$26, SCOOP!$G$3:$J$9, 3, FALSE)</f>
        <v>0</v>
      </c>
      <c r="ADR56" s="6">
        <f>VLOOKUP(ADR$26, SCOOP!$G$3:$J$9, 3, FALSE)</f>
        <v>0</v>
      </c>
      <c r="ADS56" s="6">
        <f>VLOOKUP(ADS$26, SCOOP!$G$3:$J$9, 3, FALSE)</f>
        <v>0</v>
      </c>
      <c r="ADT56" s="6">
        <f>VLOOKUP(ADT$26, SCOOP!$G$3:$J$9, 3, FALSE)</f>
        <v>0</v>
      </c>
      <c r="ADU56" s="6">
        <f>VLOOKUP(ADU$26, SCOOP!$G$3:$J$9, 3, FALSE)</f>
        <v>0</v>
      </c>
      <c r="ADV56" s="6">
        <f>VLOOKUP(ADV$26, SCOOP!$G$3:$J$9, 3, FALSE)</f>
        <v>0</v>
      </c>
      <c r="ADW56" s="6">
        <f>VLOOKUP(ADW$26, SCOOP!$G$3:$J$9, 3, FALSE)</f>
        <v>0</v>
      </c>
      <c r="ADX56" s="6">
        <f>VLOOKUP(ADX$26, SCOOP!$G$3:$J$9, 3, FALSE)</f>
        <v>0</v>
      </c>
      <c r="ADY56" s="6">
        <f>VLOOKUP(ADY$26, SCOOP!$G$3:$J$9, 3, FALSE)</f>
        <v>0</v>
      </c>
      <c r="ADZ56" s="6">
        <f>VLOOKUP(ADZ$26, SCOOP!$G$3:$J$9, 3, FALSE)</f>
        <v>0</v>
      </c>
      <c r="AEA56" s="6">
        <f>VLOOKUP(AEA$26, SCOOP!$G$3:$J$9, 3, FALSE)</f>
        <v>0</v>
      </c>
      <c r="AEB56" s="6">
        <f>VLOOKUP(AEB$26, SCOOP!$G$3:$J$9, 3, FALSE)</f>
        <v>0</v>
      </c>
      <c r="AEC56" s="6">
        <f>VLOOKUP(AEC$26, SCOOP!$G$3:$J$9, 3, FALSE)</f>
        <v>0</v>
      </c>
      <c r="AED56" s="6">
        <f>VLOOKUP(AED$26, SCOOP!$G$3:$J$9, 3, FALSE)</f>
        <v>0</v>
      </c>
      <c r="AEE56" s="6">
        <f>VLOOKUP(AEE$26, SCOOP!$G$3:$J$9, 3, FALSE)</f>
        <v>0</v>
      </c>
      <c r="AEF56" s="6">
        <f>VLOOKUP(AEF$26, SCOOP!$G$3:$J$9, 3, FALSE)</f>
        <v>0</v>
      </c>
      <c r="AEG56" s="6">
        <f>VLOOKUP(AEG$26, SCOOP!$G$3:$J$9, 3, FALSE)</f>
        <v>0</v>
      </c>
      <c r="AEH56" s="6">
        <f>VLOOKUP(AEH$26, SCOOP!$G$3:$J$9, 3, FALSE)</f>
        <v>0</v>
      </c>
      <c r="AEI56" s="6">
        <f>VLOOKUP(AEI$26, SCOOP!$G$3:$J$9, 3, FALSE)</f>
        <v>0</v>
      </c>
      <c r="AEJ56" s="6">
        <f>VLOOKUP(AEJ$26, SCOOP!$G$3:$J$9, 3, FALSE)</f>
        <v>0</v>
      </c>
      <c r="AEK56" s="6">
        <f>VLOOKUP(AEK$26, SCOOP!$G$3:$J$9, 3, FALSE)</f>
        <v>0</v>
      </c>
      <c r="AEL56" s="6">
        <f>VLOOKUP(AEL$26, SCOOP!$G$3:$J$9, 3, FALSE)</f>
        <v>0</v>
      </c>
      <c r="AEM56" s="6">
        <f>VLOOKUP(AEM$26, SCOOP!$G$3:$J$9, 3, FALSE)</f>
        <v>0</v>
      </c>
      <c r="AEN56" s="6">
        <f>VLOOKUP(AEN$26, SCOOP!$G$3:$J$9, 3, FALSE)</f>
        <v>0</v>
      </c>
      <c r="AEO56" s="6">
        <f>VLOOKUP(AEO$26, SCOOP!$G$3:$J$9, 3, FALSE)</f>
        <v>0</v>
      </c>
      <c r="AEP56" s="6">
        <f>VLOOKUP(AEP$26, SCOOP!$G$3:$J$9, 3, FALSE)</f>
        <v>0</v>
      </c>
      <c r="AEQ56" s="6">
        <f>VLOOKUP(AEQ$26, SCOOP!$G$3:$J$9, 3, FALSE)</f>
        <v>0</v>
      </c>
      <c r="AER56" s="6">
        <f>VLOOKUP(AER$26, SCOOP!$G$3:$J$9, 3, FALSE)</f>
        <v>0</v>
      </c>
      <c r="AES56" s="6">
        <f>VLOOKUP(AES$26, SCOOP!$G$3:$J$9, 3, FALSE)</f>
        <v>0</v>
      </c>
      <c r="AET56" s="6">
        <f>VLOOKUP(AET$26, SCOOP!$G$3:$J$9, 3, FALSE)</f>
        <v>0</v>
      </c>
      <c r="AEU56" s="6">
        <f>VLOOKUP(AEU$26, SCOOP!$G$3:$J$9, 3, FALSE)</f>
        <v>0</v>
      </c>
      <c r="AEV56" s="6">
        <f>VLOOKUP(AEV$26, SCOOP!$G$3:$J$9, 3, FALSE)</f>
        <v>0</v>
      </c>
      <c r="AEW56" s="6">
        <f>VLOOKUP(AEW$26, SCOOP!$G$3:$J$9, 3, FALSE)</f>
        <v>0</v>
      </c>
      <c r="AEX56" s="6">
        <f>VLOOKUP(AEX$26, SCOOP!$G$3:$J$9, 3, FALSE)</f>
        <v>0</v>
      </c>
      <c r="AEY56" s="6">
        <f>VLOOKUP(AEY$26, SCOOP!$G$3:$J$9, 3, FALSE)</f>
        <v>0</v>
      </c>
      <c r="AEZ56" s="6">
        <f>VLOOKUP(AEZ$26, SCOOP!$G$3:$J$9, 3, FALSE)</f>
        <v>0</v>
      </c>
      <c r="AFA56" s="6">
        <f>VLOOKUP(AFA$26, SCOOP!$G$3:$J$9, 3, FALSE)</f>
        <v>0</v>
      </c>
      <c r="AFB56" s="6">
        <f>VLOOKUP(AFB$26, SCOOP!$G$3:$J$9, 3, FALSE)</f>
        <v>0</v>
      </c>
      <c r="AFC56" s="6">
        <f>VLOOKUP(AFC$26, SCOOP!$G$3:$J$9, 3, FALSE)</f>
        <v>0</v>
      </c>
      <c r="AFD56" s="6">
        <f>VLOOKUP(AFD$26, SCOOP!$G$3:$J$9, 3, FALSE)</f>
        <v>0</v>
      </c>
      <c r="AFE56" s="6">
        <f>VLOOKUP(AFE$26, SCOOP!$G$3:$J$9, 3, FALSE)</f>
        <v>0</v>
      </c>
      <c r="AFF56" s="6">
        <f>VLOOKUP(AFF$26, SCOOP!$G$3:$J$9, 3, FALSE)</f>
        <v>0</v>
      </c>
      <c r="AFG56" s="6">
        <f>VLOOKUP(AFG$26, SCOOP!$G$3:$J$9, 3, FALSE)</f>
        <v>0</v>
      </c>
      <c r="AFH56" s="6">
        <f>VLOOKUP(AFH$26, SCOOP!$G$3:$J$9, 3, FALSE)</f>
        <v>0</v>
      </c>
      <c r="AFI56" s="6">
        <f>VLOOKUP(AFI$26, SCOOP!$G$3:$J$9, 3, FALSE)</f>
        <v>0</v>
      </c>
      <c r="AFJ56" s="6">
        <f>VLOOKUP(AFJ$26, SCOOP!$G$3:$J$9, 3, FALSE)</f>
        <v>0</v>
      </c>
      <c r="AFK56" s="6">
        <f>VLOOKUP(AFK$26, SCOOP!$G$3:$J$9, 3, FALSE)</f>
        <v>0</v>
      </c>
      <c r="AFL56" s="6">
        <f>VLOOKUP(AFL$26, SCOOP!$G$3:$J$9, 3, FALSE)</f>
        <v>0</v>
      </c>
      <c r="AFM56" s="6">
        <f>VLOOKUP(AFM$26, SCOOP!$G$3:$J$9, 3, FALSE)</f>
        <v>0</v>
      </c>
      <c r="AFN56" s="6">
        <f>VLOOKUP(AFN$26, SCOOP!$G$3:$J$9, 3, FALSE)</f>
        <v>0</v>
      </c>
      <c r="AFO56" s="6">
        <f>VLOOKUP(AFO$26, SCOOP!$G$3:$J$9, 3, FALSE)</f>
        <v>0</v>
      </c>
      <c r="AFP56" s="6">
        <f>VLOOKUP(AFP$26, SCOOP!$G$3:$J$9, 3, FALSE)</f>
        <v>0</v>
      </c>
      <c r="AFQ56" s="6">
        <f>VLOOKUP(AFQ$26, SCOOP!$G$3:$J$9, 3, FALSE)</f>
        <v>0</v>
      </c>
      <c r="AFR56" s="6">
        <f>VLOOKUP(AFR$26, SCOOP!$G$3:$J$9, 3, FALSE)</f>
        <v>0</v>
      </c>
      <c r="AFS56" s="6">
        <f>VLOOKUP(AFS$26, SCOOP!$G$3:$J$9, 3, FALSE)</f>
        <v>0</v>
      </c>
      <c r="AFT56" s="6">
        <f>VLOOKUP(AFT$26, SCOOP!$G$3:$J$9, 3, FALSE)</f>
        <v>0</v>
      </c>
      <c r="AFU56" s="6">
        <f>VLOOKUP(AFU$26, SCOOP!$G$3:$J$9, 3, FALSE)</f>
        <v>0</v>
      </c>
      <c r="AFV56" s="6">
        <f>VLOOKUP(AFV$26, SCOOP!$G$3:$J$9, 3, FALSE)</f>
        <v>0</v>
      </c>
      <c r="AFW56" s="6">
        <f>VLOOKUP(AFW$26, SCOOP!$G$3:$J$9, 3, FALSE)</f>
        <v>0</v>
      </c>
      <c r="AFX56" s="6">
        <f>VLOOKUP(AFX$26, SCOOP!$G$3:$J$9, 3, FALSE)</f>
        <v>0</v>
      </c>
      <c r="AFY56" s="6">
        <f>VLOOKUP(AFY$26, SCOOP!$G$3:$J$9, 3, FALSE)</f>
        <v>0</v>
      </c>
      <c r="AFZ56" s="6">
        <f>VLOOKUP(AFZ$26, SCOOP!$G$3:$J$9, 3, FALSE)</f>
        <v>0</v>
      </c>
      <c r="AGA56" s="6">
        <f>VLOOKUP(AGA$26, SCOOP!$G$3:$J$9, 3, FALSE)</f>
        <v>0</v>
      </c>
      <c r="AGB56" s="6">
        <f>VLOOKUP(AGB$26, SCOOP!$G$3:$J$9, 3, FALSE)</f>
        <v>0</v>
      </c>
      <c r="AGC56" s="6">
        <f>VLOOKUP(AGC$26, SCOOP!$G$3:$J$9, 3, FALSE)</f>
        <v>0</v>
      </c>
      <c r="AGD56" s="6">
        <f>VLOOKUP(AGD$26, SCOOP!$G$3:$J$9, 3, FALSE)</f>
        <v>0</v>
      </c>
      <c r="AGE56" s="6">
        <f>VLOOKUP(AGE$26, SCOOP!$G$3:$J$9, 3, FALSE)</f>
        <v>0</v>
      </c>
      <c r="AGF56" s="6">
        <f>VLOOKUP(AGF$26, SCOOP!$G$3:$J$9, 3, FALSE)</f>
        <v>0</v>
      </c>
      <c r="AGG56" s="6">
        <f>VLOOKUP(AGG$26, SCOOP!$G$3:$J$9, 3, FALSE)</f>
        <v>0</v>
      </c>
      <c r="AGH56" s="6">
        <f>VLOOKUP(AGH$26, SCOOP!$G$3:$J$9, 3, FALSE)</f>
        <v>0</v>
      </c>
      <c r="AGI56" s="6">
        <f>VLOOKUP(AGI$26, SCOOP!$G$3:$J$9, 3, FALSE)</f>
        <v>0</v>
      </c>
      <c r="AGJ56" s="6">
        <f>VLOOKUP(AGJ$26, SCOOP!$G$3:$J$9, 3, FALSE)</f>
        <v>0</v>
      </c>
      <c r="AGK56" s="6">
        <f>VLOOKUP(AGK$26, SCOOP!$G$3:$J$9, 3, FALSE)</f>
        <v>0</v>
      </c>
      <c r="AGL56" s="6">
        <f>VLOOKUP(AGL$26, SCOOP!$G$3:$J$9, 3, FALSE)</f>
        <v>0</v>
      </c>
      <c r="AGM56" s="6">
        <f>VLOOKUP(AGM$26, SCOOP!$G$3:$J$9, 3, FALSE)</f>
        <v>0</v>
      </c>
      <c r="AGN56" s="6">
        <f>VLOOKUP(AGN$26, SCOOP!$G$3:$J$9, 3, FALSE)</f>
        <v>0</v>
      </c>
      <c r="AGO56" s="6">
        <f>VLOOKUP(AGO$26, SCOOP!$G$3:$J$9, 3, FALSE)</f>
        <v>0</v>
      </c>
      <c r="AGP56" s="6">
        <f>VLOOKUP(AGP$26, SCOOP!$G$3:$J$9, 3, FALSE)</f>
        <v>0</v>
      </c>
      <c r="AGQ56" s="6">
        <f>VLOOKUP(AGQ$26, SCOOP!$G$3:$J$9, 3, FALSE)</f>
        <v>0</v>
      </c>
      <c r="AGR56" s="6">
        <f>VLOOKUP(AGR$26, SCOOP!$G$3:$J$9, 3, FALSE)</f>
        <v>0</v>
      </c>
      <c r="AGS56" s="6">
        <f>VLOOKUP(AGS$26, SCOOP!$G$3:$J$9, 3, FALSE)</f>
        <v>0</v>
      </c>
      <c r="AGT56" s="6">
        <f>VLOOKUP(AGT$26, SCOOP!$G$3:$J$9, 3, FALSE)</f>
        <v>0</v>
      </c>
      <c r="AGU56" s="6">
        <f>VLOOKUP(AGU$26, SCOOP!$G$3:$J$9, 3, FALSE)</f>
        <v>0</v>
      </c>
      <c r="AGV56" s="6">
        <f>VLOOKUP(AGV$26, SCOOP!$G$3:$J$9, 3, FALSE)</f>
        <v>0</v>
      </c>
      <c r="AGW56" s="6">
        <f>VLOOKUP(AGW$26, SCOOP!$G$3:$J$9, 3, FALSE)</f>
        <v>0</v>
      </c>
      <c r="AGX56" s="6">
        <f>VLOOKUP(AGX$26, SCOOP!$G$3:$J$9, 3, FALSE)</f>
        <v>0</v>
      </c>
      <c r="AGY56" s="6">
        <f>VLOOKUP(AGY$26, SCOOP!$G$3:$J$9, 3, FALSE)</f>
        <v>0</v>
      </c>
      <c r="AGZ56" s="6">
        <f>VLOOKUP(AGZ$26, SCOOP!$G$3:$J$9, 3, FALSE)</f>
        <v>0</v>
      </c>
      <c r="AHA56" s="6">
        <f>VLOOKUP(AHA$26, SCOOP!$G$3:$J$9, 3, FALSE)</f>
        <v>0</v>
      </c>
      <c r="AHB56" s="6">
        <f>VLOOKUP(AHB$26, SCOOP!$G$3:$J$9, 3, FALSE)</f>
        <v>0</v>
      </c>
      <c r="AHC56" s="6">
        <f>VLOOKUP(AHC$26, SCOOP!$G$3:$J$9, 3, FALSE)</f>
        <v>0</v>
      </c>
      <c r="AHD56" s="6">
        <f>VLOOKUP(AHD$26, SCOOP!$G$3:$J$9, 3, FALSE)</f>
        <v>0</v>
      </c>
      <c r="AHE56" s="6">
        <f>VLOOKUP(AHE$26, SCOOP!$G$3:$J$9, 3, FALSE)</f>
        <v>0</v>
      </c>
      <c r="AHF56" s="6">
        <f>VLOOKUP(AHF$26, SCOOP!$G$3:$J$9, 3, FALSE)</f>
        <v>0</v>
      </c>
      <c r="AHG56" s="6">
        <f>VLOOKUP(AHG$26, SCOOP!$G$3:$J$9, 3, FALSE)</f>
        <v>0</v>
      </c>
      <c r="AHH56" s="6">
        <f>VLOOKUP(AHH$26, SCOOP!$G$3:$J$9, 3, FALSE)</f>
        <v>0</v>
      </c>
      <c r="AHI56" s="6">
        <f>VLOOKUP(AHI$26, SCOOP!$G$3:$J$9, 3, FALSE)</f>
        <v>0</v>
      </c>
      <c r="AHJ56" s="6">
        <f>VLOOKUP(AHJ$26, SCOOP!$G$3:$J$9, 3, FALSE)</f>
        <v>0</v>
      </c>
      <c r="AHK56" s="6">
        <f>VLOOKUP(AHK$26, SCOOP!$G$3:$J$9, 3, FALSE)</f>
        <v>0</v>
      </c>
      <c r="AHL56" s="6">
        <f>VLOOKUP(AHL$26, SCOOP!$G$3:$J$9, 3, FALSE)</f>
        <v>0</v>
      </c>
      <c r="AHM56" s="6">
        <f>VLOOKUP(AHM$26, SCOOP!$G$3:$J$9, 3, FALSE)</f>
        <v>0</v>
      </c>
      <c r="AHN56" s="6">
        <f>VLOOKUP(AHN$26, SCOOP!$G$3:$J$9, 3, FALSE)</f>
        <v>0</v>
      </c>
      <c r="AHO56" s="6">
        <f>VLOOKUP(AHO$26, SCOOP!$G$3:$J$9, 3, FALSE)</f>
        <v>0</v>
      </c>
      <c r="AHP56" s="6">
        <f>VLOOKUP(AHP$26, SCOOP!$G$3:$J$9, 3, FALSE)</f>
        <v>0</v>
      </c>
      <c r="AHQ56" s="6">
        <f>VLOOKUP(AHQ$26, SCOOP!$G$3:$J$9, 3, FALSE)</f>
        <v>0</v>
      </c>
      <c r="AHR56" s="6">
        <f>VLOOKUP(AHR$26, SCOOP!$G$3:$J$9, 3, FALSE)</f>
        <v>0</v>
      </c>
      <c r="AHS56" s="6">
        <f>VLOOKUP(AHS$26, SCOOP!$G$3:$J$9, 3, FALSE)</f>
        <v>0</v>
      </c>
      <c r="AHT56" s="6">
        <f>VLOOKUP(AHT$26, SCOOP!$G$3:$J$9, 3, FALSE)</f>
        <v>0</v>
      </c>
      <c r="AHU56" s="6">
        <f>VLOOKUP(AHU$26, SCOOP!$G$3:$J$9, 3, FALSE)</f>
        <v>0</v>
      </c>
      <c r="AHV56" s="6">
        <f>VLOOKUP(AHV$26, SCOOP!$G$3:$J$9, 3, FALSE)</f>
        <v>0</v>
      </c>
      <c r="AHW56" s="6">
        <f>VLOOKUP(AHW$26, SCOOP!$G$3:$J$9, 3, FALSE)</f>
        <v>0</v>
      </c>
      <c r="AHX56" s="6">
        <f>VLOOKUP(AHX$26, SCOOP!$G$3:$J$9, 3, FALSE)</f>
        <v>0</v>
      </c>
      <c r="AHY56" s="6">
        <f>VLOOKUP(AHY$26, SCOOP!$G$3:$J$9, 3, FALSE)</f>
        <v>0</v>
      </c>
      <c r="AHZ56" s="6">
        <f>VLOOKUP(AHZ$26, SCOOP!$G$3:$J$9, 3, FALSE)</f>
        <v>0</v>
      </c>
      <c r="AIA56" s="6">
        <f>VLOOKUP(AIA$26, SCOOP!$G$3:$J$9, 3, FALSE)</f>
        <v>0</v>
      </c>
      <c r="AIB56" s="6">
        <f>VLOOKUP(AIB$26, SCOOP!$G$3:$J$9, 3, FALSE)</f>
        <v>0</v>
      </c>
      <c r="AIC56" s="6">
        <f>VLOOKUP(AIC$26, SCOOP!$G$3:$J$9, 3, FALSE)</f>
        <v>0</v>
      </c>
      <c r="AID56" s="6">
        <f>VLOOKUP(AID$26, SCOOP!$G$3:$J$9, 3, FALSE)</f>
        <v>0</v>
      </c>
      <c r="AIE56" s="6">
        <f>VLOOKUP(AIE$26, SCOOP!$G$3:$J$9, 3, FALSE)</f>
        <v>0</v>
      </c>
      <c r="AIF56" s="6">
        <f>VLOOKUP(AIF$26, SCOOP!$G$3:$J$9, 3, FALSE)</f>
        <v>0</v>
      </c>
      <c r="AIG56" s="6">
        <f>VLOOKUP(AIG$26, SCOOP!$G$3:$J$9, 3, FALSE)</f>
        <v>0</v>
      </c>
      <c r="AIH56" s="6">
        <f>VLOOKUP(AIH$26, SCOOP!$G$3:$J$9, 3, FALSE)</f>
        <v>0</v>
      </c>
      <c r="AII56" s="6">
        <f>VLOOKUP(AII$26, SCOOP!$G$3:$J$9, 3, FALSE)</f>
        <v>0</v>
      </c>
      <c r="AIJ56" s="6">
        <f>VLOOKUP(AIJ$26, SCOOP!$G$3:$J$9, 3, FALSE)</f>
        <v>0</v>
      </c>
      <c r="AIK56" s="6">
        <f>VLOOKUP(AIK$26, SCOOP!$G$3:$J$9, 3, FALSE)</f>
        <v>0</v>
      </c>
      <c r="AIL56" s="6">
        <f>VLOOKUP(AIL$26, SCOOP!$G$3:$J$9, 3, FALSE)</f>
        <v>0</v>
      </c>
      <c r="AIM56" s="6">
        <f>VLOOKUP(AIM$26, SCOOP!$G$3:$J$9, 3, FALSE)</f>
        <v>0</v>
      </c>
      <c r="AIN56" s="6">
        <f>VLOOKUP(AIN$26, SCOOP!$G$3:$J$9, 3, FALSE)</f>
        <v>0</v>
      </c>
      <c r="AIO56" s="6">
        <f>VLOOKUP(AIO$26, SCOOP!$G$3:$J$9, 3, FALSE)</f>
        <v>0</v>
      </c>
      <c r="AIP56" s="6">
        <f>VLOOKUP(AIP$26, SCOOP!$G$3:$J$9, 3, FALSE)</f>
        <v>0</v>
      </c>
      <c r="AIQ56" s="6">
        <f>VLOOKUP(AIQ$26, SCOOP!$G$3:$J$9, 3, FALSE)</f>
        <v>0</v>
      </c>
      <c r="AIR56" s="6">
        <f>VLOOKUP(AIR$26, SCOOP!$G$3:$J$9, 3, FALSE)</f>
        <v>0</v>
      </c>
      <c r="AIS56" s="6">
        <f>VLOOKUP(AIS$26, SCOOP!$G$3:$J$9, 3, FALSE)</f>
        <v>0</v>
      </c>
      <c r="AIT56" s="6">
        <f>VLOOKUP(AIT$26, SCOOP!$G$3:$J$9, 3, FALSE)</f>
        <v>0</v>
      </c>
      <c r="AIU56" s="6">
        <f>VLOOKUP(AIU$26, SCOOP!$G$3:$J$9, 3, FALSE)</f>
        <v>0</v>
      </c>
      <c r="AIV56" s="6">
        <f>VLOOKUP(AIV$26, SCOOP!$G$3:$J$9, 3, FALSE)</f>
        <v>0</v>
      </c>
      <c r="AIW56" s="6">
        <f>VLOOKUP(AIW$26, SCOOP!$G$3:$J$9, 3, FALSE)</f>
        <v>0</v>
      </c>
      <c r="AIX56" s="6">
        <f>VLOOKUP(AIX$26, SCOOP!$G$3:$J$9, 3, FALSE)</f>
        <v>0</v>
      </c>
      <c r="AIY56" s="6">
        <f>VLOOKUP(AIY$26, SCOOP!$G$3:$J$9, 3, FALSE)</f>
        <v>0</v>
      </c>
      <c r="AIZ56" s="6">
        <f>VLOOKUP(AIZ$26, SCOOP!$G$3:$J$9, 3, FALSE)</f>
        <v>0</v>
      </c>
      <c r="AJA56" s="6">
        <f>VLOOKUP(AJA$26, SCOOP!$G$3:$J$9, 3, FALSE)</f>
        <v>0</v>
      </c>
      <c r="AJB56" s="6">
        <f>VLOOKUP(AJB$26, SCOOP!$G$3:$J$9, 3, FALSE)</f>
        <v>0</v>
      </c>
      <c r="AJC56" s="6">
        <f>VLOOKUP(AJC$26, SCOOP!$G$3:$J$9, 3, FALSE)</f>
        <v>0</v>
      </c>
      <c r="AJD56" s="6">
        <f>VLOOKUP(AJD$26, SCOOP!$G$3:$J$9, 3, FALSE)</f>
        <v>0</v>
      </c>
      <c r="AJE56" s="6">
        <f>VLOOKUP(AJE$26, SCOOP!$G$3:$J$9, 3, FALSE)</f>
        <v>0</v>
      </c>
      <c r="AJF56" s="6">
        <f>VLOOKUP(AJF$26, SCOOP!$G$3:$J$9, 3, FALSE)</f>
        <v>0</v>
      </c>
      <c r="AJG56" s="6">
        <f>VLOOKUP(AJG$26, SCOOP!$G$3:$J$9, 3, FALSE)</f>
        <v>0</v>
      </c>
      <c r="AJH56" s="6">
        <f>VLOOKUP(AJH$26, SCOOP!$G$3:$J$9, 3, FALSE)</f>
        <v>0</v>
      </c>
      <c r="AJI56" s="6">
        <f>VLOOKUP(AJI$26, SCOOP!$G$3:$J$9, 3, FALSE)</f>
        <v>0</v>
      </c>
      <c r="AJJ56" s="6">
        <f>VLOOKUP(AJJ$26, SCOOP!$G$3:$J$9, 3, FALSE)</f>
        <v>0</v>
      </c>
      <c r="AJK56" s="6">
        <f>VLOOKUP(AJK$26, SCOOP!$G$3:$J$9, 3, FALSE)</f>
        <v>0</v>
      </c>
      <c r="AJL56" s="6">
        <f>VLOOKUP(AJL$26, SCOOP!$G$3:$J$9, 3, FALSE)</f>
        <v>0</v>
      </c>
      <c r="AJM56" s="6">
        <f>VLOOKUP(AJM$26, SCOOP!$G$3:$J$9, 3, FALSE)</f>
        <v>0</v>
      </c>
      <c r="AJN56" s="6">
        <f>VLOOKUP(AJN$26, SCOOP!$G$3:$J$9, 3, FALSE)</f>
        <v>0</v>
      </c>
      <c r="AJO56" s="6">
        <f>VLOOKUP(AJO$26, SCOOP!$G$3:$J$9, 3, FALSE)</f>
        <v>0</v>
      </c>
      <c r="AJP56" s="6">
        <f>VLOOKUP(AJP$26, SCOOP!$G$3:$J$9, 3, FALSE)</f>
        <v>0</v>
      </c>
      <c r="AJQ56" s="6">
        <f>VLOOKUP(AJQ$26, SCOOP!$G$3:$J$9, 3, FALSE)</f>
        <v>0</v>
      </c>
      <c r="AJR56" s="6">
        <f>VLOOKUP(AJR$26, SCOOP!$G$3:$J$9, 3, FALSE)</f>
        <v>0</v>
      </c>
      <c r="AJS56" s="6">
        <f>VLOOKUP(AJS$26, SCOOP!$G$3:$J$9, 3, FALSE)</f>
        <v>0</v>
      </c>
      <c r="AJT56" s="6">
        <f>VLOOKUP(AJT$26, SCOOP!$G$3:$J$9, 3, FALSE)</f>
        <v>0</v>
      </c>
      <c r="AJU56" s="6">
        <f>VLOOKUP(AJU$26, SCOOP!$G$3:$J$9, 3, FALSE)</f>
        <v>0</v>
      </c>
      <c r="AJV56" s="6">
        <f>VLOOKUP(AJV$26, SCOOP!$G$3:$J$9, 3, FALSE)</f>
        <v>0</v>
      </c>
      <c r="AJW56" s="6">
        <f>VLOOKUP(AJW$26, SCOOP!$G$3:$J$9, 3, FALSE)</f>
        <v>0</v>
      </c>
      <c r="AJX56" s="6">
        <f>VLOOKUP(AJX$26, SCOOP!$G$3:$J$9, 3, FALSE)</f>
        <v>0</v>
      </c>
      <c r="AJY56" s="6">
        <f>VLOOKUP(AJY$26, SCOOP!$G$3:$J$9, 3, FALSE)</f>
        <v>0</v>
      </c>
      <c r="AJZ56" s="6">
        <f>VLOOKUP(AJZ$26, SCOOP!$G$3:$J$9, 3, FALSE)</f>
        <v>0</v>
      </c>
      <c r="AKA56" s="6">
        <f>VLOOKUP(AKA$26, SCOOP!$G$3:$J$9, 3, FALSE)</f>
        <v>0</v>
      </c>
      <c r="AKB56" s="6">
        <f>VLOOKUP(AKB$26, SCOOP!$G$3:$J$9, 3, FALSE)</f>
        <v>0</v>
      </c>
      <c r="AKC56" s="6">
        <f>VLOOKUP(AKC$26, SCOOP!$G$3:$J$9, 3, FALSE)</f>
        <v>0</v>
      </c>
      <c r="AKD56" s="6">
        <f>VLOOKUP(AKD$26, SCOOP!$G$3:$J$9, 3, FALSE)</f>
        <v>0</v>
      </c>
      <c r="AKE56" s="6">
        <f>VLOOKUP(AKE$26, SCOOP!$G$3:$J$9, 3, FALSE)</f>
        <v>0</v>
      </c>
      <c r="AKF56" s="6">
        <f>VLOOKUP(AKF$26, SCOOP!$G$3:$J$9, 3, FALSE)</f>
        <v>0</v>
      </c>
      <c r="AKG56" s="6">
        <f>VLOOKUP(AKG$26, SCOOP!$G$3:$J$9, 3, FALSE)</f>
        <v>0</v>
      </c>
      <c r="AKH56" s="6">
        <f>VLOOKUP(AKH$26, SCOOP!$G$3:$J$9, 3, FALSE)</f>
        <v>0</v>
      </c>
      <c r="AKI56" s="6">
        <f>VLOOKUP(AKI$26, SCOOP!$G$3:$J$9, 3, FALSE)</f>
        <v>0</v>
      </c>
      <c r="AKJ56" s="6">
        <f>VLOOKUP(AKJ$26, SCOOP!$G$3:$J$9, 3, FALSE)</f>
        <v>0</v>
      </c>
      <c r="AKK56" s="6">
        <f>VLOOKUP(AKK$26, SCOOP!$G$3:$J$9, 3, FALSE)</f>
        <v>0</v>
      </c>
      <c r="AKL56" s="6">
        <f>VLOOKUP(AKL$26, SCOOP!$G$3:$J$9, 3, FALSE)</f>
        <v>0</v>
      </c>
      <c r="AKM56" s="6">
        <f>VLOOKUP(AKM$26, SCOOP!$G$3:$J$9, 3, FALSE)</f>
        <v>0</v>
      </c>
      <c r="AKN56" s="6">
        <f>VLOOKUP(AKN$26, SCOOP!$G$3:$J$9, 3, FALSE)</f>
        <v>0</v>
      </c>
      <c r="AKO56" s="6">
        <f>VLOOKUP(AKO$26, SCOOP!$G$3:$J$9, 3, FALSE)</f>
        <v>0</v>
      </c>
      <c r="AKP56" s="6">
        <f>VLOOKUP(AKP$26, SCOOP!$G$3:$J$9, 3, FALSE)</f>
        <v>0</v>
      </c>
      <c r="AKQ56" s="6">
        <f>VLOOKUP(AKQ$26, SCOOP!$G$3:$J$9, 3, FALSE)</f>
        <v>0</v>
      </c>
      <c r="AKR56" s="6">
        <f>VLOOKUP(AKR$26, SCOOP!$G$3:$J$9, 3, FALSE)</f>
        <v>0</v>
      </c>
      <c r="AKS56" s="6">
        <f>VLOOKUP(AKS$26, SCOOP!$G$3:$J$9, 3, FALSE)</f>
        <v>0</v>
      </c>
      <c r="AKT56" s="6">
        <f>VLOOKUP(AKT$26, SCOOP!$G$3:$J$9, 3, FALSE)</f>
        <v>0</v>
      </c>
      <c r="AKU56" s="6">
        <f>VLOOKUP(AKU$26, SCOOP!$G$3:$J$9, 3, FALSE)</f>
        <v>0</v>
      </c>
      <c r="AKV56" s="6">
        <f>VLOOKUP(AKV$26, SCOOP!$G$3:$J$9, 3, FALSE)</f>
        <v>0</v>
      </c>
      <c r="AKW56" s="6">
        <f>VLOOKUP(AKW$26, SCOOP!$G$3:$J$9, 3, FALSE)</f>
        <v>0</v>
      </c>
      <c r="AKX56" s="6">
        <f>VLOOKUP(AKX$26, SCOOP!$G$3:$J$9, 3, FALSE)</f>
        <v>0</v>
      </c>
      <c r="AKY56" s="6">
        <f>VLOOKUP(AKY$26, SCOOP!$G$3:$J$9, 3, FALSE)</f>
        <v>0</v>
      </c>
      <c r="AKZ56" s="6">
        <f>VLOOKUP(AKZ$26, SCOOP!$G$3:$J$9, 3, FALSE)</f>
        <v>0</v>
      </c>
      <c r="ALA56" s="6">
        <f>VLOOKUP(ALA$26, SCOOP!$G$3:$J$9, 3, FALSE)</f>
        <v>0</v>
      </c>
      <c r="ALB56" s="6">
        <f>VLOOKUP(ALB$26, SCOOP!$G$3:$J$9, 3, FALSE)</f>
        <v>0</v>
      </c>
      <c r="ALC56" s="6">
        <f>VLOOKUP(ALC$26, SCOOP!$G$3:$J$9, 3, FALSE)</f>
        <v>0</v>
      </c>
      <c r="ALD56" s="6">
        <f>VLOOKUP(ALD$26, SCOOP!$G$3:$J$9, 3, FALSE)</f>
        <v>0</v>
      </c>
      <c r="ALE56" s="6">
        <f>VLOOKUP(ALE$26, SCOOP!$G$3:$J$9, 3, FALSE)</f>
        <v>0</v>
      </c>
      <c r="ALF56" s="6">
        <f>VLOOKUP(ALF$26, SCOOP!$G$3:$J$9, 3, FALSE)</f>
        <v>0</v>
      </c>
      <c r="ALG56" s="6">
        <f>VLOOKUP(ALG$26, SCOOP!$G$3:$J$9, 3, FALSE)</f>
        <v>0</v>
      </c>
      <c r="ALH56" s="6">
        <f>VLOOKUP(ALH$26, SCOOP!$G$3:$J$9, 3, FALSE)</f>
        <v>0</v>
      </c>
      <c r="ALI56" s="6">
        <f>VLOOKUP(ALI$26, SCOOP!$G$3:$J$9, 3, FALSE)</f>
        <v>0</v>
      </c>
      <c r="ALJ56" s="6">
        <f>VLOOKUP(ALJ$26, SCOOP!$G$3:$J$9, 3, FALSE)</f>
        <v>0</v>
      </c>
      <c r="ALK56" s="6">
        <f>VLOOKUP(ALK$26, SCOOP!$G$3:$J$9, 3, FALSE)</f>
        <v>0</v>
      </c>
      <c r="ALL56" s="6">
        <f>VLOOKUP(ALL$26, SCOOP!$G$3:$J$9, 3, FALSE)</f>
        <v>0</v>
      </c>
      <c r="ALM56" s="6">
        <f>VLOOKUP(ALM$26, SCOOP!$G$3:$J$9, 3, FALSE)</f>
        <v>0</v>
      </c>
      <c r="ALN56" s="6">
        <f>VLOOKUP(ALN$26, SCOOP!$G$3:$J$9, 3, FALSE)</f>
        <v>0</v>
      </c>
      <c r="ALO56" s="6">
        <f>VLOOKUP(ALO$26, SCOOP!$G$3:$J$9, 3, FALSE)</f>
        <v>0</v>
      </c>
      <c r="ALP56" s="6">
        <f>VLOOKUP(ALP$26, SCOOP!$G$3:$J$9, 3, FALSE)</f>
        <v>0</v>
      </c>
      <c r="ALQ56" s="6">
        <f>VLOOKUP(ALQ$26, SCOOP!$G$3:$J$9, 3, FALSE)</f>
        <v>0</v>
      </c>
      <c r="ALR56" s="6">
        <f>VLOOKUP(ALR$26, SCOOP!$G$3:$J$9, 3, FALSE)</f>
        <v>0</v>
      </c>
      <c r="ALS56" s="6">
        <f>VLOOKUP(ALS$26, SCOOP!$G$3:$J$9, 3, FALSE)</f>
        <v>0</v>
      </c>
      <c r="ALT56" s="6">
        <f>VLOOKUP(ALT$26, SCOOP!$G$3:$J$9, 3, FALSE)</f>
        <v>0</v>
      </c>
      <c r="ALU56" s="6">
        <f>VLOOKUP(ALU$26, SCOOP!$G$3:$J$9, 3, FALSE)</f>
        <v>0</v>
      </c>
      <c r="ALV56" s="6">
        <f>VLOOKUP(ALV$26, SCOOP!$G$3:$J$9, 3, FALSE)</f>
        <v>0</v>
      </c>
      <c r="ALW56" s="6">
        <f>VLOOKUP(ALW$26, SCOOP!$G$3:$J$9, 3, FALSE)</f>
        <v>0</v>
      </c>
    </row>
    <row r="57" spans="2:1011" outlineLevel="1" x14ac:dyDescent="0.25">
      <c r="C57" s="5" t="s">
        <v>16</v>
      </c>
      <c r="D57" s="6">
        <f>VLOOKUP(D$33, ALTO!$G$3:$J$9, 3, FALSE)</f>
        <v>0.1</v>
      </c>
      <c r="E57" s="6">
        <f>VLOOKUP(E$33, ALTO!$G$3:$J$9, 3, FALSE)</f>
        <v>0.1</v>
      </c>
      <c r="F57" s="6">
        <f>VLOOKUP(F$33, ALTO!$G$3:$J$9, 3, FALSE)</f>
        <v>0.1</v>
      </c>
      <c r="G57" s="6">
        <f>VLOOKUP(G$33, ALTO!$G$3:$J$9, 3, FALSE)</f>
        <v>0.1</v>
      </c>
      <c r="H57" s="6">
        <f>VLOOKUP(H$33, ALTO!$G$3:$J$9, 3, FALSE)</f>
        <v>0.1</v>
      </c>
      <c r="I57" s="6">
        <f>VLOOKUP(I$33, ALTO!$G$3:$J$9, 3, FALSE)</f>
        <v>0.1</v>
      </c>
      <c r="J57" s="6">
        <f>VLOOKUP(J$33, ALTO!$G$3:$J$9, 3, FALSE)</f>
        <v>0.1</v>
      </c>
      <c r="K57" s="6">
        <f>VLOOKUP(K$33, ALTO!$G$3:$J$9, 3, FALSE)</f>
        <v>0.1</v>
      </c>
      <c r="L57" s="6">
        <f>VLOOKUP(L$33, ALTO!$G$3:$J$9, 3, FALSE)</f>
        <v>0.1</v>
      </c>
      <c r="M57" s="6">
        <f>VLOOKUP(M$33, ALTO!$G$3:$J$9, 3, FALSE)</f>
        <v>0.1</v>
      </c>
      <c r="N57" s="6">
        <f>VLOOKUP(N$33, ALTO!$G$3:$J$9, 3, FALSE)</f>
        <v>0.1</v>
      </c>
      <c r="O57" s="6">
        <f>VLOOKUP(O$33, ALTO!$G$3:$J$9, 3, FALSE)</f>
        <v>0.1</v>
      </c>
      <c r="P57" s="6">
        <f>VLOOKUP(P$33, ALTO!$G$3:$J$9, 3, FALSE)</f>
        <v>0.1</v>
      </c>
      <c r="Q57" s="6">
        <f>VLOOKUP(Q$33, ALTO!$G$3:$J$9, 3, FALSE)</f>
        <v>0.1</v>
      </c>
      <c r="R57" s="6">
        <f>VLOOKUP(R$33, ALTO!$G$3:$J$9, 3, FALSE)</f>
        <v>0.1</v>
      </c>
      <c r="S57" s="6">
        <f>VLOOKUP(S$33, ALTO!$G$3:$J$9, 3, FALSE)</f>
        <v>0.1</v>
      </c>
      <c r="T57" s="6">
        <f>VLOOKUP(T$33, ALTO!$G$3:$J$9, 3, FALSE)</f>
        <v>0.1</v>
      </c>
      <c r="U57" s="6">
        <f>VLOOKUP(U$33, ALTO!$G$3:$J$9, 3, FALSE)</f>
        <v>0.1</v>
      </c>
      <c r="V57" s="6">
        <f>VLOOKUP(V$33, ALTO!$G$3:$J$9, 3, FALSE)</f>
        <v>0.1</v>
      </c>
      <c r="W57" s="6">
        <f>VLOOKUP(W$33, ALTO!$G$3:$J$9, 3, FALSE)</f>
        <v>0.1</v>
      </c>
      <c r="X57" s="6">
        <f>VLOOKUP(X$33, ALTO!$G$3:$J$9, 3, FALSE)</f>
        <v>0.1</v>
      </c>
      <c r="Y57" s="6">
        <f>VLOOKUP(Y$33, ALTO!$G$3:$J$9, 3, FALSE)</f>
        <v>0.1</v>
      </c>
      <c r="Z57" s="6">
        <f>VLOOKUP(Z$33, ALTO!$G$3:$J$9, 3, FALSE)</f>
        <v>0.1</v>
      </c>
      <c r="AA57" s="6">
        <f>VLOOKUP(AA$33, ALTO!$G$3:$J$9, 3, FALSE)</f>
        <v>0.1</v>
      </c>
      <c r="AB57" s="6">
        <f>VLOOKUP(AB$33, ALTO!$G$3:$J$9, 3, FALSE)</f>
        <v>0.1</v>
      </c>
      <c r="AC57" s="6">
        <f>VLOOKUP(AC$33, ALTO!$G$3:$J$9, 3, FALSE)</f>
        <v>2.2000000000000002</v>
      </c>
      <c r="AD57" s="6">
        <f>VLOOKUP(AD$33, ALTO!$G$3:$J$9, 3, FALSE)</f>
        <v>2.2000000000000002</v>
      </c>
      <c r="AE57" s="6">
        <f>VLOOKUP(AE$33, ALTO!$G$3:$J$9, 3, FALSE)</f>
        <v>2.2000000000000002</v>
      </c>
      <c r="AF57" s="6">
        <f>VLOOKUP(AF$33, ALTO!$G$3:$J$9, 3, FALSE)</f>
        <v>2.2000000000000002</v>
      </c>
      <c r="AG57" s="6">
        <f>VLOOKUP(AG$33, ALTO!$G$3:$J$9, 3, FALSE)</f>
        <v>2.2000000000000002</v>
      </c>
      <c r="AH57" s="6">
        <f>VLOOKUP(AH$33, ALTO!$G$3:$J$9, 3, FALSE)</f>
        <v>2.2000000000000002</v>
      </c>
      <c r="AI57" s="6">
        <f>VLOOKUP(AI$33, ALTO!$G$3:$J$9, 3, FALSE)</f>
        <v>2.2000000000000002</v>
      </c>
      <c r="AJ57" s="6">
        <f>VLOOKUP(AJ$33, ALTO!$G$3:$J$9, 3, FALSE)</f>
        <v>2.2000000000000002</v>
      </c>
      <c r="AK57" s="6">
        <f>VLOOKUP(AK$33, ALTO!$G$3:$J$9, 3, FALSE)</f>
        <v>2.2000000000000002</v>
      </c>
      <c r="AL57" s="6">
        <f>VLOOKUP(AL$33, ALTO!$G$3:$J$9, 3, FALSE)</f>
        <v>2.2000000000000002</v>
      </c>
      <c r="AM57" s="6">
        <f>VLOOKUP(AM$33, ALTO!$G$3:$J$9, 3, FALSE)</f>
        <v>2.2000000000000002</v>
      </c>
      <c r="AN57" s="6">
        <f>VLOOKUP(AN$33, ALTO!$G$3:$J$9, 3, FALSE)</f>
        <v>2.2000000000000002</v>
      </c>
      <c r="AO57" s="6">
        <f>VLOOKUP(AO$33, ALTO!$G$3:$J$9, 3, FALSE)</f>
        <v>2.2000000000000002</v>
      </c>
      <c r="AP57" s="6">
        <f>VLOOKUP(AP$33, ALTO!$G$3:$J$9, 3, FALSE)</f>
        <v>2.2000000000000002</v>
      </c>
      <c r="AQ57" s="6">
        <f>VLOOKUP(AQ$33, ALTO!$G$3:$J$9, 3, FALSE)</f>
        <v>2.2000000000000002</v>
      </c>
      <c r="AR57" s="6">
        <f>VLOOKUP(AR$33, ALTO!$G$3:$J$9, 3, FALSE)</f>
        <v>0.1</v>
      </c>
      <c r="AS57" s="6">
        <f>VLOOKUP(AS$33, ALTO!$G$3:$J$9, 3, FALSE)</f>
        <v>0.1</v>
      </c>
      <c r="AT57" s="6">
        <f>VLOOKUP(AT$33, ALTO!$G$3:$J$9, 3, FALSE)</f>
        <v>0.1</v>
      </c>
      <c r="AU57" s="6">
        <f>VLOOKUP(AU$33, ALTO!$G$3:$J$9, 3, FALSE)</f>
        <v>0.1</v>
      </c>
      <c r="AV57" s="6">
        <f>VLOOKUP(AV$33, ALTO!$G$3:$J$9, 3, FALSE)</f>
        <v>0.1</v>
      </c>
      <c r="AW57" s="6">
        <f>VLOOKUP(AW$33, ALTO!$G$3:$J$9, 3, FALSE)</f>
        <v>0.1</v>
      </c>
      <c r="AX57" s="6">
        <f>VLOOKUP(AX$33, ALTO!$G$3:$J$9, 3, FALSE)</f>
        <v>0.1</v>
      </c>
      <c r="AY57" s="6">
        <f>VLOOKUP(AY$33, ALTO!$G$3:$J$9, 3, FALSE)</f>
        <v>0.1</v>
      </c>
      <c r="AZ57" s="6">
        <f>VLOOKUP(AZ$33, ALTO!$G$3:$J$9, 3, FALSE)</f>
        <v>0.1</v>
      </c>
      <c r="BA57" s="6">
        <f>VLOOKUP(BA$33, ALTO!$G$3:$J$9, 3, FALSE)</f>
        <v>0.1</v>
      </c>
      <c r="BB57" s="6">
        <f>VLOOKUP(BB$33, ALTO!$G$3:$J$9, 3, FALSE)</f>
        <v>0.1</v>
      </c>
      <c r="BC57" s="6">
        <f>VLOOKUP(BC$33, ALTO!$G$3:$J$9, 3, FALSE)</f>
        <v>0.1</v>
      </c>
      <c r="BD57" s="6">
        <f>VLOOKUP(BD$33, ALTO!$G$3:$J$9, 3, FALSE)</f>
        <v>0.1</v>
      </c>
      <c r="BE57" s="6">
        <f>VLOOKUP(BE$33, ALTO!$G$3:$J$9, 3, FALSE)</f>
        <v>0.1</v>
      </c>
      <c r="BF57" s="6">
        <f>VLOOKUP(BF$33, ALTO!$G$3:$J$9, 3, FALSE)</f>
        <v>0.1</v>
      </c>
      <c r="BG57" s="6">
        <f>VLOOKUP(BG$33, ALTO!$G$3:$J$9, 3, FALSE)</f>
        <v>0.1</v>
      </c>
      <c r="BH57" s="6">
        <f>VLOOKUP(BH$33, ALTO!$G$3:$J$9, 3, FALSE)</f>
        <v>0.1</v>
      </c>
      <c r="BI57" s="6">
        <f>VLOOKUP(BI$33, ALTO!$G$3:$J$9, 3, FALSE)</f>
        <v>2.2000000000000002</v>
      </c>
      <c r="BJ57" s="6">
        <f>VLOOKUP(BJ$33, ALTO!$G$3:$J$9, 3, FALSE)</f>
        <v>2.2000000000000002</v>
      </c>
      <c r="BK57" s="6">
        <f>VLOOKUP(BK$33, ALTO!$G$3:$J$9, 3, FALSE)</f>
        <v>2.2000000000000002</v>
      </c>
      <c r="BL57" s="6">
        <f>VLOOKUP(BL$33, ALTO!$G$3:$J$9, 3, FALSE)</f>
        <v>2.2000000000000002</v>
      </c>
      <c r="BM57" s="6">
        <f>VLOOKUP(BM$33, ALTO!$G$3:$J$9, 3, FALSE)</f>
        <v>2.2000000000000002</v>
      </c>
      <c r="BN57" s="6">
        <f>VLOOKUP(BN$33, ALTO!$G$3:$J$9, 3, FALSE)</f>
        <v>2.2000000000000002</v>
      </c>
      <c r="BO57" s="6">
        <f>VLOOKUP(BO$33, ALTO!$G$3:$J$9, 3, FALSE)</f>
        <v>2.2000000000000002</v>
      </c>
      <c r="BP57" s="6">
        <f>VLOOKUP(BP$33, ALTO!$G$3:$J$9, 3, FALSE)</f>
        <v>2.2000000000000002</v>
      </c>
      <c r="BQ57" s="6">
        <f>VLOOKUP(BQ$33, ALTO!$G$3:$J$9, 3, FALSE)</f>
        <v>2.2000000000000002</v>
      </c>
      <c r="BR57" s="6">
        <f>VLOOKUP(BR$33, ALTO!$G$3:$J$9, 3, FALSE)</f>
        <v>2.2000000000000002</v>
      </c>
      <c r="BS57" s="6">
        <f>VLOOKUP(BS$33, ALTO!$G$3:$J$9, 3, FALSE)</f>
        <v>2.2000000000000002</v>
      </c>
      <c r="BT57" s="6">
        <f>VLOOKUP(BT$33, ALTO!$G$3:$J$9, 3, FALSE)</f>
        <v>2.2000000000000002</v>
      </c>
      <c r="BU57" s="6">
        <f>VLOOKUP(BU$33, ALTO!$G$3:$J$9, 3, FALSE)</f>
        <v>2.2000000000000002</v>
      </c>
      <c r="BV57" s="6">
        <f>VLOOKUP(BV$33, ALTO!$G$3:$J$9, 3, FALSE)</f>
        <v>2.2000000000000002</v>
      </c>
      <c r="BW57" s="6">
        <f>VLOOKUP(BW$33, ALTO!$G$3:$J$9, 3, FALSE)</f>
        <v>2.2000000000000002</v>
      </c>
      <c r="BX57" s="6">
        <f>VLOOKUP(BX$33, ALTO!$G$3:$J$9, 3, FALSE)</f>
        <v>0.1</v>
      </c>
      <c r="BY57" s="6">
        <f>VLOOKUP(BY$33, ALTO!$G$3:$J$9, 3, FALSE)</f>
        <v>0.1</v>
      </c>
      <c r="BZ57" s="6">
        <f>VLOOKUP(BZ$33, ALTO!$G$3:$J$9, 3, FALSE)</f>
        <v>0.1</v>
      </c>
      <c r="CA57" s="6">
        <f>VLOOKUP(CA$33, ALTO!$G$3:$J$9, 3, FALSE)</f>
        <v>0.1</v>
      </c>
      <c r="CB57" s="6">
        <f>VLOOKUP(CB$33, ALTO!$G$3:$J$9, 3, FALSE)</f>
        <v>0.1</v>
      </c>
      <c r="CC57" s="6">
        <f>VLOOKUP(CC$33, ALTO!$G$3:$J$9, 3, FALSE)</f>
        <v>0.1</v>
      </c>
      <c r="CD57" s="6">
        <f>VLOOKUP(CD$33, ALTO!$G$3:$J$9, 3, FALSE)</f>
        <v>0.1</v>
      </c>
      <c r="CE57" s="6">
        <f>VLOOKUP(CE$33, ALTO!$G$3:$J$9, 3, FALSE)</f>
        <v>0.1</v>
      </c>
      <c r="CF57" s="6">
        <f>VLOOKUP(CF$33, ALTO!$G$3:$J$9, 3, FALSE)</f>
        <v>0.1</v>
      </c>
      <c r="CG57" s="6">
        <f>VLOOKUP(CG$33, ALTO!$G$3:$J$9, 3, FALSE)</f>
        <v>0.1</v>
      </c>
      <c r="CH57" s="6">
        <f>VLOOKUP(CH$33, ALTO!$G$3:$J$9, 3, FALSE)</f>
        <v>0.1</v>
      </c>
      <c r="CI57" s="6">
        <f>VLOOKUP(CI$33, ALTO!$G$3:$J$9, 3, FALSE)</f>
        <v>0.1</v>
      </c>
      <c r="CJ57" s="6">
        <f>VLOOKUP(CJ$33, ALTO!$G$3:$J$9, 3, FALSE)</f>
        <v>0.1</v>
      </c>
      <c r="CK57" s="6">
        <f>VLOOKUP(CK$33, ALTO!$G$3:$J$9, 3, FALSE)</f>
        <v>0.1</v>
      </c>
      <c r="CL57" s="6">
        <f>VLOOKUP(CL$33, ALTO!$G$3:$J$9, 3, FALSE)</f>
        <v>0.1</v>
      </c>
      <c r="CM57" s="6">
        <f>VLOOKUP(CM$33, ALTO!$G$3:$J$9, 3, FALSE)</f>
        <v>0.1</v>
      </c>
      <c r="CN57" s="6">
        <f>VLOOKUP(CN$33, ALTO!$G$3:$J$9, 3, FALSE)</f>
        <v>0.1</v>
      </c>
      <c r="CO57" s="6">
        <f>VLOOKUP(CO$33, ALTO!$G$3:$J$9, 3, FALSE)</f>
        <v>0.1</v>
      </c>
      <c r="CP57" s="6">
        <f>VLOOKUP(CP$33, ALTO!$G$3:$J$9, 3, FALSE)</f>
        <v>0.1</v>
      </c>
      <c r="CQ57" s="6">
        <f>VLOOKUP(CQ$33, ALTO!$G$3:$J$9, 3, FALSE)</f>
        <v>0.1</v>
      </c>
      <c r="CR57" s="6">
        <f>VLOOKUP(CR$33, ALTO!$G$3:$J$9, 3, FALSE)</f>
        <v>0.1</v>
      </c>
      <c r="CS57" s="6">
        <f>VLOOKUP(CS$33, ALTO!$G$3:$J$9, 3, FALSE)</f>
        <v>0.1</v>
      </c>
      <c r="CT57" s="6">
        <f>VLOOKUP(CT$33, ALTO!$G$3:$J$9, 3, FALSE)</f>
        <v>0.1</v>
      </c>
      <c r="CU57" s="6">
        <f>VLOOKUP(CU$33, ALTO!$G$3:$J$9, 3, FALSE)</f>
        <v>0.1</v>
      </c>
      <c r="CV57" s="6">
        <f>VLOOKUP(CV$33, ALTO!$G$3:$J$9, 3, FALSE)</f>
        <v>0.1</v>
      </c>
      <c r="CW57" s="6">
        <f>VLOOKUP(CW$33, ALTO!$G$3:$J$9, 3, FALSE)</f>
        <v>2.2000000000000002</v>
      </c>
      <c r="CX57" s="6">
        <f>VLOOKUP(CX$33, ALTO!$G$3:$J$9, 3, FALSE)</f>
        <v>2.2000000000000002</v>
      </c>
      <c r="CY57" s="6">
        <f>VLOOKUP(CY$33, ALTO!$G$3:$J$9, 3, FALSE)</f>
        <v>2.2000000000000002</v>
      </c>
      <c r="CZ57" s="6">
        <f>VLOOKUP(CZ$33, ALTO!$G$3:$J$9, 3, FALSE)</f>
        <v>2.2000000000000002</v>
      </c>
      <c r="DA57" s="6">
        <f>VLOOKUP(DA$33, ALTO!$G$3:$J$9, 3, FALSE)</f>
        <v>2.2000000000000002</v>
      </c>
      <c r="DB57" s="6">
        <f>VLOOKUP(DB$33, ALTO!$G$3:$J$9, 3, FALSE)</f>
        <v>2.2000000000000002</v>
      </c>
      <c r="DC57" s="6">
        <f>VLOOKUP(DC$33, ALTO!$G$3:$J$9, 3, FALSE)</f>
        <v>2.2000000000000002</v>
      </c>
      <c r="DD57" s="6">
        <f>VLOOKUP(DD$33, ALTO!$G$3:$J$9, 3, FALSE)</f>
        <v>2.2000000000000002</v>
      </c>
      <c r="DE57" s="6">
        <f>VLOOKUP(DE$33, ALTO!$G$3:$J$9, 3, FALSE)</f>
        <v>2.2000000000000002</v>
      </c>
      <c r="DF57" s="6">
        <f>VLOOKUP(DF$33, ALTO!$G$3:$J$9, 3, FALSE)</f>
        <v>2.2000000000000002</v>
      </c>
      <c r="DG57" s="6">
        <f>VLOOKUP(DG$33, ALTO!$G$3:$J$9, 3, FALSE)</f>
        <v>2.2000000000000002</v>
      </c>
      <c r="DH57" s="6">
        <f>VLOOKUP(DH$33, ALTO!$G$3:$J$9, 3, FALSE)</f>
        <v>2.2000000000000002</v>
      </c>
      <c r="DI57" s="6">
        <f>VLOOKUP(DI$33, ALTO!$G$3:$J$9, 3, FALSE)</f>
        <v>2.2000000000000002</v>
      </c>
      <c r="DJ57" s="6">
        <f>VLOOKUP(DJ$33, ALTO!$G$3:$J$9, 3, FALSE)</f>
        <v>2.2000000000000002</v>
      </c>
      <c r="DK57" s="6">
        <f>VLOOKUP(DK$33, ALTO!$G$3:$J$9, 3, FALSE)</f>
        <v>2.2000000000000002</v>
      </c>
      <c r="DL57" s="6">
        <f>VLOOKUP(DL$33, ALTO!$G$3:$J$9, 3, FALSE)</f>
        <v>0.1</v>
      </c>
      <c r="DM57" s="6">
        <f>VLOOKUP(DM$33, ALTO!$G$3:$J$9, 3, FALSE)</f>
        <v>0.1</v>
      </c>
      <c r="DN57" s="6">
        <f>VLOOKUP(DN$33, ALTO!$G$3:$J$9, 3, FALSE)</f>
        <v>0.1</v>
      </c>
      <c r="DO57" s="6">
        <f>VLOOKUP(DO$33, ALTO!$G$3:$J$9, 3, FALSE)</f>
        <v>0.1</v>
      </c>
      <c r="DP57" s="6">
        <f>VLOOKUP(DP$33, ALTO!$G$3:$J$9, 3, FALSE)</f>
        <v>0</v>
      </c>
      <c r="DQ57" s="6">
        <f>VLOOKUP(DQ$33, ALTO!$G$3:$J$9, 3, FALSE)</f>
        <v>0</v>
      </c>
      <c r="DR57" s="6">
        <f>VLOOKUP(DR$33, ALTO!$G$3:$J$9, 3, FALSE)</f>
        <v>0</v>
      </c>
      <c r="DS57" s="6">
        <f>VLOOKUP(DS$33, ALTO!$G$3:$J$9, 3, FALSE)</f>
        <v>0</v>
      </c>
      <c r="DT57" s="6">
        <f>VLOOKUP(DT$33, ALTO!$G$3:$J$9, 3, FALSE)</f>
        <v>0</v>
      </c>
      <c r="DU57" s="6">
        <f>VLOOKUP(DU$33, ALTO!$G$3:$J$9, 3, FALSE)</f>
        <v>0</v>
      </c>
      <c r="DV57" s="6">
        <f>VLOOKUP(DV$33, ALTO!$G$3:$J$9, 3, FALSE)</f>
        <v>0</v>
      </c>
      <c r="DW57" s="6">
        <f>VLOOKUP(DW$33, ALTO!$G$3:$J$9, 3, FALSE)</f>
        <v>0</v>
      </c>
      <c r="DX57" s="6">
        <f>VLOOKUP(DX$33, ALTO!$G$3:$J$9, 3, FALSE)</f>
        <v>0</v>
      </c>
      <c r="DY57" s="6">
        <f>VLOOKUP(DY$33, ALTO!$G$3:$J$9, 3, FALSE)</f>
        <v>0</v>
      </c>
      <c r="DZ57" s="6">
        <f>VLOOKUP(DZ$33, ALTO!$G$3:$J$9, 3, FALSE)</f>
        <v>0</v>
      </c>
      <c r="EA57" s="6">
        <f>VLOOKUP(EA$33, ALTO!$G$3:$J$9, 3, FALSE)</f>
        <v>0</v>
      </c>
      <c r="EB57" s="6">
        <f>VLOOKUP(EB$33, ALTO!$G$3:$J$9, 3, FALSE)</f>
        <v>0</v>
      </c>
      <c r="EC57" s="6">
        <f>VLOOKUP(EC$33, ALTO!$G$3:$J$9, 3, FALSE)</f>
        <v>0</v>
      </c>
      <c r="ED57" s="6">
        <f>VLOOKUP(ED$33, ALTO!$G$3:$J$9, 3, FALSE)</f>
        <v>0</v>
      </c>
      <c r="EE57" s="6">
        <f>VLOOKUP(EE$33, ALTO!$G$3:$J$9, 3, FALSE)</f>
        <v>0</v>
      </c>
      <c r="EF57" s="6">
        <f>VLOOKUP(EF$33, ALTO!$G$3:$J$9, 3, FALSE)</f>
        <v>0</v>
      </c>
      <c r="EG57" s="6">
        <f>VLOOKUP(EG$33, ALTO!$G$3:$J$9, 3, FALSE)</f>
        <v>0</v>
      </c>
      <c r="EH57" s="6">
        <f>VLOOKUP(EH$33, ALTO!$G$3:$J$9, 3, FALSE)</f>
        <v>0</v>
      </c>
      <c r="EI57" s="6">
        <f>VLOOKUP(EI$33, ALTO!$G$3:$J$9, 3, FALSE)</f>
        <v>0</v>
      </c>
      <c r="EJ57" s="6">
        <f>VLOOKUP(EJ$33, ALTO!$G$3:$J$9, 3, FALSE)</f>
        <v>0</v>
      </c>
      <c r="EK57" s="6">
        <f>VLOOKUP(EK$33, ALTO!$G$3:$J$9, 3, FALSE)</f>
        <v>0</v>
      </c>
      <c r="EL57" s="6">
        <f>VLOOKUP(EL$33, ALTO!$G$3:$J$9, 3, FALSE)</f>
        <v>0</v>
      </c>
      <c r="EM57" s="6">
        <f>VLOOKUP(EM$33, ALTO!$G$3:$J$9, 3, FALSE)</f>
        <v>0</v>
      </c>
      <c r="EN57" s="6">
        <f>VLOOKUP(EN$33, ALTO!$G$3:$J$9, 3, FALSE)</f>
        <v>0</v>
      </c>
      <c r="EO57" s="6">
        <f>VLOOKUP(EO$33, ALTO!$G$3:$J$9, 3, FALSE)</f>
        <v>0</v>
      </c>
      <c r="EP57" s="6">
        <f>VLOOKUP(EP$33, ALTO!$G$3:$J$9, 3, FALSE)</f>
        <v>0</v>
      </c>
      <c r="EQ57" s="6">
        <f>VLOOKUP(EQ$33, ALTO!$G$3:$J$9, 3, FALSE)</f>
        <v>0</v>
      </c>
      <c r="ER57" s="6">
        <f>VLOOKUP(ER$33, ALTO!$G$3:$J$9, 3, FALSE)</f>
        <v>0</v>
      </c>
      <c r="ES57" s="6">
        <f>VLOOKUP(ES$33, ALTO!$G$3:$J$9, 3, FALSE)</f>
        <v>0</v>
      </c>
      <c r="ET57" s="6">
        <f>VLOOKUP(ET$33, ALTO!$G$3:$J$9, 3, FALSE)</f>
        <v>0</v>
      </c>
      <c r="EU57" s="6">
        <f>VLOOKUP(EU$33, ALTO!$G$3:$J$9, 3, FALSE)</f>
        <v>0</v>
      </c>
      <c r="EV57" s="6">
        <f>VLOOKUP(EV$33, ALTO!$G$3:$J$9, 3, FALSE)</f>
        <v>0</v>
      </c>
      <c r="EW57" s="6">
        <f>VLOOKUP(EW$33, ALTO!$G$3:$J$9, 3, FALSE)</f>
        <v>0</v>
      </c>
      <c r="EX57" s="6">
        <f>VLOOKUP(EX$33, ALTO!$G$3:$J$9, 3, FALSE)</f>
        <v>0</v>
      </c>
      <c r="EY57" s="6">
        <f>VLOOKUP(EY$33, ALTO!$G$3:$J$9, 3, FALSE)</f>
        <v>0</v>
      </c>
      <c r="EZ57" s="6">
        <f>VLOOKUP(EZ$33, ALTO!$G$3:$J$9, 3, FALSE)</f>
        <v>0</v>
      </c>
      <c r="FA57" s="6">
        <f>VLOOKUP(FA$33, ALTO!$G$3:$J$9, 3, FALSE)</f>
        <v>0</v>
      </c>
      <c r="FB57" s="6">
        <f>VLOOKUP(FB$33, ALTO!$G$3:$J$9, 3, FALSE)</f>
        <v>0</v>
      </c>
      <c r="FC57" s="6">
        <f>VLOOKUP(FC$33, ALTO!$G$3:$J$9, 3, FALSE)</f>
        <v>0</v>
      </c>
      <c r="FD57" s="6">
        <f>VLOOKUP(FD$33, ALTO!$G$3:$J$9, 3, FALSE)</f>
        <v>0</v>
      </c>
      <c r="FE57" s="6">
        <f>VLOOKUP(FE$33, ALTO!$G$3:$J$9, 3, FALSE)</f>
        <v>0</v>
      </c>
      <c r="FF57" s="6">
        <f>VLOOKUP(FF$33, ALTO!$G$3:$J$9, 3, FALSE)</f>
        <v>0</v>
      </c>
      <c r="FG57" s="6">
        <f>VLOOKUP(FG$33, ALTO!$G$3:$J$9, 3, FALSE)</f>
        <v>0</v>
      </c>
      <c r="FH57" s="6">
        <f>VLOOKUP(FH$33, ALTO!$G$3:$J$9, 3, FALSE)</f>
        <v>0</v>
      </c>
      <c r="FI57" s="6">
        <f>VLOOKUP(FI$33, ALTO!$G$3:$J$9, 3, FALSE)</f>
        <v>0</v>
      </c>
      <c r="FJ57" s="6">
        <f>VLOOKUP(FJ$33, ALTO!$G$3:$J$9, 3, FALSE)</f>
        <v>0</v>
      </c>
      <c r="FK57" s="6">
        <f>VLOOKUP(FK$33, ALTO!$G$3:$J$9, 3, FALSE)</f>
        <v>0</v>
      </c>
      <c r="FL57" s="6">
        <f>VLOOKUP(FL$33, ALTO!$G$3:$J$9, 3, FALSE)</f>
        <v>0</v>
      </c>
      <c r="FM57" s="6">
        <f>VLOOKUP(FM$33, ALTO!$G$3:$J$9, 3, FALSE)</f>
        <v>0</v>
      </c>
      <c r="FN57" s="6">
        <f>VLOOKUP(FN$33, ALTO!$G$3:$J$9, 3, FALSE)</f>
        <v>0</v>
      </c>
      <c r="FO57" s="6">
        <f>VLOOKUP(FO$33, ALTO!$G$3:$J$9, 3, FALSE)</f>
        <v>0</v>
      </c>
      <c r="FP57" s="6">
        <f>VLOOKUP(FP$33, ALTO!$G$3:$J$9, 3, FALSE)</f>
        <v>0</v>
      </c>
      <c r="FQ57" s="6">
        <f>VLOOKUP(FQ$33, ALTO!$G$3:$J$9, 3, FALSE)</f>
        <v>0</v>
      </c>
      <c r="FR57" s="6">
        <f>VLOOKUP(FR$33, ALTO!$G$3:$J$9, 3, FALSE)</f>
        <v>0</v>
      </c>
      <c r="FS57" s="6">
        <f>VLOOKUP(FS$33, ALTO!$G$3:$J$9, 3, FALSE)</f>
        <v>0</v>
      </c>
      <c r="FT57" s="6">
        <f>VLOOKUP(FT$33, ALTO!$G$3:$J$9, 3, FALSE)</f>
        <v>0</v>
      </c>
      <c r="FU57" s="6">
        <f>VLOOKUP(FU$33, ALTO!$G$3:$J$9, 3, FALSE)</f>
        <v>0</v>
      </c>
      <c r="FV57" s="6">
        <f>VLOOKUP(FV$33, ALTO!$G$3:$J$9, 3, FALSE)</f>
        <v>0</v>
      </c>
      <c r="FW57" s="6">
        <f>VLOOKUP(FW$33, ALTO!$G$3:$J$9, 3, FALSE)</f>
        <v>0</v>
      </c>
      <c r="FX57" s="6">
        <f>VLOOKUP(FX$33, ALTO!$G$3:$J$9, 3, FALSE)</f>
        <v>0</v>
      </c>
      <c r="FY57" s="6">
        <f>VLOOKUP(FY$33, ALTO!$G$3:$J$9, 3, FALSE)</f>
        <v>0</v>
      </c>
      <c r="FZ57" s="6">
        <f>VLOOKUP(FZ$33, ALTO!$G$3:$J$9, 3, FALSE)</f>
        <v>0</v>
      </c>
      <c r="GA57" s="6">
        <f>VLOOKUP(GA$33, ALTO!$G$3:$J$9, 3, FALSE)</f>
        <v>0</v>
      </c>
      <c r="GB57" s="6">
        <f>VLOOKUP(GB$33, ALTO!$G$3:$J$9, 3, FALSE)</f>
        <v>0</v>
      </c>
      <c r="GC57" s="6">
        <f>VLOOKUP(GC$33, ALTO!$G$3:$J$9, 3, FALSE)</f>
        <v>0</v>
      </c>
      <c r="GD57" s="6">
        <f>VLOOKUP(GD$33, ALTO!$G$3:$J$9, 3, FALSE)</f>
        <v>0</v>
      </c>
      <c r="GE57" s="6">
        <f>VLOOKUP(GE$33, ALTO!$G$3:$J$9, 3, FALSE)</f>
        <v>0</v>
      </c>
      <c r="GF57" s="6">
        <f>VLOOKUP(GF$33, ALTO!$G$3:$J$9, 3, FALSE)</f>
        <v>0</v>
      </c>
      <c r="GG57" s="6">
        <f>VLOOKUP(GG$33, ALTO!$G$3:$J$9, 3, FALSE)</f>
        <v>0</v>
      </c>
      <c r="GH57" s="6">
        <f>VLOOKUP(GH$33, ALTO!$G$3:$J$9, 3, FALSE)</f>
        <v>0</v>
      </c>
      <c r="GI57" s="6">
        <f>VLOOKUP(GI$33, ALTO!$G$3:$J$9, 3, FALSE)</f>
        <v>0</v>
      </c>
      <c r="GJ57" s="6">
        <f>VLOOKUP(GJ$33, ALTO!$G$3:$J$9, 3, FALSE)</f>
        <v>0</v>
      </c>
      <c r="GK57" s="6">
        <f>VLOOKUP(GK$33, ALTO!$G$3:$J$9, 3, FALSE)</f>
        <v>0</v>
      </c>
      <c r="GL57" s="6">
        <f>VLOOKUP(GL$33, ALTO!$G$3:$J$9, 3, FALSE)</f>
        <v>0</v>
      </c>
      <c r="GM57" s="6">
        <f>VLOOKUP(GM$33, ALTO!$G$3:$J$9, 3, FALSE)</f>
        <v>0</v>
      </c>
      <c r="GN57" s="6">
        <f>VLOOKUP(GN$33, ALTO!$G$3:$J$9, 3, FALSE)</f>
        <v>0</v>
      </c>
      <c r="GO57" s="6">
        <f>VLOOKUP(GO$33, ALTO!$G$3:$J$9, 3, FALSE)</f>
        <v>0</v>
      </c>
      <c r="GP57" s="6">
        <f>VLOOKUP(GP$33, ALTO!$G$3:$J$9, 3, FALSE)</f>
        <v>0</v>
      </c>
      <c r="GQ57" s="6">
        <f>VLOOKUP(GQ$33, ALTO!$G$3:$J$9, 3, FALSE)</f>
        <v>0</v>
      </c>
      <c r="GR57" s="6">
        <f>VLOOKUP(GR$33, ALTO!$G$3:$J$9, 3, FALSE)</f>
        <v>0</v>
      </c>
      <c r="GS57" s="6">
        <f>VLOOKUP(GS$33, ALTO!$G$3:$J$9, 3, FALSE)</f>
        <v>0</v>
      </c>
      <c r="GT57" s="6">
        <f>VLOOKUP(GT$33, ALTO!$G$3:$J$9, 3, FALSE)</f>
        <v>0</v>
      </c>
      <c r="GU57" s="6">
        <f>VLOOKUP(GU$33, ALTO!$G$3:$J$9, 3, FALSE)</f>
        <v>0</v>
      </c>
      <c r="GV57" s="6">
        <f>VLOOKUP(GV$33, ALTO!$G$3:$J$9, 3, FALSE)</f>
        <v>0</v>
      </c>
      <c r="GW57" s="6">
        <f>VLOOKUP(GW$33, ALTO!$G$3:$J$9, 3, FALSE)</f>
        <v>0</v>
      </c>
      <c r="GX57" s="6">
        <f>VLOOKUP(GX$33, ALTO!$G$3:$J$9, 3, FALSE)</f>
        <v>0</v>
      </c>
      <c r="GY57" s="6">
        <f>VLOOKUP(GY$33, ALTO!$G$3:$J$9, 3, FALSE)</f>
        <v>0</v>
      </c>
      <c r="GZ57" s="6">
        <f>VLOOKUP(GZ$33, ALTO!$G$3:$J$9, 3, FALSE)</f>
        <v>0</v>
      </c>
      <c r="HA57" s="6">
        <f>VLOOKUP(HA$33, ALTO!$G$3:$J$9, 3, FALSE)</f>
        <v>0</v>
      </c>
      <c r="HB57" s="6">
        <f>VLOOKUP(HB$33, ALTO!$G$3:$J$9, 3, FALSE)</f>
        <v>0</v>
      </c>
      <c r="HC57" s="6">
        <f>VLOOKUP(HC$33, ALTO!$G$3:$J$9, 3, FALSE)</f>
        <v>0</v>
      </c>
      <c r="HD57" s="6">
        <f>VLOOKUP(HD$33, ALTO!$G$3:$J$9, 3, FALSE)</f>
        <v>0</v>
      </c>
      <c r="HE57" s="6">
        <f>VLOOKUP(HE$33, ALTO!$G$3:$J$9, 3, FALSE)</f>
        <v>0</v>
      </c>
      <c r="HF57" s="6">
        <f>VLOOKUP(HF$33, ALTO!$G$3:$J$9, 3, FALSE)</f>
        <v>0</v>
      </c>
      <c r="HG57" s="6">
        <f>VLOOKUP(HG$33, ALTO!$G$3:$J$9, 3, FALSE)</f>
        <v>0</v>
      </c>
      <c r="HH57" s="6">
        <f>VLOOKUP(HH$33, ALTO!$G$3:$J$9, 3, FALSE)</f>
        <v>0</v>
      </c>
      <c r="HI57" s="6">
        <f>VLOOKUP(HI$33, ALTO!$G$3:$J$9, 3, FALSE)</f>
        <v>0</v>
      </c>
      <c r="HJ57" s="6">
        <f>VLOOKUP(HJ$33, ALTO!$G$3:$J$9, 3, FALSE)</f>
        <v>0</v>
      </c>
      <c r="HK57" s="6">
        <f>VLOOKUP(HK$33, ALTO!$G$3:$J$9, 3, FALSE)</f>
        <v>0</v>
      </c>
      <c r="HL57" s="6">
        <f>VLOOKUP(HL$33, ALTO!$G$3:$J$9, 3, FALSE)</f>
        <v>0</v>
      </c>
      <c r="HM57" s="6">
        <f>VLOOKUP(HM$33, ALTO!$G$3:$J$9, 3, FALSE)</f>
        <v>0</v>
      </c>
      <c r="HN57" s="6">
        <f>VLOOKUP(HN$33, ALTO!$G$3:$J$9, 3, FALSE)</f>
        <v>0</v>
      </c>
      <c r="HO57" s="6">
        <f>VLOOKUP(HO$33, ALTO!$G$3:$J$9, 3, FALSE)</f>
        <v>0</v>
      </c>
      <c r="HP57" s="6">
        <f>VLOOKUP(HP$33, ALTO!$G$3:$J$9, 3, FALSE)</f>
        <v>0</v>
      </c>
      <c r="HQ57" s="6">
        <f>VLOOKUP(HQ$33, ALTO!$G$3:$J$9, 3, FALSE)</f>
        <v>0</v>
      </c>
      <c r="HR57" s="6">
        <f>VLOOKUP(HR$33, ALTO!$G$3:$J$9, 3, FALSE)</f>
        <v>0</v>
      </c>
      <c r="HS57" s="6">
        <f>VLOOKUP(HS$33, ALTO!$G$3:$J$9, 3, FALSE)</f>
        <v>0</v>
      </c>
      <c r="HT57" s="6">
        <f>VLOOKUP(HT$33, ALTO!$G$3:$J$9, 3, FALSE)</f>
        <v>0</v>
      </c>
      <c r="HU57" s="6">
        <f>VLOOKUP(HU$33, ALTO!$G$3:$J$9, 3, FALSE)</f>
        <v>0</v>
      </c>
      <c r="HV57" s="6">
        <f>VLOOKUP(HV$33, ALTO!$G$3:$J$9, 3, FALSE)</f>
        <v>0</v>
      </c>
      <c r="HW57" s="6">
        <f>VLOOKUP(HW$33, ALTO!$G$3:$J$9, 3, FALSE)</f>
        <v>0</v>
      </c>
      <c r="HX57" s="6">
        <f>VLOOKUP(HX$33, ALTO!$G$3:$J$9, 3, FALSE)</f>
        <v>0</v>
      </c>
      <c r="HY57" s="6">
        <f>VLOOKUP(HY$33, ALTO!$G$3:$J$9, 3, FALSE)</f>
        <v>0</v>
      </c>
      <c r="HZ57" s="6">
        <f>VLOOKUP(HZ$33, ALTO!$G$3:$J$9, 3, FALSE)</f>
        <v>0</v>
      </c>
      <c r="IA57" s="6">
        <f>VLOOKUP(IA$33, ALTO!$G$3:$J$9, 3, FALSE)</f>
        <v>0</v>
      </c>
      <c r="IB57" s="6">
        <f>VLOOKUP(IB$33, ALTO!$G$3:$J$9, 3, FALSE)</f>
        <v>0</v>
      </c>
      <c r="IC57" s="6">
        <f>VLOOKUP(IC$33, ALTO!$G$3:$J$9, 3, FALSE)</f>
        <v>0</v>
      </c>
      <c r="ID57" s="6">
        <f>VLOOKUP(ID$33, ALTO!$G$3:$J$9, 3, FALSE)</f>
        <v>0</v>
      </c>
      <c r="IE57" s="6">
        <f>VLOOKUP(IE$33, ALTO!$G$3:$J$9, 3, FALSE)</f>
        <v>0</v>
      </c>
      <c r="IF57" s="6">
        <f>VLOOKUP(IF$33, ALTO!$G$3:$J$9, 3, FALSE)</f>
        <v>0</v>
      </c>
      <c r="IG57" s="6">
        <f>VLOOKUP(IG$33, ALTO!$G$3:$J$9, 3, FALSE)</f>
        <v>0</v>
      </c>
      <c r="IH57" s="6">
        <f>VLOOKUP(IH$33, ALTO!$G$3:$J$9, 3, FALSE)</f>
        <v>0</v>
      </c>
      <c r="II57" s="6">
        <f>VLOOKUP(II$33, ALTO!$G$3:$J$9, 3, FALSE)</f>
        <v>0</v>
      </c>
      <c r="IJ57" s="6">
        <f>VLOOKUP(IJ$33, ALTO!$G$3:$J$9, 3, FALSE)</f>
        <v>0</v>
      </c>
      <c r="IK57" s="6">
        <f>VLOOKUP(IK$33, ALTO!$G$3:$J$9, 3, FALSE)</f>
        <v>0</v>
      </c>
      <c r="IL57" s="6">
        <f>VLOOKUP(IL$33, ALTO!$G$3:$J$9, 3, FALSE)</f>
        <v>0</v>
      </c>
      <c r="IM57" s="6">
        <f>VLOOKUP(IM$33, ALTO!$G$3:$J$9, 3, FALSE)</f>
        <v>0</v>
      </c>
      <c r="IN57" s="6">
        <f>VLOOKUP(IN$33, ALTO!$G$3:$J$9, 3, FALSE)</f>
        <v>0</v>
      </c>
      <c r="IO57" s="6">
        <f>VLOOKUP(IO$33, ALTO!$G$3:$J$9, 3, FALSE)</f>
        <v>0</v>
      </c>
      <c r="IP57" s="6">
        <f>VLOOKUP(IP$33, ALTO!$G$3:$J$9, 3, FALSE)</f>
        <v>0</v>
      </c>
      <c r="IQ57" s="6">
        <f>VLOOKUP(IQ$33, ALTO!$G$3:$J$9, 3, FALSE)</f>
        <v>0</v>
      </c>
      <c r="IR57" s="6">
        <f>VLOOKUP(IR$33, ALTO!$G$3:$J$9, 3, FALSE)</f>
        <v>0</v>
      </c>
      <c r="IS57" s="6">
        <f>VLOOKUP(IS$33, ALTO!$G$3:$J$9, 3, FALSE)</f>
        <v>0</v>
      </c>
      <c r="IT57" s="6">
        <f>VLOOKUP(IT$33, ALTO!$G$3:$J$9, 3, FALSE)</f>
        <v>0</v>
      </c>
      <c r="IU57" s="6">
        <f>VLOOKUP(IU$33, ALTO!$G$3:$J$9, 3, FALSE)</f>
        <v>0</v>
      </c>
      <c r="IV57" s="6">
        <f>VLOOKUP(IV$33, ALTO!$G$3:$J$9, 3, FALSE)</f>
        <v>0</v>
      </c>
      <c r="IW57" s="6">
        <f>VLOOKUP(IW$33, ALTO!$G$3:$J$9, 3, FALSE)</f>
        <v>0</v>
      </c>
      <c r="IX57" s="6">
        <f>VLOOKUP(IX$33, ALTO!$G$3:$J$9, 3, FALSE)</f>
        <v>0</v>
      </c>
      <c r="IY57" s="6">
        <f>VLOOKUP(IY$33, ALTO!$G$3:$J$9, 3, FALSE)</f>
        <v>0</v>
      </c>
      <c r="IZ57" s="6">
        <f>VLOOKUP(IZ$33, ALTO!$G$3:$J$9, 3, FALSE)</f>
        <v>0</v>
      </c>
      <c r="JA57" s="6">
        <f>VLOOKUP(JA$33, ALTO!$G$3:$J$9, 3, FALSE)</f>
        <v>0</v>
      </c>
      <c r="JB57" s="6">
        <f>VLOOKUP(JB$33, ALTO!$G$3:$J$9, 3, FALSE)</f>
        <v>0</v>
      </c>
      <c r="JC57" s="6">
        <f>VLOOKUP(JC$33, ALTO!$G$3:$J$9, 3, FALSE)</f>
        <v>0</v>
      </c>
      <c r="JD57" s="6">
        <f>VLOOKUP(JD$33, ALTO!$G$3:$J$9, 3, FALSE)</f>
        <v>0.1</v>
      </c>
      <c r="JE57" s="6">
        <f>VLOOKUP(JE$33, ALTO!$G$3:$J$9, 3, FALSE)</f>
        <v>0.1</v>
      </c>
      <c r="JF57" s="6">
        <f>VLOOKUP(JF$33, ALTO!$G$3:$J$9, 3, FALSE)</f>
        <v>0.1</v>
      </c>
      <c r="JG57" s="6">
        <f>VLOOKUP(JG$33, ALTO!$G$3:$J$9, 3, FALSE)</f>
        <v>0.1</v>
      </c>
      <c r="JH57" s="6">
        <f>VLOOKUP(JH$33, ALTO!$G$3:$J$9, 3, FALSE)</f>
        <v>0.1</v>
      </c>
      <c r="JI57" s="6">
        <f>VLOOKUP(JI$33, ALTO!$G$3:$J$9, 3, FALSE)</f>
        <v>0.1</v>
      </c>
      <c r="JJ57" s="6">
        <f>VLOOKUP(JJ$33, ALTO!$G$3:$J$9, 3, FALSE)</f>
        <v>0.1</v>
      </c>
      <c r="JK57" s="6">
        <f>VLOOKUP(JK$33, ALTO!$G$3:$J$9, 3, FALSE)</f>
        <v>0.1</v>
      </c>
      <c r="JL57" s="6">
        <f>VLOOKUP(JL$33, ALTO!$G$3:$J$9, 3, FALSE)</f>
        <v>0.1</v>
      </c>
      <c r="JM57" s="6">
        <f>VLOOKUP(JM$33, ALTO!$G$3:$J$9, 3, FALSE)</f>
        <v>0.1</v>
      </c>
      <c r="JN57" s="6">
        <f>VLOOKUP(JN$33, ALTO!$G$3:$J$9, 3, FALSE)</f>
        <v>0.1</v>
      </c>
      <c r="JO57" s="6">
        <f>VLOOKUP(JO$33, ALTO!$G$3:$J$9, 3, FALSE)</f>
        <v>0.1</v>
      </c>
      <c r="JP57" s="6">
        <f>VLOOKUP(JP$33, ALTO!$G$3:$J$9, 3, FALSE)</f>
        <v>0.1</v>
      </c>
      <c r="JQ57" s="6">
        <f>VLOOKUP(JQ$33, ALTO!$G$3:$J$9, 3, FALSE)</f>
        <v>0.1</v>
      </c>
      <c r="JR57" s="6">
        <f>VLOOKUP(JR$33, ALTO!$G$3:$J$9, 3, FALSE)</f>
        <v>0.1</v>
      </c>
      <c r="JS57" s="6">
        <f>VLOOKUP(JS$33, ALTO!$G$3:$J$9, 3, FALSE)</f>
        <v>0.1</v>
      </c>
      <c r="JT57" s="6">
        <f>VLOOKUP(JT$33, ALTO!$G$3:$J$9, 3, FALSE)</f>
        <v>0.1</v>
      </c>
      <c r="JU57" s="6">
        <f>VLOOKUP(JU$33, ALTO!$G$3:$J$9, 3, FALSE)</f>
        <v>0.1</v>
      </c>
      <c r="JV57" s="6">
        <f>VLOOKUP(JV$33, ALTO!$G$3:$J$9, 3, FALSE)</f>
        <v>0.1</v>
      </c>
      <c r="JW57" s="6">
        <f>VLOOKUP(JW$33, ALTO!$G$3:$J$9, 3, FALSE)</f>
        <v>0.1</v>
      </c>
      <c r="JX57" s="6">
        <f>VLOOKUP(JX$33, ALTO!$G$3:$J$9, 3, FALSE)</f>
        <v>0.1</v>
      </c>
      <c r="JY57" s="6">
        <f>VLOOKUP(JY$33, ALTO!$G$3:$J$9, 3, FALSE)</f>
        <v>0.1</v>
      </c>
      <c r="JZ57" s="6">
        <f>VLOOKUP(JZ$33, ALTO!$G$3:$J$9, 3, FALSE)</f>
        <v>0</v>
      </c>
      <c r="KA57" s="6">
        <f>VLOOKUP(KA$33, ALTO!$G$3:$J$9, 3, FALSE)</f>
        <v>0</v>
      </c>
      <c r="KB57" s="6">
        <f>VLOOKUP(KB$33, ALTO!$G$3:$J$9, 3, FALSE)</f>
        <v>0</v>
      </c>
      <c r="KC57" s="6">
        <f>VLOOKUP(KC$33, ALTO!$G$3:$J$9, 3, FALSE)</f>
        <v>0</v>
      </c>
      <c r="KD57" s="6">
        <f>VLOOKUP(KD$33, ALTO!$G$3:$J$9, 3, FALSE)</f>
        <v>0</v>
      </c>
      <c r="KE57" s="6">
        <f>VLOOKUP(KE$33, ALTO!$G$3:$J$9, 3, FALSE)</f>
        <v>0</v>
      </c>
      <c r="KF57" s="6">
        <f>VLOOKUP(KF$33, ALTO!$G$3:$J$9, 3, FALSE)</f>
        <v>0.1</v>
      </c>
      <c r="KG57" s="6">
        <f>VLOOKUP(KG$33, ALTO!$G$3:$J$9, 3, FALSE)</f>
        <v>0.1</v>
      </c>
      <c r="KH57" s="6">
        <f>VLOOKUP(KH$33, ALTO!$G$3:$J$9, 3, FALSE)</f>
        <v>0.1</v>
      </c>
      <c r="KI57" s="6">
        <f>VLOOKUP(KI$33, ALTO!$G$3:$J$9, 3, FALSE)</f>
        <v>0.1</v>
      </c>
      <c r="KJ57" s="6">
        <f>VLOOKUP(KJ$33, ALTO!$G$3:$J$9, 3, FALSE)</f>
        <v>0.1</v>
      </c>
      <c r="KK57" s="6">
        <f>VLOOKUP(KK$33, ALTO!$G$3:$J$9, 3, FALSE)</f>
        <v>0.1</v>
      </c>
      <c r="KL57" s="6">
        <f>VLOOKUP(KL$33, ALTO!$G$3:$J$9, 3, FALSE)</f>
        <v>0.1</v>
      </c>
      <c r="KM57" s="6">
        <f>VLOOKUP(KM$33, ALTO!$G$3:$J$9, 3, FALSE)</f>
        <v>0.1</v>
      </c>
      <c r="KN57" s="6">
        <f>VLOOKUP(KN$33, ALTO!$G$3:$J$9, 3, FALSE)</f>
        <v>0.1</v>
      </c>
      <c r="KO57" s="6">
        <f>VLOOKUP(KO$33, ALTO!$G$3:$J$9, 3, FALSE)</f>
        <v>0.1</v>
      </c>
      <c r="KP57" s="6">
        <f>VLOOKUP(KP$33, ALTO!$G$3:$J$9, 3, FALSE)</f>
        <v>0.1</v>
      </c>
      <c r="KQ57" s="6">
        <f>VLOOKUP(KQ$33, ALTO!$G$3:$J$9, 3, FALSE)</f>
        <v>0.1</v>
      </c>
      <c r="KR57" s="6">
        <f>VLOOKUP(KR$33, ALTO!$G$3:$J$9, 3, FALSE)</f>
        <v>0.1</v>
      </c>
      <c r="KS57" s="6">
        <f>VLOOKUP(KS$33, ALTO!$G$3:$J$9, 3, FALSE)</f>
        <v>0.1</v>
      </c>
      <c r="KT57" s="6">
        <f>VLOOKUP(KT$33, ALTO!$G$3:$J$9, 3, FALSE)</f>
        <v>0.1</v>
      </c>
      <c r="KU57" s="6">
        <f>VLOOKUP(KU$33, ALTO!$G$3:$J$9, 3, FALSE)</f>
        <v>0.1</v>
      </c>
      <c r="KV57" s="6">
        <f>VLOOKUP(KV$33, ALTO!$G$3:$J$9, 3, FALSE)</f>
        <v>0.1</v>
      </c>
      <c r="KW57" s="6">
        <f>VLOOKUP(KW$33, ALTO!$G$3:$J$9, 3, FALSE)</f>
        <v>0.1</v>
      </c>
      <c r="KX57" s="6">
        <f>VLOOKUP(KX$33, ALTO!$G$3:$J$9, 3, FALSE)</f>
        <v>0.1</v>
      </c>
      <c r="KY57" s="6">
        <f>VLOOKUP(KY$33, ALTO!$G$3:$J$9, 3, FALSE)</f>
        <v>0.1</v>
      </c>
      <c r="KZ57" s="6">
        <f>VLOOKUP(KZ$33, ALTO!$G$3:$J$9, 3, FALSE)</f>
        <v>0.1</v>
      </c>
      <c r="LA57" s="6">
        <f>VLOOKUP(LA$33, ALTO!$G$3:$J$9, 3, FALSE)</f>
        <v>0.1</v>
      </c>
      <c r="LB57" s="6">
        <f>VLOOKUP(LB$33, ALTO!$G$3:$J$9, 3, FALSE)</f>
        <v>0.1</v>
      </c>
      <c r="LC57" s="6">
        <f>VLOOKUP(LC$33, ALTO!$G$3:$J$9, 3, FALSE)</f>
        <v>0.1</v>
      </c>
      <c r="LD57" s="6">
        <f>VLOOKUP(LD$33, ALTO!$G$3:$J$9, 3, FALSE)</f>
        <v>0.1</v>
      </c>
      <c r="LE57" s="6">
        <f>VLOOKUP(LE$33, ALTO!$G$3:$J$9, 3, FALSE)</f>
        <v>2.2000000000000002</v>
      </c>
      <c r="LF57" s="6">
        <f>VLOOKUP(LF$33, ALTO!$G$3:$J$9, 3, FALSE)</f>
        <v>2.2000000000000002</v>
      </c>
      <c r="LG57" s="6">
        <f>VLOOKUP(LG$33, ALTO!$G$3:$J$9, 3, FALSE)</f>
        <v>2.2000000000000002</v>
      </c>
      <c r="LH57" s="6">
        <f>VLOOKUP(LH$33, ALTO!$G$3:$J$9, 3, FALSE)</f>
        <v>2.2000000000000002</v>
      </c>
      <c r="LI57" s="6">
        <f>VLOOKUP(LI$33, ALTO!$G$3:$J$9, 3, FALSE)</f>
        <v>2.2000000000000002</v>
      </c>
      <c r="LJ57" s="6">
        <f>VLOOKUP(LJ$33, ALTO!$G$3:$J$9, 3, FALSE)</f>
        <v>2.2000000000000002</v>
      </c>
      <c r="LK57" s="6">
        <f>VLOOKUP(LK$33, ALTO!$G$3:$J$9, 3, FALSE)</f>
        <v>2.2000000000000002</v>
      </c>
      <c r="LL57" s="6">
        <f>VLOOKUP(LL$33, ALTO!$G$3:$J$9, 3, FALSE)</f>
        <v>2.2000000000000002</v>
      </c>
      <c r="LM57" s="6">
        <f>VLOOKUP(LM$33, ALTO!$G$3:$J$9, 3, FALSE)</f>
        <v>2.2000000000000002</v>
      </c>
      <c r="LN57" s="6">
        <f>VLOOKUP(LN$33, ALTO!$G$3:$J$9, 3, FALSE)</f>
        <v>2.2000000000000002</v>
      </c>
      <c r="LO57" s="6">
        <f>VLOOKUP(LO$33, ALTO!$G$3:$J$9, 3, FALSE)</f>
        <v>2.2000000000000002</v>
      </c>
      <c r="LP57" s="6">
        <f>VLOOKUP(LP$33, ALTO!$G$3:$J$9, 3, FALSE)</f>
        <v>2.2000000000000002</v>
      </c>
      <c r="LQ57" s="6">
        <f>VLOOKUP(LQ$33, ALTO!$G$3:$J$9, 3, FALSE)</f>
        <v>2.2000000000000002</v>
      </c>
      <c r="LR57" s="6">
        <f>VLOOKUP(LR$33, ALTO!$G$3:$J$9, 3, FALSE)</f>
        <v>2.2000000000000002</v>
      </c>
      <c r="LS57" s="6">
        <f>VLOOKUP(LS$33, ALTO!$G$3:$J$9, 3, FALSE)</f>
        <v>2.2000000000000002</v>
      </c>
      <c r="LT57" s="6">
        <f>VLOOKUP(LT$33, ALTO!$G$3:$J$9, 3, FALSE)</f>
        <v>0.1</v>
      </c>
      <c r="LU57" s="6">
        <f>VLOOKUP(LU$33, ALTO!$G$3:$J$9, 3, FALSE)</f>
        <v>0.1</v>
      </c>
      <c r="LV57" s="6">
        <f>VLOOKUP(LV$33, ALTO!$G$3:$J$9, 3, FALSE)</f>
        <v>0.1</v>
      </c>
      <c r="LW57" s="6">
        <f>VLOOKUP(LW$33, ALTO!$G$3:$J$9, 3, FALSE)</f>
        <v>0.1</v>
      </c>
      <c r="LX57" s="6">
        <f>VLOOKUP(LX$33, ALTO!$G$3:$J$9, 3, FALSE)</f>
        <v>0.1</v>
      </c>
      <c r="LY57" s="6">
        <f>VLOOKUP(LY$33, ALTO!$G$3:$J$9, 3, FALSE)</f>
        <v>0.1</v>
      </c>
      <c r="LZ57" s="6">
        <f>VLOOKUP(LZ$33, ALTO!$G$3:$J$9, 3, FALSE)</f>
        <v>0.1</v>
      </c>
      <c r="MA57" s="6">
        <f>VLOOKUP(MA$33, ALTO!$G$3:$J$9, 3, FALSE)</f>
        <v>0.1</v>
      </c>
      <c r="MB57" s="6">
        <f>VLOOKUP(MB$33, ALTO!$G$3:$J$9, 3, FALSE)</f>
        <v>0.1</v>
      </c>
      <c r="MC57" s="6">
        <f>VLOOKUP(MC$33, ALTO!$G$3:$J$9, 3, FALSE)</f>
        <v>0.1</v>
      </c>
      <c r="MD57" s="6">
        <f>VLOOKUP(MD$33, ALTO!$G$3:$J$9, 3, FALSE)</f>
        <v>0.1</v>
      </c>
      <c r="ME57" s="6">
        <f>VLOOKUP(ME$33, ALTO!$G$3:$J$9, 3, FALSE)</f>
        <v>0.1</v>
      </c>
      <c r="MF57" s="6">
        <f>VLOOKUP(MF$33, ALTO!$G$3:$J$9, 3, FALSE)</f>
        <v>0.1</v>
      </c>
      <c r="MG57" s="6">
        <f>VLOOKUP(MG$33, ALTO!$G$3:$J$9, 3, FALSE)</f>
        <v>0.1</v>
      </c>
      <c r="MH57" s="6">
        <f>VLOOKUP(MH$33, ALTO!$G$3:$J$9, 3, FALSE)</f>
        <v>0.1</v>
      </c>
      <c r="MI57" s="6">
        <f>VLOOKUP(MI$33, ALTO!$G$3:$J$9, 3, FALSE)</f>
        <v>0.1</v>
      </c>
      <c r="MJ57" s="6">
        <f>VLOOKUP(MJ$33, ALTO!$G$3:$J$9, 3, FALSE)</f>
        <v>0.1</v>
      </c>
      <c r="MK57" s="6">
        <f>VLOOKUP(MK$33, ALTO!$G$3:$J$9, 3, FALSE)</f>
        <v>2.2000000000000002</v>
      </c>
      <c r="ML57" s="6">
        <f>VLOOKUP(ML$33, ALTO!$G$3:$J$9, 3, FALSE)</f>
        <v>2.2000000000000002</v>
      </c>
      <c r="MM57" s="6">
        <f>VLOOKUP(MM$33, ALTO!$G$3:$J$9, 3, FALSE)</f>
        <v>2.2000000000000002</v>
      </c>
      <c r="MN57" s="6">
        <f>VLOOKUP(MN$33, ALTO!$G$3:$J$9, 3, FALSE)</f>
        <v>2.2000000000000002</v>
      </c>
      <c r="MO57" s="6">
        <f>VLOOKUP(MO$33, ALTO!$G$3:$J$9, 3, FALSE)</f>
        <v>2.2000000000000002</v>
      </c>
      <c r="MP57" s="6">
        <f>VLOOKUP(MP$33, ALTO!$G$3:$J$9, 3, FALSE)</f>
        <v>2.2000000000000002</v>
      </c>
      <c r="MQ57" s="6">
        <f>VLOOKUP(MQ$33, ALTO!$G$3:$J$9, 3, FALSE)</f>
        <v>2.2000000000000002</v>
      </c>
      <c r="MR57" s="6">
        <f>VLOOKUP(MR$33, ALTO!$G$3:$J$9, 3, FALSE)</f>
        <v>2.2000000000000002</v>
      </c>
      <c r="MS57" s="6">
        <f>VLOOKUP(MS$33, ALTO!$G$3:$J$9, 3, FALSE)</f>
        <v>2.2000000000000002</v>
      </c>
      <c r="MT57" s="6">
        <f>VLOOKUP(MT$33, ALTO!$G$3:$J$9, 3, FALSE)</f>
        <v>2.2000000000000002</v>
      </c>
      <c r="MU57" s="6">
        <f>VLOOKUP(MU$33, ALTO!$G$3:$J$9, 3, FALSE)</f>
        <v>2.2000000000000002</v>
      </c>
      <c r="MV57" s="6">
        <f>VLOOKUP(MV$33, ALTO!$G$3:$J$9, 3, FALSE)</f>
        <v>2.2000000000000002</v>
      </c>
      <c r="MW57" s="6">
        <f>VLOOKUP(MW$33, ALTO!$G$3:$J$9, 3, FALSE)</f>
        <v>2.2000000000000002</v>
      </c>
      <c r="MX57" s="6">
        <f>VLOOKUP(MX$33, ALTO!$G$3:$J$9, 3, FALSE)</f>
        <v>2.2000000000000002</v>
      </c>
      <c r="MY57" s="6">
        <f>VLOOKUP(MY$33, ALTO!$G$3:$J$9, 3, FALSE)</f>
        <v>2.2000000000000002</v>
      </c>
      <c r="MZ57" s="6">
        <f>VLOOKUP(MZ$33, ALTO!$G$3:$J$9, 3, FALSE)</f>
        <v>0.1</v>
      </c>
      <c r="NA57" s="6">
        <f>VLOOKUP(NA$33, ALTO!$G$3:$J$9, 3, FALSE)</f>
        <v>0.1</v>
      </c>
      <c r="NB57" s="6">
        <f>VLOOKUP(NB$33, ALTO!$G$3:$J$9, 3, FALSE)</f>
        <v>0.1</v>
      </c>
      <c r="NC57" s="6">
        <f>VLOOKUP(NC$33, ALTO!$G$3:$J$9, 3, FALSE)</f>
        <v>0.1</v>
      </c>
      <c r="ND57" s="6">
        <f>VLOOKUP(ND$33, ALTO!$G$3:$J$9, 3, FALSE)</f>
        <v>0.1</v>
      </c>
      <c r="NE57" s="6">
        <f>VLOOKUP(NE$33, ALTO!$G$3:$J$9, 3, FALSE)</f>
        <v>0.1</v>
      </c>
      <c r="NF57" s="6">
        <f>VLOOKUP(NF$33, ALTO!$G$3:$J$9, 3, FALSE)</f>
        <v>0.1</v>
      </c>
      <c r="NG57" s="6">
        <f>VLOOKUP(NG$33, ALTO!$G$3:$J$9, 3, FALSE)</f>
        <v>0.1</v>
      </c>
      <c r="NH57" s="6">
        <f>VLOOKUP(NH$33, ALTO!$G$3:$J$9, 3, FALSE)</f>
        <v>0.1</v>
      </c>
      <c r="NI57" s="6">
        <f>VLOOKUP(NI$33, ALTO!$G$3:$J$9, 3, FALSE)</f>
        <v>0.1</v>
      </c>
      <c r="NJ57" s="6">
        <f>VLOOKUP(NJ$33, ALTO!$G$3:$J$9, 3, FALSE)</f>
        <v>0.1</v>
      </c>
      <c r="NK57" s="6">
        <f>VLOOKUP(NK$33, ALTO!$G$3:$J$9, 3, FALSE)</f>
        <v>0.1</v>
      </c>
      <c r="NL57" s="6">
        <f>VLOOKUP(NL$33, ALTO!$G$3:$J$9, 3, FALSE)</f>
        <v>0.1</v>
      </c>
      <c r="NM57" s="6">
        <f>VLOOKUP(NM$33, ALTO!$G$3:$J$9, 3, FALSE)</f>
        <v>0.1</v>
      </c>
      <c r="NN57" s="6">
        <f>VLOOKUP(NN$33, ALTO!$G$3:$J$9, 3, FALSE)</f>
        <v>0.1</v>
      </c>
      <c r="NO57" s="6">
        <f>VLOOKUP(NO$33, ALTO!$G$3:$J$9, 3, FALSE)</f>
        <v>0.1</v>
      </c>
      <c r="NP57" s="6">
        <f>VLOOKUP(NP$33, ALTO!$G$3:$J$9, 3, FALSE)</f>
        <v>0.1</v>
      </c>
      <c r="NQ57" s="6">
        <f>VLOOKUP(NQ$33, ALTO!$G$3:$J$9, 3, FALSE)</f>
        <v>0.1</v>
      </c>
      <c r="NR57" s="6">
        <f>VLOOKUP(NR$33, ALTO!$G$3:$J$9, 3, FALSE)</f>
        <v>0.1</v>
      </c>
      <c r="NS57" s="6">
        <f>VLOOKUP(NS$33, ALTO!$G$3:$J$9, 3, FALSE)</f>
        <v>0.1</v>
      </c>
      <c r="NT57" s="6">
        <f>VLOOKUP(NT$33, ALTO!$G$3:$J$9, 3, FALSE)</f>
        <v>0.1</v>
      </c>
      <c r="NU57" s="6">
        <f>VLOOKUP(NU$33, ALTO!$G$3:$J$9, 3, FALSE)</f>
        <v>0.1</v>
      </c>
      <c r="NV57" s="6">
        <f>VLOOKUP(NV$33, ALTO!$G$3:$J$9, 3, FALSE)</f>
        <v>0.1</v>
      </c>
      <c r="NW57" s="6">
        <f>VLOOKUP(NW$33, ALTO!$G$3:$J$9, 3, FALSE)</f>
        <v>0.1</v>
      </c>
      <c r="NX57" s="6">
        <f>VLOOKUP(NX$33, ALTO!$G$3:$J$9, 3, FALSE)</f>
        <v>0.1</v>
      </c>
      <c r="NY57" s="6">
        <f>VLOOKUP(NY$33, ALTO!$G$3:$J$9, 3, FALSE)</f>
        <v>2.2000000000000002</v>
      </c>
      <c r="NZ57" s="6">
        <f>VLOOKUP(NZ$33, ALTO!$G$3:$J$9, 3, FALSE)</f>
        <v>2.2000000000000002</v>
      </c>
      <c r="OA57" s="6">
        <f>VLOOKUP(OA$33, ALTO!$G$3:$J$9, 3, FALSE)</f>
        <v>2.2000000000000002</v>
      </c>
      <c r="OB57" s="6">
        <f>VLOOKUP(OB$33, ALTO!$G$3:$J$9, 3, FALSE)</f>
        <v>2.2000000000000002</v>
      </c>
      <c r="OC57" s="6">
        <f>VLOOKUP(OC$33, ALTO!$G$3:$J$9, 3, FALSE)</f>
        <v>2.2000000000000002</v>
      </c>
      <c r="OD57" s="6">
        <f>VLOOKUP(OD$33, ALTO!$G$3:$J$9, 3, FALSE)</f>
        <v>2.2000000000000002</v>
      </c>
      <c r="OE57" s="6">
        <f>VLOOKUP(OE$33, ALTO!$G$3:$J$9, 3, FALSE)</f>
        <v>2.2000000000000002</v>
      </c>
      <c r="OF57" s="6">
        <f>VLOOKUP(OF$33, ALTO!$G$3:$J$9, 3, FALSE)</f>
        <v>2.2000000000000002</v>
      </c>
      <c r="OG57" s="6">
        <f>VLOOKUP(OG$33, ALTO!$G$3:$J$9, 3, FALSE)</f>
        <v>2.2000000000000002</v>
      </c>
      <c r="OH57" s="6">
        <f>VLOOKUP(OH$33, ALTO!$G$3:$J$9, 3, FALSE)</f>
        <v>2.2000000000000002</v>
      </c>
      <c r="OI57" s="6">
        <f>VLOOKUP(OI$33, ALTO!$G$3:$J$9, 3, FALSE)</f>
        <v>2.2000000000000002</v>
      </c>
      <c r="OJ57" s="6">
        <f>VLOOKUP(OJ$33, ALTO!$G$3:$J$9, 3, FALSE)</f>
        <v>2.2000000000000002</v>
      </c>
      <c r="OK57" s="6">
        <f>VLOOKUP(OK$33, ALTO!$G$3:$J$9, 3, FALSE)</f>
        <v>2.2000000000000002</v>
      </c>
      <c r="OL57" s="6">
        <f>VLOOKUP(OL$33, ALTO!$G$3:$J$9, 3, FALSE)</f>
        <v>2.2000000000000002</v>
      </c>
      <c r="OM57" s="6">
        <f>VLOOKUP(OM$33, ALTO!$G$3:$J$9, 3, FALSE)</f>
        <v>2.2000000000000002</v>
      </c>
      <c r="ON57" s="6">
        <f>VLOOKUP(ON$33, ALTO!$G$3:$J$9, 3, FALSE)</f>
        <v>0.1</v>
      </c>
      <c r="OO57" s="6">
        <f>VLOOKUP(OO$33, ALTO!$G$3:$J$9, 3, FALSE)</f>
        <v>0.1</v>
      </c>
      <c r="OP57" s="6">
        <f>VLOOKUP(OP$33, ALTO!$G$3:$J$9, 3, FALSE)</f>
        <v>0.1</v>
      </c>
      <c r="OQ57" s="6">
        <f>VLOOKUP(OQ$33, ALTO!$G$3:$J$9, 3, FALSE)</f>
        <v>0.1</v>
      </c>
      <c r="OR57" s="6">
        <f>VLOOKUP(OR$33, ALTO!$G$3:$J$9, 3, FALSE)</f>
        <v>0</v>
      </c>
      <c r="OS57" s="6">
        <f>VLOOKUP(OS$33, ALTO!$G$3:$J$9, 3, FALSE)</f>
        <v>0</v>
      </c>
      <c r="OT57" s="6">
        <f>VLOOKUP(OT$33, ALTO!$G$3:$J$9, 3, FALSE)</f>
        <v>0</v>
      </c>
      <c r="OU57" s="6">
        <f>VLOOKUP(OU$33, ALTO!$G$3:$J$9, 3, FALSE)</f>
        <v>0</v>
      </c>
      <c r="OV57" s="6">
        <f>VLOOKUP(OV$33, ALTO!$G$3:$J$9, 3, FALSE)</f>
        <v>0</v>
      </c>
      <c r="OW57" s="6">
        <f>VLOOKUP(OW$33, ALTO!$G$3:$J$9, 3, FALSE)</f>
        <v>0</v>
      </c>
      <c r="OX57" s="6">
        <f>VLOOKUP(OX$33, ALTO!$G$3:$J$9, 3, FALSE)</f>
        <v>0</v>
      </c>
      <c r="OY57" s="6">
        <f>VLOOKUP(OY$33, ALTO!$G$3:$J$9, 3, FALSE)</f>
        <v>0</v>
      </c>
      <c r="OZ57" s="6">
        <f>VLOOKUP(OZ$33, ALTO!$G$3:$J$9, 3, FALSE)</f>
        <v>0</v>
      </c>
      <c r="PA57" s="6">
        <f>VLOOKUP(PA$33, ALTO!$G$3:$J$9, 3, FALSE)</f>
        <v>0</v>
      </c>
      <c r="PB57" s="6">
        <f>VLOOKUP(PB$33, ALTO!$G$3:$J$9, 3, FALSE)</f>
        <v>0</v>
      </c>
      <c r="PC57" s="6">
        <f>VLOOKUP(PC$33, ALTO!$G$3:$J$9, 3, FALSE)</f>
        <v>0</v>
      </c>
      <c r="PD57" s="6">
        <f>VLOOKUP(PD$33, ALTO!$G$3:$J$9, 3, FALSE)</f>
        <v>0</v>
      </c>
      <c r="PE57" s="6">
        <f>VLOOKUP(PE$33, ALTO!$G$3:$J$9, 3, FALSE)</f>
        <v>0</v>
      </c>
      <c r="PF57" s="6">
        <f>VLOOKUP(PF$33, ALTO!$G$3:$J$9, 3, FALSE)</f>
        <v>0</v>
      </c>
      <c r="PG57" s="6">
        <f>VLOOKUP(PG$33, ALTO!$G$3:$J$9, 3, FALSE)</f>
        <v>0</v>
      </c>
      <c r="PH57" s="6">
        <f>VLOOKUP(PH$33, ALTO!$G$3:$J$9, 3, FALSE)</f>
        <v>0</v>
      </c>
      <c r="PI57" s="6">
        <f>VLOOKUP(PI$33, ALTO!$G$3:$J$9, 3, FALSE)</f>
        <v>0</v>
      </c>
      <c r="PJ57" s="6">
        <f>VLOOKUP(PJ$33, ALTO!$G$3:$J$9, 3, FALSE)</f>
        <v>0</v>
      </c>
      <c r="PK57" s="6">
        <f>VLOOKUP(PK$33, ALTO!$G$3:$J$9, 3, FALSE)</f>
        <v>0</v>
      </c>
      <c r="PL57" s="6">
        <f>VLOOKUP(PL$33, ALTO!$G$3:$J$9, 3, FALSE)</f>
        <v>0</v>
      </c>
      <c r="PM57" s="6">
        <f>VLOOKUP(PM$33, ALTO!$G$3:$J$9, 3, FALSE)</f>
        <v>0</v>
      </c>
      <c r="PN57" s="6">
        <f>VLOOKUP(PN$33, ALTO!$G$3:$J$9, 3, FALSE)</f>
        <v>0</v>
      </c>
      <c r="PO57" s="6">
        <f>VLOOKUP(PO$33, ALTO!$G$3:$J$9, 3, FALSE)</f>
        <v>0</v>
      </c>
      <c r="PP57" s="6">
        <f>VLOOKUP(PP$33, ALTO!$G$3:$J$9, 3, FALSE)</f>
        <v>0</v>
      </c>
      <c r="PQ57" s="6">
        <f>VLOOKUP(PQ$33, ALTO!$G$3:$J$9, 3, FALSE)</f>
        <v>0</v>
      </c>
      <c r="PR57" s="6">
        <f>VLOOKUP(PR$33, ALTO!$G$3:$J$9, 3, FALSE)</f>
        <v>0</v>
      </c>
      <c r="PS57" s="6">
        <f>VLOOKUP(PS$33, ALTO!$G$3:$J$9, 3, FALSE)</f>
        <v>0</v>
      </c>
      <c r="PT57" s="6">
        <f>VLOOKUP(PT$33, ALTO!$G$3:$J$9, 3, FALSE)</f>
        <v>0.1</v>
      </c>
      <c r="PU57" s="6">
        <f>VLOOKUP(PU$33, ALTO!$G$3:$J$9, 3, FALSE)</f>
        <v>0.1</v>
      </c>
      <c r="PV57" s="6">
        <f>VLOOKUP(PV$33, ALTO!$G$3:$J$9, 3, FALSE)</f>
        <v>0.1</v>
      </c>
      <c r="PW57" s="6">
        <f>VLOOKUP(PW$33, ALTO!$G$3:$J$9, 3, FALSE)</f>
        <v>0.1</v>
      </c>
      <c r="PX57" s="6">
        <f>VLOOKUP(PX$33, ALTO!$G$3:$J$9, 3, FALSE)</f>
        <v>0.1</v>
      </c>
      <c r="PY57" s="6">
        <f>VLOOKUP(PY$33, ALTO!$G$3:$J$9, 3, FALSE)</f>
        <v>0.1</v>
      </c>
      <c r="PZ57" s="6">
        <f>VLOOKUP(PZ$33, ALTO!$G$3:$J$9, 3, FALSE)</f>
        <v>0.1</v>
      </c>
      <c r="QA57" s="6">
        <f>VLOOKUP(QA$33, ALTO!$G$3:$J$9, 3, FALSE)</f>
        <v>0.1</v>
      </c>
      <c r="QB57" s="6">
        <f>VLOOKUP(QB$33, ALTO!$G$3:$J$9, 3, FALSE)</f>
        <v>0.1</v>
      </c>
      <c r="QC57" s="6">
        <f>VLOOKUP(QC$33, ALTO!$G$3:$J$9, 3, FALSE)</f>
        <v>0.1</v>
      </c>
      <c r="QD57" s="6">
        <f>VLOOKUP(QD$33, ALTO!$G$3:$J$9, 3, FALSE)</f>
        <v>0.1</v>
      </c>
      <c r="QE57" s="6">
        <f>VLOOKUP(QE$33, ALTO!$G$3:$J$9, 3, FALSE)</f>
        <v>0.1</v>
      </c>
      <c r="QF57" s="6">
        <f>VLOOKUP(QF$33, ALTO!$G$3:$J$9, 3, FALSE)</f>
        <v>0.1</v>
      </c>
      <c r="QG57" s="6">
        <f>VLOOKUP(QG$33, ALTO!$G$3:$J$9, 3, FALSE)</f>
        <v>0.1</v>
      </c>
      <c r="QH57" s="6">
        <f>VLOOKUP(QH$33, ALTO!$G$3:$J$9, 3, FALSE)</f>
        <v>0.1</v>
      </c>
      <c r="QI57" s="6">
        <f>VLOOKUP(QI$33, ALTO!$G$3:$J$9, 3, FALSE)</f>
        <v>0.1</v>
      </c>
      <c r="QJ57" s="6">
        <f>VLOOKUP(QJ$33, ALTO!$G$3:$J$9, 3, FALSE)</f>
        <v>0.1</v>
      </c>
      <c r="QK57" s="6">
        <f>VLOOKUP(QK$33, ALTO!$G$3:$J$9, 3, FALSE)</f>
        <v>0.1</v>
      </c>
      <c r="QL57" s="6">
        <f>VLOOKUP(QL$33, ALTO!$G$3:$J$9, 3, FALSE)</f>
        <v>0.1</v>
      </c>
      <c r="QM57" s="6">
        <f>VLOOKUP(QM$33, ALTO!$G$3:$J$9, 3, FALSE)</f>
        <v>0.1</v>
      </c>
      <c r="QN57" s="6">
        <f>VLOOKUP(QN$33, ALTO!$G$3:$J$9, 3, FALSE)</f>
        <v>0.1</v>
      </c>
      <c r="QO57" s="6">
        <f>VLOOKUP(QO$33, ALTO!$G$3:$J$9, 3, FALSE)</f>
        <v>0.1</v>
      </c>
      <c r="QP57" s="6">
        <f>VLOOKUP(QP$33, ALTO!$G$3:$J$9, 3, FALSE)</f>
        <v>0.1</v>
      </c>
      <c r="QQ57" s="6">
        <f>VLOOKUP(QQ$33, ALTO!$G$3:$J$9, 3, FALSE)</f>
        <v>0.1</v>
      </c>
      <c r="QR57" s="6">
        <f>VLOOKUP(QR$33, ALTO!$G$3:$J$9, 3, FALSE)</f>
        <v>0.1</v>
      </c>
      <c r="QS57" s="6">
        <f>VLOOKUP(QS$33, ALTO!$G$3:$J$9, 3, FALSE)</f>
        <v>2.2000000000000002</v>
      </c>
      <c r="QT57" s="6">
        <f>VLOOKUP(QT$33, ALTO!$G$3:$J$9, 3, FALSE)</f>
        <v>2.2000000000000002</v>
      </c>
      <c r="QU57" s="6">
        <f>VLOOKUP(QU$33, ALTO!$G$3:$J$9, 3, FALSE)</f>
        <v>2.2000000000000002</v>
      </c>
      <c r="QV57" s="6">
        <f>VLOOKUP(QV$33, ALTO!$G$3:$J$9, 3, FALSE)</f>
        <v>2.2000000000000002</v>
      </c>
      <c r="QW57" s="6">
        <f>VLOOKUP(QW$33, ALTO!$G$3:$J$9, 3, FALSE)</f>
        <v>2.2000000000000002</v>
      </c>
      <c r="QX57" s="6">
        <f>VLOOKUP(QX$33, ALTO!$G$3:$J$9, 3, FALSE)</f>
        <v>2.2000000000000002</v>
      </c>
      <c r="QY57" s="6">
        <f>VLOOKUP(QY$33, ALTO!$G$3:$J$9, 3, FALSE)</f>
        <v>2.2000000000000002</v>
      </c>
      <c r="QZ57" s="6">
        <f>VLOOKUP(QZ$33, ALTO!$G$3:$J$9, 3, FALSE)</f>
        <v>2.2000000000000002</v>
      </c>
      <c r="RA57" s="6">
        <f>VLOOKUP(RA$33, ALTO!$G$3:$J$9, 3, FALSE)</f>
        <v>2.2000000000000002</v>
      </c>
      <c r="RB57" s="6">
        <f>VLOOKUP(RB$33, ALTO!$G$3:$J$9, 3, FALSE)</f>
        <v>2.2000000000000002</v>
      </c>
      <c r="RC57" s="6">
        <f>VLOOKUP(RC$33, ALTO!$G$3:$J$9, 3, FALSE)</f>
        <v>2.2000000000000002</v>
      </c>
      <c r="RD57" s="6">
        <f>VLOOKUP(RD$33, ALTO!$G$3:$J$9, 3, FALSE)</f>
        <v>2.2000000000000002</v>
      </c>
      <c r="RE57" s="6">
        <f>VLOOKUP(RE$33, ALTO!$G$3:$J$9, 3, FALSE)</f>
        <v>2.2000000000000002</v>
      </c>
      <c r="RF57" s="6">
        <f>VLOOKUP(RF$33, ALTO!$G$3:$J$9, 3, FALSE)</f>
        <v>2.2000000000000002</v>
      </c>
      <c r="RG57" s="6">
        <f>VLOOKUP(RG$33, ALTO!$G$3:$J$9, 3, FALSE)</f>
        <v>2.2000000000000002</v>
      </c>
      <c r="RH57" s="6">
        <f>VLOOKUP(RH$33, ALTO!$G$3:$J$9, 3, FALSE)</f>
        <v>0.1</v>
      </c>
      <c r="RI57" s="6">
        <f>VLOOKUP(RI$33, ALTO!$G$3:$J$9, 3, FALSE)</f>
        <v>0.1</v>
      </c>
      <c r="RJ57" s="6">
        <f>VLOOKUP(RJ$33, ALTO!$G$3:$J$9, 3, FALSE)</f>
        <v>0.1</v>
      </c>
      <c r="RK57" s="6">
        <f>VLOOKUP(RK$33, ALTO!$G$3:$J$9, 3, FALSE)</f>
        <v>0.1</v>
      </c>
      <c r="RL57" s="6">
        <f>VLOOKUP(RL$33, ALTO!$G$3:$J$9, 3, FALSE)</f>
        <v>0.1</v>
      </c>
      <c r="RM57" s="6">
        <f>VLOOKUP(RM$33, ALTO!$G$3:$J$9, 3, FALSE)</f>
        <v>0.1</v>
      </c>
      <c r="RN57" s="6">
        <f>VLOOKUP(RN$33, ALTO!$G$3:$J$9, 3, FALSE)</f>
        <v>0.1</v>
      </c>
      <c r="RO57" s="6">
        <f>VLOOKUP(RO$33, ALTO!$G$3:$J$9, 3, FALSE)</f>
        <v>0.1</v>
      </c>
      <c r="RP57" s="6">
        <f>VLOOKUP(RP$33, ALTO!$G$3:$J$9, 3, FALSE)</f>
        <v>0.1</v>
      </c>
      <c r="RQ57" s="6">
        <f>VLOOKUP(RQ$33, ALTO!$G$3:$J$9, 3, FALSE)</f>
        <v>0.1</v>
      </c>
      <c r="RR57" s="6">
        <f>VLOOKUP(RR$33, ALTO!$G$3:$J$9, 3, FALSE)</f>
        <v>0.1</v>
      </c>
      <c r="RS57" s="6">
        <f>VLOOKUP(RS$33, ALTO!$G$3:$J$9, 3, FALSE)</f>
        <v>0.1</v>
      </c>
      <c r="RT57" s="6">
        <f>VLOOKUP(RT$33, ALTO!$G$3:$J$9, 3, FALSE)</f>
        <v>0.1</v>
      </c>
      <c r="RU57" s="6">
        <f>VLOOKUP(RU$33, ALTO!$G$3:$J$9, 3, FALSE)</f>
        <v>0.1</v>
      </c>
      <c r="RV57" s="6">
        <f>VLOOKUP(RV$33, ALTO!$G$3:$J$9, 3, FALSE)</f>
        <v>0.1</v>
      </c>
      <c r="RW57" s="6">
        <f>VLOOKUP(RW$33, ALTO!$G$3:$J$9, 3, FALSE)</f>
        <v>0.1</v>
      </c>
      <c r="RX57" s="6">
        <f>VLOOKUP(RX$33, ALTO!$G$3:$J$9, 3, FALSE)</f>
        <v>0.1</v>
      </c>
      <c r="RY57" s="6">
        <f>VLOOKUP(RY$33, ALTO!$G$3:$J$9, 3, FALSE)</f>
        <v>2.2000000000000002</v>
      </c>
      <c r="RZ57" s="6">
        <f>VLOOKUP(RZ$33, ALTO!$G$3:$J$9, 3, FALSE)</f>
        <v>2.2000000000000002</v>
      </c>
      <c r="SA57" s="6">
        <f>VLOOKUP(SA$33, ALTO!$G$3:$J$9, 3, FALSE)</f>
        <v>2.2000000000000002</v>
      </c>
      <c r="SB57" s="6">
        <f>VLOOKUP(SB$33, ALTO!$G$3:$J$9, 3, FALSE)</f>
        <v>2.2000000000000002</v>
      </c>
      <c r="SC57" s="6">
        <f>VLOOKUP(SC$33, ALTO!$G$3:$J$9, 3, FALSE)</f>
        <v>2.2000000000000002</v>
      </c>
      <c r="SD57" s="6">
        <f>VLOOKUP(SD$33, ALTO!$G$3:$J$9, 3, FALSE)</f>
        <v>2.2000000000000002</v>
      </c>
      <c r="SE57" s="6">
        <f>VLOOKUP(SE$33, ALTO!$G$3:$J$9, 3, FALSE)</f>
        <v>2.2000000000000002</v>
      </c>
      <c r="SF57" s="6">
        <f>VLOOKUP(SF$33, ALTO!$G$3:$J$9, 3, FALSE)</f>
        <v>2.2000000000000002</v>
      </c>
      <c r="SG57" s="6">
        <f>VLOOKUP(SG$33, ALTO!$G$3:$J$9, 3, FALSE)</f>
        <v>2.2000000000000002</v>
      </c>
      <c r="SH57" s="6">
        <f>VLOOKUP(SH$33, ALTO!$G$3:$J$9, 3, FALSE)</f>
        <v>2.2000000000000002</v>
      </c>
      <c r="SI57" s="6">
        <f>VLOOKUP(SI$33, ALTO!$G$3:$J$9, 3, FALSE)</f>
        <v>2.2000000000000002</v>
      </c>
      <c r="SJ57" s="6">
        <f>VLOOKUP(SJ$33, ALTO!$G$3:$J$9, 3, FALSE)</f>
        <v>2.2000000000000002</v>
      </c>
      <c r="SK57" s="6">
        <f>VLOOKUP(SK$33, ALTO!$G$3:$J$9, 3, FALSE)</f>
        <v>2.2000000000000002</v>
      </c>
      <c r="SL57" s="6">
        <f>VLOOKUP(SL$33, ALTO!$G$3:$J$9, 3, FALSE)</f>
        <v>2.2000000000000002</v>
      </c>
      <c r="SM57" s="6">
        <f>VLOOKUP(SM$33, ALTO!$G$3:$J$9, 3, FALSE)</f>
        <v>2.2000000000000002</v>
      </c>
      <c r="SN57" s="6">
        <f>VLOOKUP(SN$33, ALTO!$G$3:$J$9, 3, FALSE)</f>
        <v>0.1</v>
      </c>
      <c r="SO57" s="6">
        <f>VLOOKUP(SO$33, ALTO!$G$3:$J$9, 3, FALSE)</f>
        <v>0.1</v>
      </c>
      <c r="SP57" s="6">
        <f>VLOOKUP(SP$33, ALTO!$G$3:$J$9, 3, FALSE)</f>
        <v>0.1</v>
      </c>
      <c r="SQ57" s="6">
        <f>VLOOKUP(SQ$33, ALTO!$G$3:$J$9, 3, FALSE)</f>
        <v>0.1</v>
      </c>
      <c r="SR57" s="6">
        <f>VLOOKUP(SR$33, ALTO!$G$3:$J$9, 3, FALSE)</f>
        <v>0.1</v>
      </c>
      <c r="SS57" s="6">
        <f>VLOOKUP(SS$33, ALTO!$G$3:$J$9, 3, FALSE)</f>
        <v>0.1</v>
      </c>
      <c r="ST57" s="6">
        <f>VLOOKUP(ST$33, ALTO!$G$3:$J$9, 3, FALSE)</f>
        <v>0.1</v>
      </c>
      <c r="SU57" s="6">
        <f>VLOOKUP(SU$33, ALTO!$G$3:$J$9, 3, FALSE)</f>
        <v>0.1</v>
      </c>
      <c r="SV57" s="6">
        <f>VLOOKUP(SV$33, ALTO!$G$3:$J$9, 3, FALSE)</f>
        <v>0.1</v>
      </c>
      <c r="SW57" s="6">
        <f>VLOOKUP(SW$33, ALTO!$G$3:$J$9, 3, FALSE)</f>
        <v>0.1</v>
      </c>
      <c r="SX57" s="6">
        <f>VLOOKUP(SX$33, ALTO!$G$3:$J$9, 3, FALSE)</f>
        <v>0.1</v>
      </c>
      <c r="SY57" s="6">
        <f>VLOOKUP(SY$33, ALTO!$G$3:$J$9, 3, FALSE)</f>
        <v>0.1</v>
      </c>
      <c r="SZ57" s="6">
        <f>VLOOKUP(SZ$33, ALTO!$G$3:$J$9, 3, FALSE)</f>
        <v>0.1</v>
      </c>
      <c r="TA57" s="6">
        <f>VLOOKUP(TA$33, ALTO!$G$3:$J$9, 3, FALSE)</f>
        <v>0.1</v>
      </c>
      <c r="TB57" s="6">
        <f>VLOOKUP(TB$33, ALTO!$G$3:$J$9, 3, FALSE)</f>
        <v>0.1</v>
      </c>
      <c r="TC57" s="6">
        <f>VLOOKUP(TC$33, ALTO!$G$3:$J$9, 3, FALSE)</f>
        <v>0.1</v>
      </c>
      <c r="TD57" s="6">
        <f>VLOOKUP(TD$33, ALTO!$G$3:$J$9, 3, FALSE)</f>
        <v>0.1</v>
      </c>
      <c r="TE57" s="6">
        <f>VLOOKUP(TE$33, ALTO!$G$3:$J$9, 3, FALSE)</f>
        <v>0.1</v>
      </c>
      <c r="TF57" s="6">
        <f>VLOOKUP(TF$33, ALTO!$G$3:$J$9, 3, FALSE)</f>
        <v>0.1</v>
      </c>
      <c r="TG57" s="6">
        <f>VLOOKUP(TG$33, ALTO!$G$3:$J$9, 3, FALSE)</f>
        <v>0.1</v>
      </c>
      <c r="TH57" s="6">
        <f>VLOOKUP(TH$33, ALTO!$G$3:$J$9, 3, FALSE)</f>
        <v>0.1</v>
      </c>
      <c r="TI57" s="6">
        <f>VLOOKUP(TI$33, ALTO!$G$3:$J$9, 3, FALSE)</f>
        <v>0.1</v>
      </c>
      <c r="TJ57" s="6">
        <f>VLOOKUP(TJ$33, ALTO!$G$3:$J$9, 3, FALSE)</f>
        <v>0.1</v>
      </c>
      <c r="TK57" s="6">
        <f>VLOOKUP(TK$33, ALTO!$G$3:$J$9, 3, FALSE)</f>
        <v>0.1</v>
      </c>
      <c r="TL57" s="6">
        <f>VLOOKUP(TL$33, ALTO!$G$3:$J$9, 3, FALSE)</f>
        <v>0.1</v>
      </c>
      <c r="TM57" s="6">
        <f>VLOOKUP(TM$33, ALTO!$G$3:$J$9, 3, FALSE)</f>
        <v>2.2000000000000002</v>
      </c>
      <c r="TN57" s="6">
        <f>VLOOKUP(TN$33, ALTO!$G$3:$J$9, 3, FALSE)</f>
        <v>2.2000000000000002</v>
      </c>
      <c r="TO57" s="6">
        <f>VLOOKUP(TO$33, ALTO!$G$3:$J$9, 3, FALSE)</f>
        <v>2.2000000000000002</v>
      </c>
      <c r="TP57" s="6">
        <f>VLOOKUP(TP$33, ALTO!$G$3:$J$9, 3, FALSE)</f>
        <v>2.2000000000000002</v>
      </c>
      <c r="TQ57" s="6">
        <f>VLOOKUP(TQ$33, ALTO!$G$3:$J$9, 3, FALSE)</f>
        <v>2.2000000000000002</v>
      </c>
      <c r="TR57" s="6">
        <f>VLOOKUP(TR$33, ALTO!$G$3:$J$9, 3, FALSE)</f>
        <v>2.2000000000000002</v>
      </c>
      <c r="TS57" s="6">
        <f>VLOOKUP(TS$33, ALTO!$G$3:$J$9, 3, FALSE)</f>
        <v>2.2000000000000002</v>
      </c>
      <c r="TT57" s="6">
        <f>VLOOKUP(TT$33, ALTO!$G$3:$J$9, 3, FALSE)</f>
        <v>2.2000000000000002</v>
      </c>
      <c r="TU57" s="6">
        <f>VLOOKUP(TU$33, ALTO!$G$3:$J$9, 3, FALSE)</f>
        <v>2.2000000000000002</v>
      </c>
      <c r="TV57" s="6">
        <f>VLOOKUP(TV$33, ALTO!$G$3:$J$9, 3, FALSE)</f>
        <v>2.2000000000000002</v>
      </c>
      <c r="TW57" s="6">
        <f>VLOOKUP(TW$33, ALTO!$G$3:$J$9, 3, FALSE)</f>
        <v>2.2000000000000002</v>
      </c>
      <c r="TX57" s="6">
        <f>VLOOKUP(TX$33, ALTO!$G$3:$J$9, 3, FALSE)</f>
        <v>2.2000000000000002</v>
      </c>
      <c r="TY57" s="6">
        <f>VLOOKUP(TY$33, ALTO!$G$3:$J$9, 3, FALSE)</f>
        <v>2.2000000000000002</v>
      </c>
      <c r="TZ57" s="6">
        <f>VLOOKUP(TZ$33, ALTO!$G$3:$J$9, 3, FALSE)</f>
        <v>2.2000000000000002</v>
      </c>
      <c r="UA57" s="6">
        <f>VLOOKUP(UA$33, ALTO!$G$3:$J$9, 3, FALSE)</f>
        <v>2.2000000000000002</v>
      </c>
      <c r="UB57" s="6">
        <f>VLOOKUP(UB$33, ALTO!$G$3:$J$9, 3, FALSE)</f>
        <v>0.1</v>
      </c>
      <c r="UC57" s="6">
        <f>VLOOKUP(UC$33, ALTO!$G$3:$J$9, 3, FALSE)</f>
        <v>0.1</v>
      </c>
      <c r="UD57" s="6">
        <f>VLOOKUP(UD$33, ALTO!$G$3:$J$9, 3, FALSE)</f>
        <v>0.1</v>
      </c>
      <c r="UE57" s="6">
        <f>VLOOKUP(UE$33, ALTO!$G$3:$J$9, 3, FALSE)</f>
        <v>0.1</v>
      </c>
      <c r="UF57" s="6">
        <f>VLOOKUP(UF$33, ALTO!$G$3:$J$9, 3, FALSE)</f>
        <v>0</v>
      </c>
      <c r="UG57" s="6">
        <f>VLOOKUP(UG$33, ALTO!$G$3:$J$9, 3, FALSE)</f>
        <v>0</v>
      </c>
      <c r="UH57" s="6">
        <f>VLOOKUP(UH$33, ALTO!$G$3:$J$9, 3, FALSE)</f>
        <v>0</v>
      </c>
      <c r="UI57" s="6">
        <f>VLOOKUP(UI$33, ALTO!$G$3:$J$9, 3, FALSE)</f>
        <v>0</v>
      </c>
      <c r="UJ57" s="6">
        <f>VLOOKUP(UJ$33, ALTO!$G$3:$J$9, 3, FALSE)</f>
        <v>0</v>
      </c>
      <c r="UK57" s="6">
        <f>VLOOKUP(UK$33, ALTO!$G$3:$J$9, 3, FALSE)</f>
        <v>0</v>
      </c>
      <c r="UL57" s="6">
        <f>VLOOKUP(UL$33, ALTO!$G$3:$J$9, 3, FALSE)</f>
        <v>0</v>
      </c>
      <c r="UM57" s="6">
        <f>VLOOKUP(UM$33, ALTO!$G$3:$J$9, 3, FALSE)</f>
        <v>0</v>
      </c>
      <c r="UN57" s="6">
        <f>VLOOKUP(UN$33, ALTO!$G$3:$J$9, 3, FALSE)</f>
        <v>0</v>
      </c>
      <c r="UO57" s="6">
        <f>VLOOKUP(UO$33, ALTO!$G$3:$J$9, 3, FALSE)</f>
        <v>0</v>
      </c>
      <c r="UP57" s="6">
        <f>VLOOKUP(UP$33, ALTO!$G$3:$J$9, 3, FALSE)</f>
        <v>0</v>
      </c>
      <c r="UQ57" s="6">
        <f>VLOOKUP(UQ$33, ALTO!$G$3:$J$9, 3, FALSE)</f>
        <v>0</v>
      </c>
      <c r="UR57" s="6">
        <f>VLOOKUP(UR$33, ALTO!$G$3:$J$9, 3, FALSE)</f>
        <v>0</v>
      </c>
      <c r="US57" s="6">
        <f>VLOOKUP(US$33, ALTO!$G$3:$J$9, 3, FALSE)</f>
        <v>0</v>
      </c>
      <c r="UT57" s="6">
        <f>VLOOKUP(UT$33, ALTO!$G$3:$J$9, 3, FALSE)</f>
        <v>0</v>
      </c>
      <c r="UU57" s="6">
        <f>VLOOKUP(UU$33, ALTO!$G$3:$J$9, 3, FALSE)</f>
        <v>0</v>
      </c>
      <c r="UV57" s="6">
        <f>VLOOKUP(UV$33, ALTO!$G$3:$J$9, 3, FALSE)</f>
        <v>0</v>
      </c>
      <c r="UW57" s="6">
        <f>VLOOKUP(UW$33, ALTO!$G$3:$J$9, 3, FALSE)</f>
        <v>0</v>
      </c>
      <c r="UX57" s="6">
        <f>VLOOKUP(UX$33, ALTO!$G$3:$J$9, 3, FALSE)</f>
        <v>0</v>
      </c>
      <c r="UY57" s="6">
        <f>VLOOKUP(UY$33, ALTO!$G$3:$J$9, 3, FALSE)</f>
        <v>0</v>
      </c>
      <c r="UZ57" s="6">
        <f>VLOOKUP(UZ$33, ALTO!$G$3:$J$9, 3, FALSE)</f>
        <v>0</v>
      </c>
      <c r="VA57" s="6">
        <f>VLOOKUP(VA$33, ALTO!$G$3:$J$9, 3, FALSE)</f>
        <v>0</v>
      </c>
      <c r="VB57" s="6">
        <f>VLOOKUP(VB$33, ALTO!$G$3:$J$9, 3, FALSE)</f>
        <v>0</v>
      </c>
      <c r="VC57" s="6">
        <f>VLOOKUP(VC$33, ALTO!$G$3:$J$9, 3, FALSE)</f>
        <v>0</v>
      </c>
      <c r="VD57" s="6">
        <f>VLOOKUP(VD$33, ALTO!$G$3:$J$9, 3, FALSE)</f>
        <v>0</v>
      </c>
      <c r="VE57" s="6">
        <f>VLOOKUP(VE$33, ALTO!$G$3:$J$9, 3, FALSE)</f>
        <v>0</v>
      </c>
      <c r="VF57" s="6">
        <f>VLOOKUP(VF$33, ALTO!$G$3:$J$9, 3, FALSE)</f>
        <v>0</v>
      </c>
      <c r="VG57" s="6">
        <f>VLOOKUP(VG$33, ALTO!$G$3:$J$9, 3, FALSE)</f>
        <v>0</v>
      </c>
      <c r="VH57" s="6">
        <f>VLOOKUP(VH$33, ALTO!$G$3:$J$9, 3, FALSE)</f>
        <v>0.1</v>
      </c>
      <c r="VI57" s="6">
        <f>VLOOKUP(VI$33, ALTO!$G$3:$J$9, 3, FALSE)</f>
        <v>0.1</v>
      </c>
      <c r="VJ57" s="6">
        <f>VLOOKUP(VJ$33, ALTO!$G$3:$J$9, 3, FALSE)</f>
        <v>0.1</v>
      </c>
      <c r="VK57" s="6">
        <f>VLOOKUP(VK$33, ALTO!$G$3:$J$9, 3, FALSE)</f>
        <v>0.1</v>
      </c>
      <c r="VL57" s="6">
        <f>VLOOKUP(VL$33, ALTO!$G$3:$J$9, 3, FALSE)</f>
        <v>0.1</v>
      </c>
      <c r="VM57" s="6">
        <f>VLOOKUP(VM$33, ALTO!$G$3:$J$9, 3, FALSE)</f>
        <v>0.1</v>
      </c>
      <c r="VN57" s="6">
        <f>VLOOKUP(VN$33, ALTO!$G$3:$J$9, 3, FALSE)</f>
        <v>0.1</v>
      </c>
      <c r="VO57" s="6">
        <f>VLOOKUP(VO$33, ALTO!$G$3:$J$9, 3, FALSE)</f>
        <v>0.1</v>
      </c>
      <c r="VP57" s="6">
        <f>VLOOKUP(VP$33, ALTO!$G$3:$J$9, 3, FALSE)</f>
        <v>0.1</v>
      </c>
      <c r="VQ57" s="6">
        <f>VLOOKUP(VQ$33, ALTO!$G$3:$J$9, 3, FALSE)</f>
        <v>0.1</v>
      </c>
      <c r="VR57" s="6">
        <f>VLOOKUP(VR$33, ALTO!$G$3:$J$9, 3, FALSE)</f>
        <v>0.1</v>
      </c>
      <c r="VS57" s="6">
        <f>VLOOKUP(VS$33, ALTO!$G$3:$J$9, 3, FALSE)</f>
        <v>0.1</v>
      </c>
      <c r="VT57" s="6">
        <f>VLOOKUP(VT$33, ALTO!$G$3:$J$9, 3, FALSE)</f>
        <v>0.1</v>
      </c>
      <c r="VU57" s="6">
        <f>VLOOKUP(VU$33, ALTO!$G$3:$J$9, 3, FALSE)</f>
        <v>0.1</v>
      </c>
      <c r="VV57" s="6">
        <f>VLOOKUP(VV$33, ALTO!$G$3:$J$9, 3, FALSE)</f>
        <v>0.1</v>
      </c>
      <c r="VW57" s="6">
        <f>VLOOKUP(VW$33, ALTO!$G$3:$J$9, 3, FALSE)</f>
        <v>0.1</v>
      </c>
      <c r="VX57" s="6">
        <f>VLOOKUP(VX$33, ALTO!$G$3:$J$9, 3, FALSE)</f>
        <v>0.1</v>
      </c>
      <c r="VY57" s="6">
        <f>VLOOKUP(VY$33, ALTO!$G$3:$J$9, 3, FALSE)</f>
        <v>0.1</v>
      </c>
      <c r="VZ57" s="6">
        <f>VLOOKUP(VZ$33, ALTO!$G$3:$J$9, 3, FALSE)</f>
        <v>0.1</v>
      </c>
      <c r="WA57" s="6">
        <f>VLOOKUP(WA$33, ALTO!$G$3:$J$9, 3, FALSE)</f>
        <v>0.1</v>
      </c>
      <c r="WB57" s="6">
        <f>VLOOKUP(WB$33, ALTO!$G$3:$J$9, 3, FALSE)</f>
        <v>0.1</v>
      </c>
      <c r="WC57" s="6">
        <f>VLOOKUP(WC$33, ALTO!$G$3:$J$9, 3, FALSE)</f>
        <v>0.1</v>
      </c>
      <c r="WD57" s="6">
        <f>VLOOKUP(WD$33, ALTO!$G$3:$J$9, 3, FALSE)</f>
        <v>0.1</v>
      </c>
      <c r="WE57" s="6">
        <f>VLOOKUP(WE$33, ALTO!$G$3:$J$9, 3, FALSE)</f>
        <v>0.1</v>
      </c>
      <c r="WF57" s="6">
        <f>VLOOKUP(WF$33, ALTO!$G$3:$J$9, 3, FALSE)</f>
        <v>0.1</v>
      </c>
      <c r="WG57" s="6">
        <f>VLOOKUP(WG$33, ALTO!$G$3:$J$9, 3, FALSE)</f>
        <v>2.2000000000000002</v>
      </c>
      <c r="WH57" s="6">
        <f>VLOOKUP(WH$33, ALTO!$G$3:$J$9, 3, FALSE)</f>
        <v>2.2000000000000002</v>
      </c>
      <c r="WI57" s="6">
        <f>VLOOKUP(WI$33, ALTO!$G$3:$J$9, 3, FALSE)</f>
        <v>2.2000000000000002</v>
      </c>
      <c r="WJ57" s="6">
        <f>VLOOKUP(WJ$33, ALTO!$G$3:$J$9, 3, FALSE)</f>
        <v>2.2000000000000002</v>
      </c>
      <c r="WK57" s="6">
        <f>VLOOKUP(WK$33, ALTO!$G$3:$J$9, 3, FALSE)</f>
        <v>2.2000000000000002</v>
      </c>
      <c r="WL57" s="6">
        <f>VLOOKUP(WL$33, ALTO!$G$3:$J$9, 3, FALSE)</f>
        <v>2.2000000000000002</v>
      </c>
      <c r="WM57" s="6">
        <f>VLOOKUP(WM$33, ALTO!$G$3:$J$9, 3, FALSE)</f>
        <v>2.2000000000000002</v>
      </c>
      <c r="WN57" s="6">
        <f>VLOOKUP(WN$33, ALTO!$G$3:$J$9, 3, FALSE)</f>
        <v>2.2000000000000002</v>
      </c>
      <c r="WO57" s="6">
        <f>VLOOKUP(WO$33, ALTO!$G$3:$J$9, 3, FALSE)</f>
        <v>2.2000000000000002</v>
      </c>
      <c r="WP57" s="6">
        <f>VLOOKUP(WP$33, ALTO!$G$3:$J$9, 3, FALSE)</f>
        <v>2.2000000000000002</v>
      </c>
      <c r="WQ57" s="6">
        <f>VLOOKUP(WQ$33, ALTO!$G$3:$J$9, 3, FALSE)</f>
        <v>2.2000000000000002</v>
      </c>
      <c r="WR57" s="6">
        <f>VLOOKUP(WR$33, ALTO!$G$3:$J$9, 3, FALSE)</f>
        <v>2.2000000000000002</v>
      </c>
      <c r="WS57" s="6">
        <f>VLOOKUP(WS$33, ALTO!$G$3:$J$9, 3, FALSE)</f>
        <v>2.2000000000000002</v>
      </c>
      <c r="WT57" s="6">
        <f>VLOOKUP(WT$33, ALTO!$G$3:$J$9, 3, FALSE)</f>
        <v>2.2000000000000002</v>
      </c>
      <c r="WU57" s="6">
        <f>VLOOKUP(WU$33, ALTO!$G$3:$J$9, 3, FALSE)</f>
        <v>2.2000000000000002</v>
      </c>
      <c r="WV57" s="6">
        <f>VLOOKUP(WV$33, ALTO!$G$3:$J$9, 3, FALSE)</f>
        <v>0.1</v>
      </c>
      <c r="WW57" s="6">
        <f>VLOOKUP(WW$33, ALTO!$G$3:$J$9, 3, FALSE)</f>
        <v>0.1</v>
      </c>
      <c r="WX57" s="6">
        <f>VLOOKUP(WX$33, ALTO!$G$3:$J$9, 3, FALSE)</f>
        <v>0.1</v>
      </c>
      <c r="WY57" s="6">
        <f>VLOOKUP(WY$33, ALTO!$G$3:$J$9, 3, FALSE)</f>
        <v>0.1</v>
      </c>
      <c r="WZ57" s="6">
        <f>VLOOKUP(WZ$33, ALTO!$G$3:$J$9, 3, FALSE)</f>
        <v>0.1</v>
      </c>
      <c r="XA57" s="6">
        <f>VLOOKUP(XA$33, ALTO!$G$3:$J$9, 3, FALSE)</f>
        <v>0.1</v>
      </c>
      <c r="XB57" s="6">
        <f>VLOOKUP(XB$33, ALTO!$G$3:$J$9, 3, FALSE)</f>
        <v>0.1</v>
      </c>
      <c r="XC57" s="6">
        <f>VLOOKUP(XC$33, ALTO!$G$3:$J$9, 3, FALSE)</f>
        <v>0.1</v>
      </c>
      <c r="XD57" s="6">
        <f>VLOOKUP(XD$33, ALTO!$G$3:$J$9, 3, FALSE)</f>
        <v>0.1</v>
      </c>
      <c r="XE57" s="6">
        <f>VLOOKUP(XE$33, ALTO!$G$3:$J$9, 3, FALSE)</f>
        <v>0.1</v>
      </c>
      <c r="XF57" s="6">
        <f>VLOOKUP(XF$33, ALTO!$G$3:$J$9, 3, FALSE)</f>
        <v>0.1</v>
      </c>
      <c r="XG57" s="6">
        <f>VLOOKUP(XG$33, ALTO!$G$3:$J$9, 3, FALSE)</f>
        <v>0.1</v>
      </c>
      <c r="XH57" s="6">
        <f>VLOOKUP(XH$33, ALTO!$G$3:$J$9, 3, FALSE)</f>
        <v>0.1</v>
      </c>
      <c r="XI57" s="6">
        <f>VLOOKUP(XI$33, ALTO!$G$3:$J$9, 3, FALSE)</f>
        <v>0.1</v>
      </c>
      <c r="XJ57" s="6">
        <f>VLOOKUP(XJ$33, ALTO!$G$3:$J$9, 3, FALSE)</f>
        <v>0.1</v>
      </c>
      <c r="XK57" s="6">
        <f>VLOOKUP(XK$33, ALTO!$G$3:$J$9, 3, FALSE)</f>
        <v>0.1</v>
      </c>
      <c r="XL57" s="6">
        <f>VLOOKUP(XL$33, ALTO!$G$3:$J$9, 3, FALSE)</f>
        <v>0.1</v>
      </c>
      <c r="XM57" s="6">
        <f>VLOOKUP(XM$33, ALTO!$G$3:$J$9, 3, FALSE)</f>
        <v>2.2000000000000002</v>
      </c>
      <c r="XN57" s="6">
        <f>VLOOKUP(XN$33, ALTO!$G$3:$J$9, 3, FALSE)</f>
        <v>2.2000000000000002</v>
      </c>
      <c r="XO57" s="6">
        <f>VLOOKUP(XO$33, ALTO!$G$3:$J$9, 3, FALSE)</f>
        <v>2.2000000000000002</v>
      </c>
      <c r="XP57" s="6">
        <f>VLOOKUP(XP$33, ALTO!$G$3:$J$9, 3, FALSE)</f>
        <v>2.2000000000000002</v>
      </c>
      <c r="XQ57" s="6">
        <f>VLOOKUP(XQ$33, ALTO!$G$3:$J$9, 3, FALSE)</f>
        <v>2.2000000000000002</v>
      </c>
      <c r="XR57" s="6">
        <f>VLOOKUP(XR$33, ALTO!$G$3:$J$9, 3, FALSE)</f>
        <v>2.2000000000000002</v>
      </c>
      <c r="XS57" s="6">
        <f>VLOOKUP(XS$33, ALTO!$G$3:$J$9, 3, FALSE)</f>
        <v>2.2000000000000002</v>
      </c>
      <c r="XT57" s="6">
        <f>VLOOKUP(XT$33, ALTO!$G$3:$J$9, 3, FALSE)</f>
        <v>2.2000000000000002</v>
      </c>
      <c r="XU57" s="6">
        <f>VLOOKUP(XU$33, ALTO!$G$3:$J$9, 3, FALSE)</f>
        <v>2.2000000000000002</v>
      </c>
      <c r="XV57" s="6">
        <f>VLOOKUP(XV$33, ALTO!$G$3:$J$9, 3, FALSE)</f>
        <v>2.2000000000000002</v>
      </c>
      <c r="XW57" s="6">
        <f>VLOOKUP(XW$33, ALTO!$G$3:$J$9, 3, FALSE)</f>
        <v>2.2000000000000002</v>
      </c>
      <c r="XX57" s="6">
        <f>VLOOKUP(XX$33, ALTO!$G$3:$J$9, 3, FALSE)</f>
        <v>2.2000000000000002</v>
      </c>
      <c r="XY57" s="6">
        <f>VLOOKUP(XY$33, ALTO!$G$3:$J$9, 3, FALSE)</f>
        <v>2.2000000000000002</v>
      </c>
      <c r="XZ57" s="6">
        <f>VLOOKUP(XZ$33, ALTO!$G$3:$J$9, 3, FALSE)</f>
        <v>2.2000000000000002</v>
      </c>
      <c r="YA57" s="6">
        <f>VLOOKUP(YA$33, ALTO!$G$3:$J$9, 3, FALSE)</f>
        <v>2.2000000000000002</v>
      </c>
      <c r="YB57" s="6">
        <f>VLOOKUP(YB$33, ALTO!$G$3:$J$9, 3, FALSE)</f>
        <v>0.1</v>
      </c>
      <c r="YC57" s="6">
        <f>VLOOKUP(YC$33, ALTO!$G$3:$J$9, 3, FALSE)</f>
        <v>0.1</v>
      </c>
      <c r="YD57" s="6">
        <f>VLOOKUP(YD$33, ALTO!$G$3:$J$9, 3, FALSE)</f>
        <v>0.1</v>
      </c>
      <c r="YE57" s="6">
        <f>VLOOKUP(YE$33, ALTO!$G$3:$J$9, 3, FALSE)</f>
        <v>0.1</v>
      </c>
      <c r="YF57" s="6">
        <f>VLOOKUP(YF$33, ALTO!$G$3:$J$9, 3, FALSE)</f>
        <v>0.1</v>
      </c>
      <c r="YG57" s="6">
        <f>VLOOKUP(YG$33, ALTO!$G$3:$J$9, 3, FALSE)</f>
        <v>0.1</v>
      </c>
      <c r="YH57" s="6">
        <f>VLOOKUP(YH$33, ALTO!$G$3:$J$9, 3, FALSE)</f>
        <v>0.1</v>
      </c>
      <c r="YI57" s="6">
        <f>VLOOKUP(YI$33, ALTO!$G$3:$J$9, 3, FALSE)</f>
        <v>0.1</v>
      </c>
      <c r="YJ57" s="6">
        <f>VLOOKUP(YJ$33, ALTO!$G$3:$J$9, 3, FALSE)</f>
        <v>0.1</v>
      </c>
      <c r="YK57" s="6">
        <f>VLOOKUP(YK$33, ALTO!$G$3:$J$9, 3, FALSE)</f>
        <v>0.1</v>
      </c>
      <c r="YL57" s="6">
        <f>VLOOKUP(YL$33, ALTO!$G$3:$J$9, 3, FALSE)</f>
        <v>0.1</v>
      </c>
      <c r="YM57" s="6">
        <f>VLOOKUP(YM$33, ALTO!$G$3:$J$9, 3, FALSE)</f>
        <v>0.1</v>
      </c>
      <c r="YN57" s="6">
        <f>VLOOKUP(YN$33, ALTO!$G$3:$J$9, 3, FALSE)</f>
        <v>0.1</v>
      </c>
      <c r="YO57" s="6">
        <f>VLOOKUP(YO$33, ALTO!$G$3:$J$9, 3, FALSE)</f>
        <v>0.1</v>
      </c>
      <c r="YP57" s="6">
        <f>VLOOKUP(YP$33, ALTO!$G$3:$J$9, 3, FALSE)</f>
        <v>0.1</v>
      </c>
      <c r="YQ57" s="6">
        <f>VLOOKUP(YQ$33, ALTO!$G$3:$J$9, 3, FALSE)</f>
        <v>0.1</v>
      </c>
      <c r="YR57" s="6">
        <f>VLOOKUP(YR$33, ALTO!$G$3:$J$9, 3, FALSE)</f>
        <v>0.1</v>
      </c>
      <c r="YS57" s="6">
        <f>VLOOKUP(YS$33, ALTO!$G$3:$J$9, 3, FALSE)</f>
        <v>0.1</v>
      </c>
      <c r="YT57" s="6">
        <f>VLOOKUP(YT$33, ALTO!$G$3:$J$9, 3, FALSE)</f>
        <v>0.1</v>
      </c>
      <c r="YU57" s="6">
        <f>VLOOKUP(YU$33, ALTO!$G$3:$J$9, 3, FALSE)</f>
        <v>0.1</v>
      </c>
      <c r="YV57" s="6">
        <f>VLOOKUP(YV$33, ALTO!$G$3:$J$9, 3, FALSE)</f>
        <v>0.1</v>
      </c>
      <c r="YW57" s="6">
        <f>VLOOKUP(YW$33, ALTO!$G$3:$J$9, 3, FALSE)</f>
        <v>0.1</v>
      </c>
      <c r="YX57" s="6">
        <f>VLOOKUP(YX$33, ALTO!$G$3:$J$9, 3, FALSE)</f>
        <v>0.1</v>
      </c>
      <c r="YY57" s="6">
        <f>VLOOKUP(YY$33, ALTO!$G$3:$J$9, 3, FALSE)</f>
        <v>0.1</v>
      </c>
      <c r="YZ57" s="6">
        <f>VLOOKUP(YZ$33, ALTO!$G$3:$J$9, 3, FALSE)</f>
        <v>0.1</v>
      </c>
      <c r="ZA57" s="6">
        <f>VLOOKUP(ZA$33, ALTO!$G$3:$J$9, 3, FALSE)</f>
        <v>2.2000000000000002</v>
      </c>
      <c r="ZB57" s="6">
        <f>VLOOKUP(ZB$33, ALTO!$G$3:$J$9, 3, FALSE)</f>
        <v>2.2000000000000002</v>
      </c>
      <c r="ZC57" s="6">
        <f>VLOOKUP(ZC$33, ALTO!$G$3:$J$9, 3, FALSE)</f>
        <v>2.2000000000000002</v>
      </c>
      <c r="ZD57" s="6">
        <f>VLOOKUP(ZD$33, ALTO!$G$3:$J$9, 3, FALSE)</f>
        <v>2.2000000000000002</v>
      </c>
      <c r="ZE57" s="6">
        <f>VLOOKUP(ZE$33, ALTO!$G$3:$J$9, 3, FALSE)</f>
        <v>2.2000000000000002</v>
      </c>
      <c r="ZF57" s="6">
        <f>VLOOKUP(ZF$33, ALTO!$G$3:$J$9, 3, FALSE)</f>
        <v>2.2000000000000002</v>
      </c>
      <c r="ZG57" s="6">
        <f>VLOOKUP(ZG$33, ALTO!$G$3:$J$9, 3, FALSE)</f>
        <v>2.2000000000000002</v>
      </c>
      <c r="ZH57" s="6">
        <f>VLOOKUP(ZH$33, ALTO!$G$3:$J$9, 3, FALSE)</f>
        <v>2.2000000000000002</v>
      </c>
      <c r="ZI57" s="6">
        <f>VLOOKUP(ZI$33, ALTO!$G$3:$J$9, 3, FALSE)</f>
        <v>2.2000000000000002</v>
      </c>
      <c r="ZJ57" s="6">
        <f>VLOOKUP(ZJ$33, ALTO!$G$3:$J$9, 3, FALSE)</f>
        <v>2.2000000000000002</v>
      </c>
      <c r="ZK57" s="6">
        <f>VLOOKUP(ZK$33, ALTO!$G$3:$J$9, 3, FALSE)</f>
        <v>2.2000000000000002</v>
      </c>
      <c r="ZL57" s="6">
        <f>VLOOKUP(ZL$33, ALTO!$G$3:$J$9, 3, FALSE)</f>
        <v>2.2000000000000002</v>
      </c>
      <c r="ZM57" s="6">
        <f>VLOOKUP(ZM$33, ALTO!$G$3:$J$9, 3, FALSE)</f>
        <v>2.2000000000000002</v>
      </c>
      <c r="ZN57" s="6">
        <f>VLOOKUP(ZN$33, ALTO!$G$3:$J$9, 3, FALSE)</f>
        <v>2.2000000000000002</v>
      </c>
      <c r="ZO57" s="6">
        <f>VLOOKUP(ZO$33, ALTO!$G$3:$J$9, 3, FALSE)</f>
        <v>2.2000000000000002</v>
      </c>
      <c r="ZP57" s="6">
        <f>VLOOKUP(ZP$33, ALTO!$G$3:$J$9, 3, FALSE)</f>
        <v>0.1</v>
      </c>
      <c r="ZQ57" s="6">
        <f>VLOOKUP(ZQ$33, ALTO!$G$3:$J$9, 3, FALSE)</f>
        <v>0.1</v>
      </c>
      <c r="ZR57" s="6">
        <f>VLOOKUP(ZR$33, ALTO!$G$3:$J$9, 3, FALSE)</f>
        <v>0.1</v>
      </c>
      <c r="ZS57" s="6">
        <f>VLOOKUP(ZS$33, ALTO!$G$3:$J$9, 3, FALSE)</f>
        <v>0.1</v>
      </c>
      <c r="ZT57" s="6">
        <f>VLOOKUP(ZT$33, ALTO!$G$3:$J$9, 3, FALSE)</f>
        <v>0</v>
      </c>
      <c r="ZU57" s="6">
        <f>VLOOKUP(ZU$33, ALTO!$G$3:$J$9, 3, FALSE)</f>
        <v>0</v>
      </c>
      <c r="ZV57" s="6">
        <f>VLOOKUP(ZV$33, ALTO!$G$3:$J$9, 3, FALSE)</f>
        <v>0</v>
      </c>
      <c r="ZW57" s="6">
        <f>VLOOKUP(ZW$33, ALTO!$G$3:$J$9, 3, FALSE)</f>
        <v>0</v>
      </c>
      <c r="ZX57" s="6">
        <f>VLOOKUP(ZX$33, ALTO!$G$3:$J$9, 3, FALSE)</f>
        <v>0</v>
      </c>
      <c r="ZY57" s="6">
        <f>VLOOKUP(ZY$33, ALTO!$G$3:$J$9, 3, FALSE)</f>
        <v>0</v>
      </c>
      <c r="ZZ57" s="6">
        <f>VLOOKUP(ZZ$33, ALTO!$G$3:$J$9, 3, FALSE)</f>
        <v>0</v>
      </c>
      <c r="AAA57" s="6">
        <f>VLOOKUP(AAA$33, ALTO!$G$3:$J$9, 3, FALSE)</f>
        <v>0</v>
      </c>
      <c r="AAB57" s="6">
        <f>VLOOKUP(AAB$33, ALTO!$G$3:$J$9, 3, FALSE)</f>
        <v>0</v>
      </c>
      <c r="AAC57" s="6">
        <f>VLOOKUP(AAC$33, ALTO!$G$3:$J$9, 3, FALSE)</f>
        <v>0</v>
      </c>
      <c r="AAD57" s="6">
        <f>VLOOKUP(AAD$33, ALTO!$G$3:$J$9, 3, FALSE)</f>
        <v>0</v>
      </c>
      <c r="AAE57" s="6">
        <f>VLOOKUP(AAE$33, ALTO!$G$3:$J$9, 3, FALSE)</f>
        <v>0</v>
      </c>
      <c r="AAF57" s="6">
        <f>VLOOKUP(AAF$33, ALTO!$G$3:$J$9, 3, FALSE)</f>
        <v>0</v>
      </c>
      <c r="AAG57" s="6">
        <f>VLOOKUP(AAG$33, ALTO!$G$3:$J$9, 3, FALSE)</f>
        <v>0</v>
      </c>
      <c r="AAH57" s="6">
        <f>VLOOKUP(AAH$33, ALTO!$G$3:$J$9, 3, FALSE)</f>
        <v>0</v>
      </c>
      <c r="AAI57" s="6">
        <f>VLOOKUP(AAI$33, ALTO!$G$3:$J$9, 3, FALSE)</f>
        <v>0</v>
      </c>
      <c r="AAJ57" s="6">
        <f>VLOOKUP(AAJ$33, ALTO!$G$3:$J$9, 3, FALSE)</f>
        <v>0</v>
      </c>
      <c r="AAK57" s="6">
        <f>VLOOKUP(AAK$33, ALTO!$G$3:$J$9, 3, FALSE)</f>
        <v>0</v>
      </c>
      <c r="AAL57" s="6">
        <f>VLOOKUP(AAL$33, ALTO!$G$3:$J$9, 3, FALSE)</f>
        <v>0</v>
      </c>
      <c r="AAM57" s="6">
        <f>VLOOKUP(AAM$33, ALTO!$G$3:$J$9, 3, FALSE)</f>
        <v>0</v>
      </c>
      <c r="AAN57" s="6">
        <f>VLOOKUP(AAN$33, ALTO!$G$3:$J$9, 3, FALSE)</f>
        <v>0</v>
      </c>
      <c r="AAO57" s="6">
        <f>VLOOKUP(AAO$33, ALTO!$G$3:$J$9, 3, FALSE)</f>
        <v>0</v>
      </c>
      <c r="AAP57" s="6">
        <f>VLOOKUP(AAP$33, ALTO!$G$3:$J$9, 3, FALSE)</f>
        <v>0</v>
      </c>
      <c r="AAQ57" s="6">
        <f>VLOOKUP(AAQ$33, ALTO!$G$3:$J$9, 3, FALSE)</f>
        <v>0</v>
      </c>
      <c r="AAR57" s="6">
        <f>VLOOKUP(AAR$33, ALTO!$G$3:$J$9, 3, FALSE)</f>
        <v>0</v>
      </c>
      <c r="AAS57" s="6">
        <f>VLOOKUP(AAS$33, ALTO!$G$3:$J$9, 3, FALSE)</f>
        <v>0</v>
      </c>
      <c r="AAT57" s="6">
        <f>VLOOKUP(AAT$33, ALTO!$G$3:$J$9, 3, FALSE)</f>
        <v>0</v>
      </c>
      <c r="AAU57" s="6">
        <f>VLOOKUP(AAU$33, ALTO!$G$3:$J$9, 3, FALSE)</f>
        <v>0</v>
      </c>
      <c r="AAV57" s="6">
        <f>VLOOKUP(AAV$33, ALTO!$G$3:$J$9, 3, FALSE)</f>
        <v>0.1</v>
      </c>
      <c r="AAW57" s="6">
        <f>VLOOKUP(AAW$33, ALTO!$G$3:$J$9, 3, FALSE)</f>
        <v>0.1</v>
      </c>
      <c r="AAX57" s="6">
        <f>VLOOKUP(AAX$33, ALTO!$G$3:$J$9, 3, FALSE)</f>
        <v>0.1</v>
      </c>
      <c r="AAY57" s="6">
        <f>VLOOKUP(AAY$33, ALTO!$G$3:$J$9, 3, FALSE)</f>
        <v>0.1</v>
      </c>
      <c r="AAZ57" s="6">
        <f>VLOOKUP(AAZ$33, ALTO!$G$3:$J$9, 3, FALSE)</f>
        <v>0.1</v>
      </c>
      <c r="ABA57" s="6">
        <f>VLOOKUP(ABA$33, ALTO!$G$3:$J$9, 3, FALSE)</f>
        <v>0.1</v>
      </c>
      <c r="ABB57" s="6">
        <f>VLOOKUP(ABB$33, ALTO!$G$3:$J$9, 3, FALSE)</f>
        <v>0.1</v>
      </c>
      <c r="ABC57" s="6">
        <f>VLOOKUP(ABC$33, ALTO!$G$3:$J$9, 3, FALSE)</f>
        <v>0.1</v>
      </c>
      <c r="ABD57" s="6">
        <f>VLOOKUP(ABD$33, ALTO!$G$3:$J$9, 3, FALSE)</f>
        <v>0.1</v>
      </c>
      <c r="ABE57" s="6">
        <f>VLOOKUP(ABE$33, ALTO!$G$3:$J$9, 3, FALSE)</f>
        <v>0.1</v>
      </c>
      <c r="ABF57" s="6">
        <f>VLOOKUP(ABF$33, ALTO!$G$3:$J$9, 3, FALSE)</f>
        <v>0.1</v>
      </c>
      <c r="ABG57" s="6">
        <f>VLOOKUP(ABG$33, ALTO!$G$3:$J$9, 3, FALSE)</f>
        <v>0.1</v>
      </c>
      <c r="ABH57" s="6">
        <f>VLOOKUP(ABH$33, ALTO!$G$3:$J$9, 3, FALSE)</f>
        <v>0.1</v>
      </c>
      <c r="ABI57" s="6">
        <f>VLOOKUP(ABI$33, ALTO!$G$3:$J$9, 3, FALSE)</f>
        <v>0.1</v>
      </c>
      <c r="ABJ57" s="6">
        <f>VLOOKUP(ABJ$33, ALTO!$G$3:$J$9, 3, FALSE)</f>
        <v>0.1</v>
      </c>
      <c r="ABK57" s="6">
        <f>VLOOKUP(ABK$33, ALTO!$G$3:$J$9, 3, FALSE)</f>
        <v>0.1</v>
      </c>
      <c r="ABL57" s="6">
        <f>VLOOKUP(ABL$33, ALTO!$G$3:$J$9, 3, FALSE)</f>
        <v>0.1</v>
      </c>
      <c r="ABM57" s="6">
        <f>VLOOKUP(ABM$33, ALTO!$G$3:$J$9, 3, FALSE)</f>
        <v>0.1</v>
      </c>
      <c r="ABN57" s="6">
        <f>VLOOKUP(ABN$33, ALTO!$G$3:$J$9, 3, FALSE)</f>
        <v>0.1</v>
      </c>
      <c r="ABO57" s="6">
        <f>VLOOKUP(ABO$33, ALTO!$G$3:$J$9, 3, FALSE)</f>
        <v>0.1</v>
      </c>
      <c r="ABP57" s="6">
        <f>VLOOKUP(ABP$33, ALTO!$G$3:$J$9, 3, FALSE)</f>
        <v>0.1</v>
      </c>
      <c r="ABQ57" s="6">
        <f>VLOOKUP(ABQ$33, ALTO!$G$3:$J$9, 3, FALSE)</f>
        <v>0.1</v>
      </c>
      <c r="ABR57" s="6">
        <f>VLOOKUP(ABR$33, ALTO!$G$3:$J$9, 3, FALSE)</f>
        <v>0.1</v>
      </c>
      <c r="ABS57" s="6">
        <f>VLOOKUP(ABS$33, ALTO!$G$3:$J$9, 3, FALSE)</f>
        <v>0.1</v>
      </c>
      <c r="ABT57" s="6">
        <f>VLOOKUP(ABT$33, ALTO!$G$3:$J$9, 3, FALSE)</f>
        <v>0.1</v>
      </c>
      <c r="ABU57" s="6">
        <f>VLOOKUP(ABU$33, ALTO!$G$3:$J$9, 3, FALSE)</f>
        <v>2.2000000000000002</v>
      </c>
      <c r="ABV57" s="6">
        <f>VLOOKUP(ABV$33, ALTO!$G$3:$J$9, 3, FALSE)</f>
        <v>2.2000000000000002</v>
      </c>
      <c r="ABW57" s="6">
        <f>VLOOKUP(ABW$33, ALTO!$G$3:$J$9, 3, FALSE)</f>
        <v>2.2000000000000002</v>
      </c>
      <c r="ABX57" s="6">
        <f>VLOOKUP(ABX$33, ALTO!$G$3:$J$9, 3, FALSE)</f>
        <v>2.2000000000000002</v>
      </c>
      <c r="ABY57" s="6">
        <f>VLOOKUP(ABY$33, ALTO!$G$3:$J$9, 3, FALSE)</f>
        <v>2.2000000000000002</v>
      </c>
      <c r="ABZ57" s="6">
        <f>VLOOKUP(ABZ$33, ALTO!$G$3:$J$9, 3, FALSE)</f>
        <v>2.2000000000000002</v>
      </c>
      <c r="ACA57" s="6">
        <f>VLOOKUP(ACA$33, ALTO!$G$3:$J$9, 3, FALSE)</f>
        <v>2.2000000000000002</v>
      </c>
      <c r="ACB57" s="6">
        <f>VLOOKUP(ACB$33, ALTO!$G$3:$J$9, 3, FALSE)</f>
        <v>2.2000000000000002</v>
      </c>
      <c r="ACC57" s="6">
        <f>VLOOKUP(ACC$33, ALTO!$G$3:$J$9, 3, FALSE)</f>
        <v>2.2000000000000002</v>
      </c>
      <c r="ACD57" s="6">
        <f>VLOOKUP(ACD$33, ALTO!$G$3:$J$9, 3, FALSE)</f>
        <v>2.2000000000000002</v>
      </c>
      <c r="ACE57" s="6">
        <f>VLOOKUP(ACE$33, ALTO!$G$3:$J$9, 3, FALSE)</f>
        <v>2.2000000000000002</v>
      </c>
      <c r="ACF57" s="6">
        <f>VLOOKUP(ACF$33, ALTO!$G$3:$J$9, 3, FALSE)</f>
        <v>2.2000000000000002</v>
      </c>
      <c r="ACG57" s="6">
        <f>VLOOKUP(ACG$33, ALTO!$G$3:$J$9, 3, FALSE)</f>
        <v>2.2000000000000002</v>
      </c>
      <c r="ACH57" s="6">
        <f>VLOOKUP(ACH$33, ALTO!$G$3:$J$9, 3, FALSE)</f>
        <v>2.2000000000000002</v>
      </c>
      <c r="ACI57" s="6">
        <f>VLOOKUP(ACI$33, ALTO!$G$3:$J$9, 3, FALSE)</f>
        <v>2.2000000000000002</v>
      </c>
      <c r="ACJ57" s="6">
        <f>VLOOKUP(ACJ$33, ALTO!$G$3:$J$9, 3, FALSE)</f>
        <v>0.1</v>
      </c>
      <c r="ACK57" s="6">
        <f>VLOOKUP(ACK$33, ALTO!$G$3:$J$9, 3, FALSE)</f>
        <v>0.1</v>
      </c>
      <c r="ACL57" s="6">
        <f>VLOOKUP(ACL$33, ALTO!$G$3:$J$9, 3, FALSE)</f>
        <v>0.1</v>
      </c>
      <c r="ACM57" s="6">
        <f>VLOOKUP(ACM$33, ALTO!$G$3:$J$9, 3, FALSE)</f>
        <v>0.1</v>
      </c>
      <c r="ACN57" s="6">
        <f>VLOOKUP(ACN$33, ALTO!$G$3:$J$9, 3, FALSE)</f>
        <v>0.1</v>
      </c>
      <c r="ACO57" s="6">
        <f>VLOOKUP(ACO$33, ALTO!$G$3:$J$9, 3, FALSE)</f>
        <v>0.1</v>
      </c>
      <c r="ACP57" s="6">
        <f>VLOOKUP(ACP$33, ALTO!$G$3:$J$9, 3, FALSE)</f>
        <v>0.1</v>
      </c>
      <c r="ACQ57" s="6">
        <f>VLOOKUP(ACQ$33, ALTO!$G$3:$J$9, 3, FALSE)</f>
        <v>0.1</v>
      </c>
      <c r="ACR57" s="6">
        <f>VLOOKUP(ACR$33, ALTO!$G$3:$J$9, 3, FALSE)</f>
        <v>0.1</v>
      </c>
      <c r="ACS57" s="6">
        <f>VLOOKUP(ACS$33, ALTO!$G$3:$J$9, 3, FALSE)</f>
        <v>0.1</v>
      </c>
      <c r="ACT57" s="6">
        <f>VLOOKUP(ACT$33, ALTO!$G$3:$J$9, 3, FALSE)</f>
        <v>0.1</v>
      </c>
      <c r="ACU57" s="6">
        <f>VLOOKUP(ACU$33, ALTO!$G$3:$J$9, 3, FALSE)</f>
        <v>0.1</v>
      </c>
      <c r="ACV57" s="6">
        <f>VLOOKUP(ACV$33, ALTO!$G$3:$J$9, 3, FALSE)</f>
        <v>0.1</v>
      </c>
      <c r="ACW57" s="6">
        <f>VLOOKUP(ACW$33, ALTO!$G$3:$J$9, 3, FALSE)</f>
        <v>0.1</v>
      </c>
      <c r="ACX57" s="6">
        <f>VLOOKUP(ACX$33, ALTO!$G$3:$J$9, 3, FALSE)</f>
        <v>0.1</v>
      </c>
      <c r="ACY57" s="6">
        <f>VLOOKUP(ACY$33, ALTO!$G$3:$J$9, 3, FALSE)</f>
        <v>0.1</v>
      </c>
      <c r="ACZ57" s="6">
        <f>VLOOKUP(ACZ$33, ALTO!$G$3:$J$9, 3, FALSE)</f>
        <v>0.1</v>
      </c>
      <c r="ADA57" s="6">
        <f>VLOOKUP(ADA$33, ALTO!$G$3:$J$9, 3, FALSE)</f>
        <v>2.2000000000000002</v>
      </c>
      <c r="ADB57" s="6">
        <f>VLOOKUP(ADB$33, ALTO!$G$3:$J$9, 3, FALSE)</f>
        <v>2.2000000000000002</v>
      </c>
      <c r="ADC57" s="6">
        <f>VLOOKUP(ADC$33, ALTO!$G$3:$J$9, 3, FALSE)</f>
        <v>2.2000000000000002</v>
      </c>
      <c r="ADD57" s="6">
        <f>VLOOKUP(ADD$33, ALTO!$G$3:$J$9, 3, FALSE)</f>
        <v>2.2000000000000002</v>
      </c>
      <c r="ADE57" s="6">
        <f>VLOOKUP(ADE$33, ALTO!$G$3:$J$9, 3, FALSE)</f>
        <v>2.2000000000000002</v>
      </c>
      <c r="ADF57" s="6">
        <f>VLOOKUP(ADF$33, ALTO!$G$3:$J$9, 3, FALSE)</f>
        <v>2.2000000000000002</v>
      </c>
      <c r="ADG57" s="6">
        <f>VLOOKUP(ADG$33, ALTO!$G$3:$J$9, 3, FALSE)</f>
        <v>2.2000000000000002</v>
      </c>
      <c r="ADH57" s="6">
        <f>VLOOKUP(ADH$33, ALTO!$G$3:$J$9, 3, FALSE)</f>
        <v>2.2000000000000002</v>
      </c>
      <c r="ADI57" s="6">
        <f>VLOOKUP(ADI$33, ALTO!$G$3:$J$9, 3, FALSE)</f>
        <v>2.2000000000000002</v>
      </c>
      <c r="ADJ57" s="6">
        <f>VLOOKUP(ADJ$33, ALTO!$G$3:$J$9, 3, FALSE)</f>
        <v>2.2000000000000002</v>
      </c>
      <c r="ADK57" s="6">
        <f>VLOOKUP(ADK$33, ALTO!$G$3:$J$9, 3, FALSE)</f>
        <v>2.2000000000000002</v>
      </c>
      <c r="ADL57" s="6">
        <f>VLOOKUP(ADL$33, ALTO!$G$3:$J$9, 3, FALSE)</f>
        <v>2.2000000000000002</v>
      </c>
      <c r="ADM57" s="6">
        <f>VLOOKUP(ADM$33, ALTO!$G$3:$J$9, 3, FALSE)</f>
        <v>2.2000000000000002</v>
      </c>
      <c r="ADN57" s="6">
        <f>VLOOKUP(ADN$33, ALTO!$G$3:$J$9, 3, FALSE)</f>
        <v>2.2000000000000002</v>
      </c>
      <c r="ADO57" s="6">
        <f>VLOOKUP(ADO$33, ALTO!$G$3:$J$9, 3, FALSE)</f>
        <v>2.2000000000000002</v>
      </c>
      <c r="ADP57" s="6">
        <f>VLOOKUP(ADP$33, ALTO!$G$3:$J$9, 3, FALSE)</f>
        <v>0.1</v>
      </c>
      <c r="ADQ57" s="6">
        <f>VLOOKUP(ADQ$33, ALTO!$G$3:$J$9, 3, FALSE)</f>
        <v>0.1</v>
      </c>
      <c r="ADR57" s="6">
        <f>VLOOKUP(ADR$33, ALTO!$G$3:$J$9, 3, FALSE)</f>
        <v>0.1</v>
      </c>
      <c r="ADS57" s="6">
        <f>VLOOKUP(ADS$33, ALTO!$G$3:$J$9, 3, FALSE)</f>
        <v>0.1</v>
      </c>
      <c r="ADT57" s="6">
        <f>VLOOKUP(ADT$33, ALTO!$G$3:$J$9, 3, FALSE)</f>
        <v>0.1</v>
      </c>
      <c r="ADU57" s="6">
        <f>VLOOKUP(ADU$33, ALTO!$G$3:$J$9, 3, FALSE)</f>
        <v>0.1</v>
      </c>
      <c r="ADV57" s="6">
        <f>VLOOKUP(ADV$33, ALTO!$G$3:$J$9, 3, FALSE)</f>
        <v>0.1</v>
      </c>
      <c r="ADW57" s="6">
        <f>VLOOKUP(ADW$33, ALTO!$G$3:$J$9, 3, FALSE)</f>
        <v>0.1</v>
      </c>
      <c r="ADX57" s="6">
        <f>VLOOKUP(ADX$33, ALTO!$G$3:$J$9, 3, FALSE)</f>
        <v>0.1</v>
      </c>
      <c r="ADY57" s="6">
        <f>VLOOKUP(ADY$33, ALTO!$G$3:$J$9, 3, FALSE)</f>
        <v>0.1</v>
      </c>
      <c r="ADZ57" s="6">
        <f>VLOOKUP(ADZ$33, ALTO!$G$3:$J$9, 3, FALSE)</f>
        <v>0.1</v>
      </c>
      <c r="AEA57" s="6">
        <f>VLOOKUP(AEA$33, ALTO!$G$3:$J$9, 3, FALSE)</f>
        <v>0.1</v>
      </c>
      <c r="AEB57" s="6">
        <f>VLOOKUP(AEB$33, ALTO!$G$3:$J$9, 3, FALSE)</f>
        <v>0.1</v>
      </c>
      <c r="AEC57" s="6">
        <f>VLOOKUP(AEC$33, ALTO!$G$3:$J$9, 3, FALSE)</f>
        <v>0.1</v>
      </c>
      <c r="AED57" s="6">
        <f>VLOOKUP(AED$33, ALTO!$G$3:$J$9, 3, FALSE)</f>
        <v>0.1</v>
      </c>
      <c r="AEE57" s="6">
        <f>VLOOKUP(AEE$33, ALTO!$G$3:$J$9, 3, FALSE)</f>
        <v>0.1</v>
      </c>
      <c r="AEF57" s="6">
        <f>VLOOKUP(AEF$33, ALTO!$G$3:$J$9, 3, FALSE)</f>
        <v>0.1</v>
      </c>
      <c r="AEG57" s="6">
        <f>VLOOKUP(AEG$33, ALTO!$G$3:$J$9, 3, FALSE)</f>
        <v>0.1</v>
      </c>
      <c r="AEH57" s="6">
        <f>VLOOKUP(AEH$33, ALTO!$G$3:$J$9, 3, FALSE)</f>
        <v>0.1</v>
      </c>
      <c r="AEI57" s="6">
        <f>VLOOKUP(AEI$33, ALTO!$G$3:$J$9, 3, FALSE)</f>
        <v>0.1</v>
      </c>
      <c r="AEJ57" s="6">
        <f>VLOOKUP(AEJ$33, ALTO!$G$3:$J$9, 3, FALSE)</f>
        <v>0.1</v>
      </c>
      <c r="AEK57" s="6">
        <f>VLOOKUP(AEK$33, ALTO!$G$3:$J$9, 3, FALSE)</f>
        <v>0.1</v>
      </c>
      <c r="AEL57" s="6">
        <f>VLOOKUP(AEL$33, ALTO!$G$3:$J$9, 3, FALSE)</f>
        <v>0.1</v>
      </c>
      <c r="AEM57" s="6">
        <f>VLOOKUP(AEM$33, ALTO!$G$3:$J$9, 3, FALSE)</f>
        <v>0.1</v>
      </c>
      <c r="AEN57" s="6">
        <f>VLOOKUP(AEN$33, ALTO!$G$3:$J$9, 3, FALSE)</f>
        <v>0.1</v>
      </c>
      <c r="AEO57" s="6">
        <f>VLOOKUP(AEO$33, ALTO!$G$3:$J$9, 3, FALSE)</f>
        <v>2.2000000000000002</v>
      </c>
      <c r="AEP57" s="6">
        <f>VLOOKUP(AEP$33, ALTO!$G$3:$J$9, 3, FALSE)</f>
        <v>2.2000000000000002</v>
      </c>
      <c r="AEQ57" s="6">
        <f>VLOOKUP(AEQ$33, ALTO!$G$3:$J$9, 3, FALSE)</f>
        <v>2.2000000000000002</v>
      </c>
      <c r="AER57" s="6">
        <f>VLOOKUP(AER$33, ALTO!$G$3:$J$9, 3, FALSE)</f>
        <v>2.2000000000000002</v>
      </c>
      <c r="AES57" s="6">
        <f>VLOOKUP(AES$33, ALTO!$G$3:$J$9, 3, FALSE)</f>
        <v>2.2000000000000002</v>
      </c>
      <c r="AET57" s="6">
        <f>VLOOKUP(AET$33, ALTO!$G$3:$J$9, 3, FALSE)</f>
        <v>2.2000000000000002</v>
      </c>
      <c r="AEU57" s="6">
        <f>VLOOKUP(AEU$33, ALTO!$G$3:$J$9, 3, FALSE)</f>
        <v>2.2000000000000002</v>
      </c>
      <c r="AEV57" s="6">
        <f>VLOOKUP(AEV$33, ALTO!$G$3:$J$9, 3, FALSE)</f>
        <v>2.2000000000000002</v>
      </c>
      <c r="AEW57" s="6">
        <f>VLOOKUP(AEW$33, ALTO!$G$3:$J$9, 3, FALSE)</f>
        <v>2.2000000000000002</v>
      </c>
      <c r="AEX57" s="6">
        <f>VLOOKUP(AEX$33, ALTO!$G$3:$J$9, 3, FALSE)</f>
        <v>2.2000000000000002</v>
      </c>
      <c r="AEY57" s="6">
        <f>VLOOKUP(AEY$33, ALTO!$G$3:$J$9, 3, FALSE)</f>
        <v>2.2000000000000002</v>
      </c>
      <c r="AEZ57" s="6">
        <f>VLOOKUP(AEZ$33, ALTO!$G$3:$J$9, 3, FALSE)</f>
        <v>2.2000000000000002</v>
      </c>
      <c r="AFA57" s="6">
        <f>VLOOKUP(AFA$33, ALTO!$G$3:$J$9, 3, FALSE)</f>
        <v>2.2000000000000002</v>
      </c>
      <c r="AFB57" s="6">
        <f>VLOOKUP(AFB$33, ALTO!$G$3:$J$9, 3, FALSE)</f>
        <v>2.2000000000000002</v>
      </c>
      <c r="AFC57" s="6">
        <f>VLOOKUP(AFC$33, ALTO!$G$3:$J$9, 3, FALSE)</f>
        <v>2.2000000000000002</v>
      </c>
      <c r="AFD57" s="6">
        <f>VLOOKUP(AFD$33, ALTO!$G$3:$J$9, 3, FALSE)</f>
        <v>0.1</v>
      </c>
      <c r="AFE57" s="6">
        <f>VLOOKUP(AFE$33, ALTO!$G$3:$J$9, 3, FALSE)</f>
        <v>0.1</v>
      </c>
      <c r="AFF57" s="6">
        <f>VLOOKUP(AFF$33, ALTO!$G$3:$J$9, 3, FALSE)</f>
        <v>0.1</v>
      </c>
      <c r="AFG57" s="6">
        <f>VLOOKUP(AFG$33, ALTO!$G$3:$J$9, 3, FALSE)</f>
        <v>0.1</v>
      </c>
      <c r="AFH57" s="6">
        <f>VLOOKUP(AFH$33, ALTO!$G$3:$J$9, 3, FALSE)</f>
        <v>0</v>
      </c>
      <c r="AFI57" s="6">
        <f>VLOOKUP(AFI$33, ALTO!$G$3:$J$9, 3, FALSE)</f>
        <v>0</v>
      </c>
      <c r="AFJ57" s="6">
        <f>VLOOKUP(AFJ$33, ALTO!$G$3:$J$9, 3, FALSE)</f>
        <v>0</v>
      </c>
      <c r="AFK57" s="6">
        <f>VLOOKUP(AFK$33, ALTO!$G$3:$J$9, 3, FALSE)</f>
        <v>0</v>
      </c>
      <c r="AFL57" s="6">
        <f>VLOOKUP(AFL$33, ALTO!$G$3:$J$9, 3, FALSE)</f>
        <v>0</v>
      </c>
      <c r="AFM57" s="6">
        <f>VLOOKUP(AFM$33, ALTO!$G$3:$J$9, 3, FALSE)</f>
        <v>0</v>
      </c>
      <c r="AFN57" s="6">
        <f>VLOOKUP(AFN$33, ALTO!$G$3:$J$9, 3, FALSE)</f>
        <v>0</v>
      </c>
      <c r="AFO57" s="6">
        <f>VLOOKUP(AFO$33, ALTO!$G$3:$J$9, 3, FALSE)</f>
        <v>0</v>
      </c>
      <c r="AFP57" s="6">
        <f>VLOOKUP(AFP$33, ALTO!$G$3:$J$9, 3, FALSE)</f>
        <v>0</v>
      </c>
      <c r="AFQ57" s="6">
        <f>VLOOKUP(AFQ$33, ALTO!$G$3:$J$9, 3, FALSE)</f>
        <v>0</v>
      </c>
      <c r="AFR57" s="6">
        <f>VLOOKUP(AFR$33, ALTO!$G$3:$J$9, 3, FALSE)</f>
        <v>0</v>
      </c>
      <c r="AFS57" s="6">
        <f>VLOOKUP(AFS$33, ALTO!$G$3:$J$9, 3, FALSE)</f>
        <v>0</v>
      </c>
      <c r="AFT57" s="6">
        <f>VLOOKUP(AFT$33, ALTO!$G$3:$J$9, 3, FALSE)</f>
        <v>0</v>
      </c>
      <c r="AFU57" s="6">
        <f>VLOOKUP(AFU$33, ALTO!$G$3:$J$9, 3, FALSE)</f>
        <v>0</v>
      </c>
      <c r="AFV57" s="6">
        <f>VLOOKUP(AFV$33, ALTO!$G$3:$J$9, 3, FALSE)</f>
        <v>0</v>
      </c>
      <c r="AFW57" s="6">
        <f>VLOOKUP(AFW$33, ALTO!$G$3:$J$9, 3, FALSE)</f>
        <v>0</v>
      </c>
      <c r="AFX57" s="6">
        <f>VLOOKUP(AFX$33, ALTO!$G$3:$J$9, 3, FALSE)</f>
        <v>0</v>
      </c>
      <c r="AFY57" s="6">
        <f>VLOOKUP(AFY$33, ALTO!$G$3:$J$9, 3, FALSE)</f>
        <v>0</v>
      </c>
      <c r="AFZ57" s="6">
        <f>VLOOKUP(AFZ$33, ALTO!$G$3:$J$9, 3, FALSE)</f>
        <v>0</v>
      </c>
      <c r="AGA57" s="6">
        <f>VLOOKUP(AGA$33, ALTO!$G$3:$J$9, 3, FALSE)</f>
        <v>0</v>
      </c>
      <c r="AGB57" s="6">
        <f>VLOOKUP(AGB$33, ALTO!$G$3:$J$9, 3, FALSE)</f>
        <v>0</v>
      </c>
      <c r="AGC57" s="6">
        <f>VLOOKUP(AGC$33, ALTO!$G$3:$J$9, 3, FALSE)</f>
        <v>0</v>
      </c>
      <c r="AGD57" s="6">
        <f>VLOOKUP(AGD$33, ALTO!$G$3:$J$9, 3, FALSE)</f>
        <v>0</v>
      </c>
      <c r="AGE57" s="6">
        <f>VLOOKUP(AGE$33, ALTO!$G$3:$J$9, 3, FALSE)</f>
        <v>0</v>
      </c>
      <c r="AGF57" s="6">
        <f>VLOOKUP(AGF$33, ALTO!$G$3:$J$9, 3, FALSE)</f>
        <v>0</v>
      </c>
      <c r="AGG57" s="6">
        <f>VLOOKUP(AGG$33, ALTO!$G$3:$J$9, 3, FALSE)</f>
        <v>0</v>
      </c>
      <c r="AGH57" s="6">
        <f>VLOOKUP(AGH$33, ALTO!$G$3:$J$9, 3, FALSE)</f>
        <v>0</v>
      </c>
      <c r="AGI57" s="6">
        <f>VLOOKUP(AGI$33, ALTO!$G$3:$J$9, 3, FALSE)</f>
        <v>0</v>
      </c>
      <c r="AGJ57" s="6">
        <f>VLOOKUP(AGJ$33, ALTO!$G$3:$J$9, 3, FALSE)</f>
        <v>0.1</v>
      </c>
      <c r="AGK57" s="6">
        <f>VLOOKUP(AGK$33, ALTO!$G$3:$J$9, 3, FALSE)</f>
        <v>0.1</v>
      </c>
      <c r="AGL57" s="6">
        <f>VLOOKUP(AGL$33, ALTO!$G$3:$J$9, 3, FALSE)</f>
        <v>0.1</v>
      </c>
      <c r="AGM57" s="6">
        <f>VLOOKUP(AGM$33, ALTO!$G$3:$J$9, 3, FALSE)</f>
        <v>0.1</v>
      </c>
      <c r="AGN57" s="6">
        <f>VLOOKUP(AGN$33, ALTO!$G$3:$J$9, 3, FALSE)</f>
        <v>0.1</v>
      </c>
      <c r="AGO57" s="6">
        <f>VLOOKUP(AGO$33, ALTO!$G$3:$J$9, 3, FALSE)</f>
        <v>0.1</v>
      </c>
      <c r="AGP57" s="6">
        <f>VLOOKUP(AGP$33, ALTO!$G$3:$J$9, 3, FALSE)</f>
        <v>0.1</v>
      </c>
      <c r="AGQ57" s="6">
        <f>VLOOKUP(AGQ$33, ALTO!$G$3:$J$9, 3, FALSE)</f>
        <v>0.1</v>
      </c>
      <c r="AGR57" s="6">
        <f>VLOOKUP(AGR$33, ALTO!$G$3:$J$9, 3, FALSE)</f>
        <v>0.1</v>
      </c>
      <c r="AGS57" s="6">
        <f>VLOOKUP(AGS$33, ALTO!$G$3:$J$9, 3, FALSE)</f>
        <v>0.1</v>
      </c>
      <c r="AGT57" s="6">
        <f>VLOOKUP(AGT$33, ALTO!$G$3:$J$9, 3, FALSE)</f>
        <v>0.1</v>
      </c>
      <c r="AGU57" s="6">
        <f>VLOOKUP(AGU$33, ALTO!$G$3:$J$9, 3, FALSE)</f>
        <v>0.1</v>
      </c>
      <c r="AGV57" s="6">
        <f>VLOOKUP(AGV$33, ALTO!$G$3:$J$9, 3, FALSE)</f>
        <v>0.1</v>
      </c>
      <c r="AGW57" s="6">
        <f>VLOOKUP(AGW$33, ALTO!$G$3:$J$9, 3, FALSE)</f>
        <v>0.1</v>
      </c>
      <c r="AGX57" s="6">
        <f>VLOOKUP(AGX$33, ALTO!$G$3:$J$9, 3, FALSE)</f>
        <v>0.1</v>
      </c>
      <c r="AGY57" s="6">
        <f>VLOOKUP(AGY$33, ALTO!$G$3:$J$9, 3, FALSE)</f>
        <v>0.1</v>
      </c>
      <c r="AGZ57" s="6">
        <f>VLOOKUP(AGZ$33, ALTO!$G$3:$J$9, 3, FALSE)</f>
        <v>0.1</v>
      </c>
      <c r="AHA57" s="6">
        <f>VLOOKUP(AHA$33, ALTO!$G$3:$J$9, 3, FALSE)</f>
        <v>0.1</v>
      </c>
      <c r="AHB57" s="6">
        <f>VLOOKUP(AHB$33, ALTO!$G$3:$J$9, 3, FALSE)</f>
        <v>0.1</v>
      </c>
      <c r="AHC57" s="6">
        <f>VLOOKUP(AHC$33, ALTO!$G$3:$J$9, 3, FALSE)</f>
        <v>0.1</v>
      </c>
      <c r="AHD57" s="6">
        <f>VLOOKUP(AHD$33, ALTO!$G$3:$J$9, 3, FALSE)</f>
        <v>0.1</v>
      </c>
      <c r="AHE57" s="6">
        <f>VLOOKUP(AHE$33, ALTO!$G$3:$J$9, 3, FALSE)</f>
        <v>0.1</v>
      </c>
      <c r="AHF57" s="6">
        <f>VLOOKUP(AHF$33, ALTO!$G$3:$J$9, 3, FALSE)</f>
        <v>0.1</v>
      </c>
      <c r="AHG57" s="6">
        <f>VLOOKUP(AHG$33, ALTO!$G$3:$J$9, 3, FALSE)</f>
        <v>0.1</v>
      </c>
      <c r="AHH57" s="6">
        <f>VLOOKUP(AHH$33, ALTO!$G$3:$J$9, 3, FALSE)</f>
        <v>0.1</v>
      </c>
      <c r="AHI57" s="6">
        <f>VLOOKUP(AHI$33, ALTO!$G$3:$J$9, 3, FALSE)</f>
        <v>2.2000000000000002</v>
      </c>
      <c r="AHJ57" s="6">
        <f>VLOOKUP(AHJ$33, ALTO!$G$3:$J$9, 3, FALSE)</f>
        <v>2.2000000000000002</v>
      </c>
      <c r="AHK57" s="6">
        <f>VLOOKUP(AHK$33, ALTO!$G$3:$J$9, 3, FALSE)</f>
        <v>2.2000000000000002</v>
      </c>
      <c r="AHL57" s="6">
        <f>VLOOKUP(AHL$33, ALTO!$G$3:$J$9, 3, FALSE)</f>
        <v>2.2000000000000002</v>
      </c>
      <c r="AHM57" s="6">
        <f>VLOOKUP(AHM$33, ALTO!$G$3:$J$9, 3, FALSE)</f>
        <v>2.2000000000000002</v>
      </c>
      <c r="AHN57" s="6">
        <f>VLOOKUP(AHN$33, ALTO!$G$3:$J$9, 3, FALSE)</f>
        <v>2.2000000000000002</v>
      </c>
      <c r="AHO57" s="6">
        <f>VLOOKUP(AHO$33, ALTO!$G$3:$J$9, 3, FALSE)</f>
        <v>2.2000000000000002</v>
      </c>
      <c r="AHP57" s="6">
        <f>VLOOKUP(AHP$33, ALTO!$G$3:$J$9, 3, FALSE)</f>
        <v>2.2000000000000002</v>
      </c>
      <c r="AHQ57" s="6">
        <f>VLOOKUP(AHQ$33, ALTO!$G$3:$J$9, 3, FALSE)</f>
        <v>2.2000000000000002</v>
      </c>
      <c r="AHR57" s="6">
        <f>VLOOKUP(AHR$33, ALTO!$G$3:$J$9, 3, FALSE)</f>
        <v>2.2000000000000002</v>
      </c>
      <c r="AHS57" s="6">
        <f>VLOOKUP(AHS$33, ALTO!$G$3:$J$9, 3, FALSE)</f>
        <v>2.2000000000000002</v>
      </c>
      <c r="AHT57" s="6">
        <f>VLOOKUP(AHT$33, ALTO!$G$3:$J$9, 3, FALSE)</f>
        <v>2.2000000000000002</v>
      </c>
      <c r="AHU57" s="6">
        <f>VLOOKUP(AHU$33, ALTO!$G$3:$J$9, 3, FALSE)</f>
        <v>2.2000000000000002</v>
      </c>
      <c r="AHV57" s="6">
        <f>VLOOKUP(AHV$33, ALTO!$G$3:$J$9, 3, FALSE)</f>
        <v>2.2000000000000002</v>
      </c>
      <c r="AHW57" s="6">
        <f>VLOOKUP(AHW$33, ALTO!$G$3:$J$9, 3, FALSE)</f>
        <v>2.2000000000000002</v>
      </c>
      <c r="AHX57" s="6">
        <f>VLOOKUP(AHX$33, ALTO!$G$3:$J$9, 3, FALSE)</f>
        <v>0.1</v>
      </c>
      <c r="AHY57" s="6">
        <f>VLOOKUP(AHY$33, ALTO!$G$3:$J$9, 3, FALSE)</f>
        <v>0.1</v>
      </c>
      <c r="AHZ57" s="6">
        <f>VLOOKUP(AHZ$33, ALTO!$G$3:$J$9, 3, FALSE)</f>
        <v>0.1</v>
      </c>
      <c r="AIA57" s="6">
        <f>VLOOKUP(AIA$33, ALTO!$G$3:$J$9, 3, FALSE)</f>
        <v>0.1</v>
      </c>
      <c r="AIB57" s="6">
        <f>VLOOKUP(AIB$33, ALTO!$G$3:$J$9, 3, FALSE)</f>
        <v>0.1</v>
      </c>
      <c r="AIC57" s="6">
        <f>VLOOKUP(AIC$33, ALTO!$G$3:$J$9, 3, FALSE)</f>
        <v>0.1</v>
      </c>
      <c r="AID57" s="6">
        <f>VLOOKUP(AID$33, ALTO!$G$3:$J$9, 3, FALSE)</f>
        <v>0.1</v>
      </c>
      <c r="AIE57" s="6">
        <f>VLOOKUP(AIE$33, ALTO!$G$3:$J$9, 3, FALSE)</f>
        <v>0.1</v>
      </c>
      <c r="AIF57" s="6">
        <f>VLOOKUP(AIF$33, ALTO!$G$3:$J$9, 3, FALSE)</f>
        <v>0.1</v>
      </c>
      <c r="AIG57" s="6">
        <f>VLOOKUP(AIG$33, ALTO!$G$3:$J$9, 3, FALSE)</f>
        <v>0.1</v>
      </c>
      <c r="AIH57" s="6">
        <f>VLOOKUP(AIH$33, ALTO!$G$3:$J$9, 3, FALSE)</f>
        <v>0.1</v>
      </c>
      <c r="AII57" s="6">
        <f>VLOOKUP(AII$33, ALTO!$G$3:$J$9, 3, FALSE)</f>
        <v>0.1</v>
      </c>
      <c r="AIJ57" s="6">
        <f>VLOOKUP(AIJ$33, ALTO!$G$3:$J$9, 3, FALSE)</f>
        <v>0.1</v>
      </c>
      <c r="AIK57" s="6">
        <f>VLOOKUP(AIK$33, ALTO!$G$3:$J$9, 3, FALSE)</f>
        <v>0.1</v>
      </c>
      <c r="AIL57" s="6">
        <f>VLOOKUP(AIL$33, ALTO!$G$3:$J$9, 3, FALSE)</f>
        <v>0.1</v>
      </c>
      <c r="AIM57" s="6">
        <f>VLOOKUP(AIM$33, ALTO!$G$3:$J$9, 3, FALSE)</f>
        <v>0.1</v>
      </c>
      <c r="AIN57" s="6">
        <f>VLOOKUP(AIN$33, ALTO!$G$3:$J$9, 3, FALSE)</f>
        <v>0.1</v>
      </c>
      <c r="AIO57" s="6">
        <f>VLOOKUP(AIO$33, ALTO!$G$3:$J$9, 3, FALSE)</f>
        <v>2.2000000000000002</v>
      </c>
      <c r="AIP57" s="6">
        <f>VLOOKUP(AIP$33, ALTO!$G$3:$J$9, 3, FALSE)</f>
        <v>2.2000000000000002</v>
      </c>
      <c r="AIQ57" s="6">
        <f>VLOOKUP(AIQ$33, ALTO!$G$3:$J$9, 3, FALSE)</f>
        <v>2.2000000000000002</v>
      </c>
      <c r="AIR57" s="6">
        <f>VLOOKUP(AIR$33, ALTO!$G$3:$J$9, 3, FALSE)</f>
        <v>2.2000000000000002</v>
      </c>
      <c r="AIS57" s="6">
        <f>VLOOKUP(AIS$33, ALTO!$G$3:$J$9, 3, FALSE)</f>
        <v>2.2000000000000002</v>
      </c>
      <c r="AIT57" s="6">
        <f>VLOOKUP(AIT$33, ALTO!$G$3:$J$9, 3, FALSE)</f>
        <v>2.2000000000000002</v>
      </c>
      <c r="AIU57" s="6">
        <f>VLOOKUP(AIU$33, ALTO!$G$3:$J$9, 3, FALSE)</f>
        <v>2.2000000000000002</v>
      </c>
      <c r="AIV57" s="6">
        <f>VLOOKUP(AIV$33, ALTO!$G$3:$J$9, 3, FALSE)</f>
        <v>2.2000000000000002</v>
      </c>
      <c r="AIW57" s="6">
        <f>VLOOKUP(AIW$33, ALTO!$G$3:$J$9, 3, FALSE)</f>
        <v>2.2000000000000002</v>
      </c>
      <c r="AIX57" s="6">
        <f>VLOOKUP(AIX$33, ALTO!$G$3:$J$9, 3, FALSE)</f>
        <v>2.2000000000000002</v>
      </c>
      <c r="AIY57" s="6">
        <f>VLOOKUP(AIY$33, ALTO!$G$3:$J$9, 3, FALSE)</f>
        <v>2.2000000000000002</v>
      </c>
      <c r="AIZ57" s="6">
        <f>VLOOKUP(AIZ$33, ALTO!$G$3:$J$9, 3, FALSE)</f>
        <v>2.2000000000000002</v>
      </c>
      <c r="AJA57" s="6">
        <f>VLOOKUP(AJA$33, ALTO!$G$3:$J$9, 3, FALSE)</f>
        <v>2.2000000000000002</v>
      </c>
      <c r="AJB57" s="6">
        <f>VLOOKUP(AJB$33, ALTO!$G$3:$J$9, 3, FALSE)</f>
        <v>2.2000000000000002</v>
      </c>
      <c r="AJC57" s="6">
        <f>VLOOKUP(AJC$33, ALTO!$G$3:$J$9, 3, FALSE)</f>
        <v>2.2000000000000002</v>
      </c>
      <c r="AJD57" s="6">
        <f>VLOOKUP(AJD$33, ALTO!$G$3:$J$9, 3, FALSE)</f>
        <v>0.1</v>
      </c>
      <c r="AJE57" s="6">
        <f>VLOOKUP(AJE$33, ALTO!$G$3:$J$9, 3, FALSE)</f>
        <v>0.1</v>
      </c>
      <c r="AJF57" s="6">
        <f>VLOOKUP(AJF$33, ALTO!$G$3:$J$9, 3, FALSE)</f>
        <v>0.1</v>
      </c>
      <c r="AJG57" s="6">
        <f>VLOOKUP(AJG$33, ALTO!$G$3:$J$9, 3, FALSE)</f>
        <v>0.1</v>
      </c>
      <c r="AJH57" s="6">
        <f>VLOOKUP(AJH$33, ALTO!$G$3:$J$9, 3, FALSE)</f>
        <v>0.1</v>
      </c>
      <c r="AJI57" s="6">
        <f>VLOOKUP(AJI$33, ALTO!$G$3:$J$9, 3, FALSE)</f>
        <v>0.1</v>
      </c>
      <c r="AJJ57" s="6">
        <f>VLOOKUP(AJJ$33, ALTO!$G$3:$J$9, 3, FALSE)</f>
        <v>0.1</v>
      </c>
      <c r="AJK57" s="6">
        <f>VLOOKUP(AJK$33, ALTO!$G$3:$J$9, 3, FALSE)</f>
        <v>0.1</v>
      </c>
      <c r="AJL57" s="6">
        <f>VLOOKUP(AJL$33, ALTO!$G$3:$J$9, 3, FALSE)</f>
        <v>0.1</v>
      </c>
      <c r="AJM57" s="6">
        <f>VLOOKUP(AJM$33, ALTO!$G$3:$J$9, 3, FALSE)</f>
        <v>0.1</v>
      </c>
      <c r="AJN57" s="6">
        <f>VLOOKUP(AJN$33, ALTO!$G$3:$J$9, 3, FALSE)</f>
        <v>0.1</v>
      </c>
      <c r="AJO57" s="6">
        <f>VLOOKUP(AJO$33, ALTO!$G$3:$J$9, 3, FALSE)</f>
        <v>0.1</v>
      </c>
      <c r="AJP57" s="6">
        <f>VLOOKUP(AJP$33, ALTO!$G$3:$J$9, 3, FALSE)</f>
        <v>0.1</v>
      </c>
      <c r="AJQ57" s="6">
        <f>VLOOKUP(AJQ$33, ALTO!$G$3:$J$9, 3, FALSE)</f>
        <v>0.1</v>
      </c>
      <c r="AJR57" s="6">
        <f>VLOOKUP(AJR$33, ALTO!$G$3:$J$9, 3, FALSE)</f>
        <v>0.1</v>
      </c>
      <c r="AJS57" s="6">
        <f>VLOOKUP(AJS$33, ALTO!$G$3:$J$9, 3, FALSE)</f>
        <v>0.1</v>
      </c>
      <c r="AJT57" s="6">
        <f>VLOOKUP(AJT$33, ALTO!$G$3:$J$9, 3, FALSE)</f>
        <v>0.1</v>
      </c>
      <c r="AJU57" s="6">
        <f>VLOOKUP(AJU$33, ALTO!$G$3:$J$9, 3, FALSE)</f>
        <v>0.1</v>
      </c>
      <c r="AJV57" s="6">
        <f>VLOOKUP(AJV$33, ALTO!$G$3:$J$9, 3, FALSE)</f>
        <v>0.1</v>
      </c>
      <c r="AJW57" s="6">
        <f>VLOOKUP(AJW$33, ALTO!$G$3:$J$9, 3, FALSE)</f>
        <v>0.1</v>
      </c>
      <c r="AJX57" s="6">
        <f>VLOOKUP(AJX$33, ALTO!$G$3:$J$9, 3, FALSE)</f>
        <v>0.1</v>
      </c>
      <c r="AJY57" s="6">
        <f>VLOOKUP(AJY$33, ALTO!$G$3:$J$9, 3, FALSE)</f>
        <v>0.1</v>
      </c>
      <c r="AJZ57" s="6">
        <f>VLOOKUP(AJZ$33, ALTO!$G$3:$J$9, 3, FALSE)</f>
        <v>0.1</v>
      </c>
      <c r="AKA57" s="6">
        <f>VLOOKUP(AKA$33, ALTO!$G$3:$J$9, 3, FALSE)</f>
        <v>0.1</v>
      </c>
      <c r="AKB57" s="6">
        <f>VLOOKUP(AKB$33, ALTO!$G$3:$J$9, 3, FALSE)</f>
        <v>0.1</v>
      </c>
      <c r="AKC57" s="6">
        <f>VLOOKUP(AKC$33, ALTO!$G$3:$J$9, 3, FALSE)</f>
        <v>2.2000000000000002</v>
      </c>
      <c r="AKD57" s="6">
        <f>VLOOKUP(AKD$33, ALTO!$G$3:$J$9, 3, FALSE)</f>
        <v>2.2000000000000002</v>
      </c>
      <c r="AKE57" s="6">
        <f>VLOOKUP(AKE$33, ALTO!$G$3:$J$9, 3, FALSE)</f>
        <v>2.2000000000000002</v>
      </c>
      <c r="AKF57" s="6">
        <f>VLOOKUP(AKF$33, ALTO!$G$3:$J$9, 3, FALSE)</f>
        <v>2.2000000000000002</v>
      </c>
      <c r="AKG57" s="6">
        <f>VLOOKUP(AKG$33, ALTO!$G$3:$J$9, 3, FALSE)</f>
        <v>2.2000000000000002</v>
      </c>
      <c r="AKH57" s="6">
        <f>VLOOKUP(AKH$33, ALTO!$G$3:$J$9, 3, FALSE)</f>
        <v>2.2000000000000002</v>
      </c>
      <c r="AKI57" s="6">
        <f>VLOOKUP(AKI$33, ALTO!$G$3:$J$9, 3, FALSE)</f>
        <v>2.2000000000000002</v>
      </c>
      <c r="AKJ57" s="6">
        <f>VLOOKUP(AKJ$33, ALTO!$G$3:$J$9, 3, FALSE)</f>
        <v>2.2000000000000002</v>
      </c>
      <c r="AKK57" s="6">
        <f>VLOOKUP(AKK$33, ALTO!$G$3:$J$9, 3, FALSE)</f>
        <v>2.2000000000000002</v>
      </c>
      <c r="AKL57" s="6">
        <f>VLOOKUP(AKL$33, ALTO!$G$3:$J$9, 3, FALSE)</f>
        <v>2.2000000000000002</v>
      </c>
      <c r="AKM57" s="6">
        <f>VLOOKUP(AKM$33, ALTO!$G$3:$J$9, 3, FALSE)</f>
        <v>2.2000000000000002</v>
      </c>
      <c r="AKN57" s="6">
        <f>VLOOKUP(AKN$33, ALTO!$G$3:$J$9, 3, FALSE)</f>
        <v>2.2000000000000002</v>
      </c>
      <c r="AKO57" s="6">
        <f>VLOOKUP(AKO$33, ALTO!$G$3:$J$9, 3, FALSE)</f>
        <v>2.2000000000000002</v>
      </c>
      <c r="AKP57" s="6">
        <f>VLOOKUP(AKP$33, ALTO!$G$3:$J$9, 3, FALSE)</f>
        <v>2.2000000000000002</v>
      </c>
      <c r="AKQ57" s="6">
        <f>VLOOKUP(AKQ$33, ALTO!$G$3:$J$9, 3, FALSE)</f>
        <v>2.2000000000000002</v>
      </c>
      <c r="AKR57" s="6">
        <f>VLOOKUP(AKR$33, ALTO!$G$3:$J$9, 3, FALSE)</f>
        <v>0.1</v>
      </c>
      <c r="AKS57" s="6">
        <f>VLOOKUP(AKS$33, ALTO!$G$3:$J$9, 3, FALSE)</f>
        <v>0.1</v>
      </c>
      <c r="AKT57" s="6">
        <f>VLOOKUP(AKT$33, ALTO!$G$3:$J$9, 3, FALSE)</f>
        <v>0.1</v>
      </c>
      <c r="AKU57" s="6">
        <f>VLOOKUP(AKU$33, ALTO!$G$3:$J$9, 3, FALSE)</f>
        <v>0.1</v>
      </c>
      <c r="AKV57" s="6">
        <f>VLOOKUP(AKV$33, ALTO!$G$3:$J$9, 3, FALSE)</f>
        <v>0</v>
      </c>
      <c r="AKW57" s="6">
        <f>VLOOKUP(AKW$33, ALTO!$G$3:$J$9, 3, FALSE)</f>
        <v>0</v>
      </c>
      <c r="AKX57" s="6">
        <f>VLOOKUP(AKX$33, ALTO!$G$3:$J$9, 3, FALSE)</f>
        <v>0</v>
      </c>
      <c r="AKY57" s="6">
        <f>VLOOKUP(AKY$33, ALTO!$G$3:$J$9, 3, FALSE)</f>
        <v>0</v>
      </c>
      <c r="AKZ57" s="6">
        <f>VLOOKUP(AKZ$33, ALTO!$G$3:$J$9, 3, FALSE)</f>
        <v>0</v>
      </c>
      <c r="ALA57" s="6">
        <f>VLOOKUP(ALA$33, ALTO!$G$3:$J$9, 3, FALSE)</f>
        <v>0</v>
      </c>
      <c r="ALB57" s="6">
        <f>VLOOKUP(ALB$33, ALTO!$G$3:$J$9, 3, FALSE)</f>
        <v>0</v>
      </c>
      <c r="ALC57" s="6">
        <f>VLOOKUP(ALC$33, ALTO!$G$3:$J$9, 3, FALSE)</f>
        <v>0</v>
      </c>
      <c r="ALD57" s="6">
        <f>VLOOKUP(ALD$33, ALTO!$G$3:$J$9, 3, FALSE)</f>
        <v>0</v>
      </c>
      <c r="ALE57" s="6">
        <f>VLOOKUP(ALE$33, ALTO!$G$3:$J$9, 3, FALSE)</f>
        <v>0</v>
      </c>
      <c r="ALF57" s="6">
        <f>VLOOKUP(ALF$33, ALTO!$G$3:$J$9, 3, FALSE)</f>
        <v>0</v>
      </c>
      <c r="ALG57" s="6">
        <f>VLOOKUP(ALG$33, ALTO!$G$3:$J$9, 3, FALSE)</f>
        <v>0</v>
      </c>
      <c r="ALH57" s="6">
        <f>VLOOKUP(ALH$33, ALTO!$G$3:$J$9, 3, FALSE)</f>
        <v>0</v>
      </c>
      <c r="ALI57" s="6">
        <f>VLOOKUP(ALI$33, ALTO!$G$3:$J$9, 3, FALSE)</f>
        <v>0</v>
      </c>
      <c r="ALJ57" s="6">
        <f>VLOOKUP(ALJ$33, ALTO!$G$3:$J$9, 3, FALSE)</f>
        <v>0</v>
      </c>
      <c r="ALK57" s="6">
        <f>VLOOKUP(ALK$33, ALTO!$G$3:$J$9, 3, FALSE)</f>
        <v>0</v>
      </c>
      <c r="ALL57" s="6">
        <f>VLOOKUP(ALL$33, ALTO!$G$3:$J$9, 3, FALSE)</f>
        <v>0</v>
      </c>
      <c r="ALM57" s="6">
        <f>VLOOKUP(ALM$33, ALTO!$G$3:$J$9, 3, FALSE)</f>
        <v>0</v>
      </c>
      <c r="ALN57" s="6">
        <f>VLOOKUP(ALN$33, ALTO!$G$3:$J$9, 3, FALSE)</f>
        <v>0</v>
      </c>
      <c r="ALO57" s="6">
        <f>VLOOKUP(ALO$33, ALTO!$G$3:$J$9, 3, FALSE)</f>
        <v>0</v>
      </c>
      <c r="ALP57" s="6">
        <f>VLOOKUP(ALP$33, ALTO!$G$3:$J$9, 3, FALSE)</f>
        <v>0</v>
      </c>
      <c r="ALQ57" s="6">
        <f>VLOOKUP(ALQ$33, ALTO!$G$3:$J$9, 3, FALSE)</f>
        <v>0</v>
      </c>
      <c r="ALR57" s="6">
        <f>VLOOKUP(ALR$33, ALTO!$G$3:$J$9, 3, FALSE)</f>
        <v>0</v>
      </c>
      <c r="ALS57" s="6">
        <f>VLOOKUP(ALS$33, ALTO!$G$3:$J$9, 3, FALSE)</f>
        <v>0</v>
      </c>
      <c r="ALT57" s="6">
        <f>VLOOKUP(ALT$33, ALTO!$G$3:$J$9, 3, FALSE)</f>
        <v>0</v>
      </c>
      <c r="ALU57" s="6">
        <f>VLOOKUP(ALU$33, ALTO!$G$3:$J$9, 3, FALSE)</f>
        <v>0</v>
      </c>
      <c r="ALV57" s="6">
        <f>VLOOKUP(ALV$33, ALTO!$G$3:$J$9, 3, FALSE)</f>
        <v>0</v>
      </c>
      <c r="ALW57" s="6">
        <f>VLOOKUP(ALW$33, ALTO!$G$3:$J$9, 3, FALSE)</f>
        <v>0</v>
      </c>
    </row>
    <row r="58" spans="2:1011" outlineLevel="1" x14ac:dyDescent="0.25">
      <c r="C58" s="5" t="s">
        <v>17</v>
      </c>
      <c r="D58" s="6">
        <f>VLOOKUP(D$39, ELIOT!$G$3:$J$9, 3, FALSE)</f>
        <v>0.1</v>
      </c>
      <c r="E58" s="6">
        <f>VLOOKUP(E$39, ELIOT!$G$3:$J$9, 3, FALSE)</f>
        <v>0.1</v>
      </c>
      <c r="F58" s="6">
        <f>VLOOKUP(F$39, ELIOT!$G$3:$J$9, 3, FALSE)</f>
        <v>0.1</v>
      </c>
      <c r="G58" s="6">
        <f>VLOOKUP(G$39, ELIOT!$G$3:$J$9, 3, FALSE)</f>
        <v>0.1</v>
      </c>
      <c r="H58" s="6">
        <f>VLOOKUP(H$39, ELIOT!$G$3:$J$9, 3, FALSE)</f>
        <v>2</v>
      </c>
      <c r="I58" s="6">
        <f>VLOOKUP(I$39, ELIOT!$G$3:$J$9, 3, FALSE)</f>
        <v>2</v>
      </c>
      <c r="J58" s="6">
        <f>VLOOKUP(J$39, ELIOT!$G$3:$J$9, 3, FALSE)</f>
        <v>2</v>
      </c>
      <c r="K58" s="6">
        <f>VLOOKUP(K$39, ELIOT!$G$3:$J$9, 3, FALSE)</f>
        <v>0.1</v>
      </c>
      <c r="L58" s="6">
        <f>VLOOKUP(L$39, ELIOT!$G$3:$J$9, 3, FALSE)</f>
        <v>0.1</v>
      </c>
      <c r="M58" s="6">
        <f>VLOOKUP(M$39, ELIOT!$G$3:$J$9, 3, FALSE)</f>
        <v>0.1</v>
      </c>
      <c r="N58" s="6">
        <f>VLOOKUP(N$39, ELIOT!$G$3:$J$9, 3, FALSE)</f>
        <v>0.1</v>
      </c>
      <c r="O58" s="6">
        <f>VLOOKUP(O$39, ELIOT!$G$3:$J$9, 3, FALSE)</f>
        <v>0.1</v>
      </c>
      <c r="P58" s="6">
        <f>VLOOKUP(P$39, ELIOT!$G$3:$J$9, 3, FALSE)</f>
        <v>0.1</v>
      </c>
      <c r="Q58" s="6">
        <f>VLOOKUP(Q$39, ELIOT!$G$3:$J$9, 3, FALSE)</f>
        <v>0.1</v>
      </c>
      <c r="R58" s="6">
        <f>VLOOKUP(R$39, ELIOT!$G$3:$J$9, 3, FALSE)</f>
        <v>0</v>
      </c>
      <c r="S58" s="6">
        <f>VLOOKUP(S$39, ELIOT!$G$3:$J$9, 3, FALSE)</f>
        <v>0</v>
      </c>
      <c r="T58" s="6">
        <f>VLOOKUP(T$39, ELIOT!$G$3:$J$9, 3, FALSE)</f>
        <v>0</v>
      </c>
      <c r="U58" s="6">
        <f>VLOOKUP(U$39, ELIOT!$G$3:$J$9, 3, FALSE)</f>
        <v>0</v>
      </c>
      <c r="V58" s="6">
        <f>VLOOKUP(V$39, ELIOT!$G$3:$J$9, 3, FALSE)</f>
        <v>0</v>
      </c>
      <c r="W58" s="6">
        <f>VLOOKUP(W$39, ELIOT!$G$3:$J$9, 3, FALSE)</f>
        <v>0</v>
      </c>
      <c r="X58" s="6">
        <f>VLOOKUP(X$39, ELIOT!$G$3:$J$9, 3, FALSE)</f>
        <v>0</v>
      </c>
      <c r="Y58" s="6">
        <f>VLOOKUP(Y$39, ELIOT!$G$3:$J$9, 3, FALSE)</f>
        <v>0</v>
      </c>
      <c r="Z58" s="6">
        <f>VLOOKUP(Z$39, ELIOT!$G$3:$J$9, 3, FALSE)</f>
        <v>0</v>
      </c>
      <c r="AA58" s="6">
        <f>VLOOKUP(AA$39, ELIOT!$G$3:$J$9, 3, FALSE)</f>
        <v>0</v>
      </c>
      <c r="AB58" s="6">
        <f>VLOOKUP(AB$39, ELIOT!$G$3:$J$9, 3, FALSE)</f>
        <v>0</v>
      </c>
      <c r="AC58" s="6">
        <f>VLOOKUP(AC$39, ELIOT!$G$3:$J$9, 3, FALSE)</f>
        <v>0</v>
      </c>
      <c r="AD58" s="6">
        <f>VLOOKUP(AD$39, ELIOT!$G$3:$J$9, 3, FALSE)</f>
        <v>0</v>
      </c>
      <c r="AE58" s="6">
        <f>VLOOKUP(AE$39, ELIOT!$G$3:$J$9, 3, FALSE)</f>
        <v>0</v>
      </c>
      <c r="AF58" s="6">
        <f>VLOOKUP(AF$39, ELIOT!$G$3:$J$9, 3, FALSE)</f>
        <v>0</v>
      </c>
      <c r="AG58" s="6">
        <f>VLOOKUP(AG$39, ELIOT!$G$3:$J$9, 3, FALSE)</f>
        <v>0</v>
      </c>
      <c r="AH58" s="6">
        <f>VLOOKUP(AH$39, ELIOT!$G$3:$J$9, 3, FALSE)</f>
        <v>0</v>
      </c>
      <c r="AI58" s="6">
        <f>VLOOKUP(AI$39, ELIOT!$G$3:$J$9, 3, FALSE)</f>
        <v>0</v>
      </c>
      <c r="AJ58" s="6">
        <f>VLOOKUP(AJ$39, ELIOT!$G$3:$J$9, 3, FALSE)</f>
        <v>0</v>
      </c>
      <c r="AK58" s="6">
        <f>VLOOKUP(AK$39, ELIOT!$G$3:$J$9, 3, FALSE)</f>
        <v>0</v>
      </c>
      <c r="AL58" s="6">
        <f>VLOOKUP(AL$39, ELIOT!$G$3:$J$9, 3, FALSE)</f>
        <v>0</v>
      </c>
      <c r="AM58" s="6">
        <f>VLOOKUP(AM$39, ELIOT!$G$3:$J$9, 3, FALSE)</f>
        <v>0</v>
      </c>
      <c r="AN58" s="6">
        <f>VLOOKUP(AN$39, ELIOT!$G$3:$J$9, 3, FALSE)</f>
        <v>0</v>
      </c>
      <c r="AO58" s="6">
        <f>VLOOKUP(AO$39, ELIOT!$G$3:$J$9, 3, FALSE)</f>
        <v>0</v>
      </c>
      <c r="AP58" s="6">
        <f>VLOOKUP(AP$39, ELIOT!$G$3:$J$9, 3, FALSE)</f>
        <v>0</v>
      </c>
      <c r="AQ58" s="6">
        <f>VLOOKUP(AQ$39, ELIOT!$G$3:$J$9, 3, FALSE)</f>
        <v>0</v>
      </c>
      <c r="AR58" s="6">
        <f>VLOOKUP(AR$39, ELIOT!$G$3:$J$9, 3, FALSE)</f>
        <v>0</v>
      </c>
      <c r="AS58" s="6">
        <f>VLOOKUP(AS$39, ELIOT!$G$3:$J$9, 3, FALSE)</f>
        <v>0</v>
      </c>
      <c r="AT58" s="6">
        <f>VLOOKUP(AT$39, ELIOT!$G$3:$J$9, 3, FALSE)</f>
        <v>0</v>
      </c>
      <c r="AU58" s="6">
        <f>VLOOKUP(AU$39, ELIOT!$G$3:$J$9, 3, FALSE)</f>
        <v>0</v>
      </c>
      <c r="AV58" s="6">
        <f>VLOOKUP(AV$39, ELIOT!$G$3:$J$9, 3, FALSE)</f>
        <v>0</v>
      </c>
      <c r="AW58" s="6">
        <f>VLOOKUP(AW$39, ELIOT!$G$3:$J$9, 3, FALSE)</f>
        <v>0</v>
      </c>
      <c r="AX58" s="6">
        <f>VLOOKUP(AX$39, ELIOT!$G$3:$J$9, 3, FALSE)</f>
        <v>0</v>
      </c>
      <c r="AY58" s="6">
        <f>VLOOKUP(AY$39, ELIOT!$G$3:$J$9, 3, FALSE)</f>
        <v>0</v>
      </c>
      <c r="AZ58" s="6">
        <f>VLOOKUP(AZ$39, ELIOT!$G$3:$J$9, 3, FALSE)</f>
        <v>0</v>
      </c>
      <c r="BA58" s="6">
        <f>VLOOKUP(BA$39, ELIOT!$G$3:$J$9, 3, FALSE)</f>
        <v>0</v>
      </c>
      <c r="BB58" s="6">
        <f>VLOOKUP(BB$39, ELIOT!$G$3:$J$9, 3, FALSE)</f>
        <v>0</v>
      </c>
      <c r="BC58" s="6">
        <f>VLOOKUP(BC$39, ELIOT!$G$3:$J$9, 3, FALSE)</f>
        <v>0</v>
      </c>
      <c r="BD58" s="6">
        <f>VLOOKUP(BD$39, ELIOT!$G$3:$J$9, 3, FALSE)</f>
        <v>0</v>
      </c>
      <c r="BE58" s="6">
        <f>VLOOKUP(BE$39, ELIOT!$G$3:$J$9, 3, FALSE)</f>
        <v>0</v>
      </c>
      <c r="BF58" s="6">
        <f>VLOOKUP(BF$39, ELIOT!$G$3:$J$9, 3, FALSE)</f>
        <v>0</v>
      </c>
      <c r="BG58" s="6">
        <f>VLOOKUP(BG$39, ELIOT!$G$3:$J$9, 3, FALSE)</f>
        <v>0</v>
      </c>
      <c r="BH58" s="6">
        <f>VLOOKUP(BH$39, ELIOT!$G$3:$J$9, 3, FALSE)</f>
        <v>0</v>
      </c>
      <c r="BI58" s="6">
        <f>VLOOKUP(BI$39, ELIOT!$G$3:$J$9, 3, FALSE)</f>
        <v>0</v>
      </c>
      <c r="BJ58" s="6">
        <f>VLOOKUP(BJ$39, ELIOT!$G$3:$J$9, 3, FALSE)</f>
        <v>0</v>
      </c>
      <c r="BK58" s="6">
        <f>VLOOKUP(BK$39, ELIOT!$G$3:$J$9, 3, FALSE)</f>
        <v>0</v>
      </c>
      <c r="BL58" s="6">
        <f>VLOOKUP(BL$39, ELIOT!$G$3:$J$9, 3, FALSE)</f>
        <v>0</v>
      </c>
      <c r="BM58" s="6">
        <f>VLOOKUP(BM$39, ELIOT!$G$3:$J$9, 3, FALSE)</f>
        <v>0</v>
      </c>
      <c r="BN58" s="6">
        <f>VLOOKUP(BN$39, ELIOT!$G$3:$J$9, 3, FALSE)</f>
        <v>0</v>
      </c>
      <c r="BO58" s="6">
        <f>VLOOKUP(BO$39, ELIOT!$G$3:$J$9, 3, FALSE)</f>
        <v>0</v>
      </c>
      <c r="BP58" s="6">
        <f>VLOOKUP(BP$39, ELIOT!$G$3:$J$9, 3, FALSE)</f>
        <v>0</v>
      </c>
      <c r="BQ58" s="6">
        <f>VLOOKUP(BQ$39, ELIOT!$G$3:$J$9, 3, FALSE)</f>
        <v>0</v>
      </c>
      <c r="BR58" s="6">
        <f>VLOOKUP(BR$39, ELIOT!$G$3:$J$9, 3, FALSE)</f>
        <v>0</v>
      </c>
      <c r="BS58" s="6">
        <f>VLOOKUP(BS$39, ELIOT!$G$3:$J$9, 3, FALSE)</f>
        <v>0</v>
      </c>
      <c r="BT58" s="6">
        <f>VLOOKUP(BT$39, ELIOT!$G$3:$J$9, 3, FALSE)</f>
        <v>0</v>
      </c>
      <c r="BU58" s="6">
        <f>VLOOKUP(BU$39, ELIOT!$G$3:$J$9, 3, FALSE)</f>
        <v>0</v>
      </c>
      <c r="BV58" s="6">
        <f>VLOOKUP(BV$39, ELIOT!$G$3:$J$9, 3, FALSE)</f>
        <v>0</v>
      </c>
      <c r="BW58" s="6">
        <f>VLOOKUP(BW$39, ELIOT!$G$3:$J$9, 3, FALSE)</f>
        <v>0</v>
      </c>
      <c r="BX58" s="6">
        <f>VLOOKUP(BX$39, ELIOT!$G$3:$J$9, 3, FALSE)</f>
        <v>0</v>
      </c>
      <c r="BY58" s="6">
        <f>VLOOKUP(BY$39, ELIOT!$G$3:$J$9, 3, FALSE)</f>
        <v>0</v>
      </c>
      <c r="BZ58" s="6">
        <f>VLOOKUP(BZ$39, ELIOT!$G$3:$J$9, 3, FALSE)</f>
        <v>0</v>
      </c>
      <c r="CA58" s="6">
        <f>VLOOKUP(CA$39, ELIOT!$G$3:$J$9, 3, FALSE)</f>
        <v>0</v>
      </c>
      <c r="CB58" s="6">
        <f>VLOOKUP(CB$39, ELIOT!$G$3:$J$9, 3, FALSE)</f>
        <v>0</v>
      </c>
      <c r="CC58" s="6">
        <f>VLOOKUP(CC$39, ELIOT!$G$3:$J$9, 3, FALSE)</f>
        <v>0.1</v>
      </c>
      <c r="CD58" s="6">
        <f>VLOOKUP(CD$39, ELIOT!$G$3:$J$9, 3, FALSE)</f>
        <v>0.1</v>
      </c>
      <c r="CE58" s="6">
        <f>VLOOKUP(CE$39, ELIOT!$G$3:$J$9, 3, FALSE)</f>
        <v>0.1</v>
      </c>
      <c r="CF58" s="6">
        <f>VLOOKUP(CF$39, ELIOT!$G$3:$J$9, 3, FALSE)</f>
        <v>0.1</v>
      </c>
      <c r="CG58" s="6">
        <f>VLOOKUP(CG$39, ELIOT!$G$3:$J$9, 3, FALSE)</f>
        <v>0.1</v>
      </c>
      <c r="CH58" s="6">
        <f>VLOOKUP(CH$39, ELIOT!$G$3:$J$9, 3, FALSE)</f>
        <v>2</v>
      </c>
      <c r="CI58" s="6">
        <f>VLOOKUP(CI$39, ELIOT!$G$3:$J$9, 3, FALSE)</f>
        <v>2</v>
      </c>
      <c r="CJ58" s="6">
        <f>VLOOKUP(CJ$39, ELIOT!$G$3:$J$9, 3, FALSE)</f>
        <v>2</v>
      </c>
      <c r="CK58" s="6">
        <f>VLOOKUP(CK$39, ELIOT!$G$3:$J$9, 3, FALSE)</f>
        <v>0.1</v>
      </c>
      <c r="CL58" s="6">
        <f>VLOOKUP(CL$39, ELIOT!$G$3:$J$9, 3, FALSE)</f>
        <v>0.1</v>
      </c>
      <c r="CM58" s="6">
        <f>VLOOKUP(CM$39, ELIOT!$G$3:$J$9, 3, FALSE)</f>
        <v>0.1</v>
      </c>
      <c r="CN58" s="6">
        <f>VLOOKUP(CN$39, ELIOT!$G$3:$J$9, 3, FALSE)</f>
        <v>0.1</v>
      </c>
      <c r="CO58" s="6">
        <f>VLOOKUP(CO$39, ELIOT!$G$3:$J$9, 3, FALSE)</f>
        <v>0.1</v>
      </c>
      <c r="CP58" s="6">
        <f>VLOOKUP(CP$39, ELIOT!$G$3:$J$9, 3, FALSE)</f>
        <v>0.1</v>
      </c>
      <c r="CQ58" s="6">
        <f>VLOOKUP(CQ$39, ELIOT!$G$3:$J$9, 3, FALSE)</f>
        <v>0</v>
      </c>
      <c r="CR58" s="6">
        <f>VLOOKUP(CR$39, ELIOT!$G$3:$J$9, 3, FALSE)</f>
        <v>0</v>
      </c>
      <c r="CS58" s="6">
        <f>VLOOKUP(CS$39, ELIOT!$G$3:$J$9, 3, FALSE)</f>
        <v>0</v>
      </c>
      <c r="CT58" s="6">
        <f>VLOOKUP(CT$39, ELIOT!$G$3:$J$9, 3, FALSE)</f>
        <v>0</v>
      </c>
      <c r="CU58" s="6">
        <f>VLOOKUP(CU$39, ELIOT!$G$3:$J$9, 3, FALSE)</f>
        <v>0</v>
      </c>
      <c r="CV58" s="6">
        <f>VLOOKUP(CV$39, ELIOT!$G$3:$J$9, 3, FALSE)</f>
        <v>0</v>
      </c>
      <c r="CW58" s="6">
        <f>VLOOKUP(CW$39, ELIOT!$G$3:$J$9, 3, FALSE)</f>
        <v>0</v>
      </c>
      <c r="CX58" s="6">
        <f>VLOOKUP(CX$39, ELIOT!$G$3:$J$9, 3, FALSE)</f>
        <v>0</v>
      </c>
      <c r="CY58" s="6">
        <f>VLOOKUP(CY$39, ELIOT!$G$3:$J$9, 3, FALSE)</f>
        <v>0</v>
      </c>
      <c r="CZ58" s="6">
        <f>VLOOKUP(CZ$39, ELIOT!$G$3:$J$9, 3, FALSE)</f>
        <v>0</v>
      </c>
      <c r="DA58" s="6">
        <f>VLOOKUP(DA$39, ELIOT!$G$3:$J$9, 3, FALSE)</f>
        <v>0</v>
      </c>
      <c r="DB58" s="6">
        <f>VLOOKUP(DB$39, ELIOT!$G$3:$J$9, 3, FALSE)</f>
        <v>0</v>
      </c>
      <c r="DC58" s="6">
        <f>VLOOKUP(DC$39, ELIOT!$G$3:$J$9, 3, FALSE)</f>
        <v>0</v>
      </c>
      <c r="DD58" s="6">
        <f>VLOOKUP(DD$39, ELIOT!$G$3:$J$9, 3, FALSE)</f>
        <v>0</v>
      </c>
      <c r="DE58" s="6">
        <f>VLOOKUP(DE$39, ELIOT!$G$3:$J$9, 3, FALSE)</f>
        <v>0</v>
      </c>
      <c r="DF58" s="6">
        <f>VLOOKUP(DF$39, ELIOT!$G$3:$J$9, 3, FALSE)</f>
        <v>0</v>
      </c>
      <c r="DG58" s="6">
        <f>VLOOKUP(DG$39, ELIOT!$G$3:$J$9, 3, FALSE)</f>
        <v>0</v>
      </c>
      <c r="DH58" s="6">
        <f>VLOOKUP(DH$39, ELIOT!$G$3:$J$9, 3, FALSE)</f>
        <v>0</v>
      </c>
      <c r="DI58" s="6">
        <f>VLOOKUP(DI$39, ELIOT!$G$3:$J$9, 3, FALSE)</f>
        <v>0</v>
      </c>
      <c r="DJ58" s="6">
        <f>VLOOKUP(DJ$39, ELIOT!$G$3:$J$9, 3, FALSE)</f>
        <v>0</v>
      </c>
      <c r="DK58" s="6">
        <f>VLOOKUP(DK$39, ELIOT!$G$3:$J$9, 3, FALSE)</f>
        <v>0</v>
      </c>
      <c r="DL58" s="6">
        <f>VLOOKUP(DL$39, ELIOT!$G$3:$J$9, 3, FALSE)</f>
        <v>0</v>
      </c>
      <c r="DM58" s="6">
        <f>VLOOKUP(DM$39, ELIOT!$G$3:$J$9, 3, FALSE)</f>
        <v>0</v>
      </c>
      <c r="DN58" s="6">
        <f>VLOOKUP(DN$39, ELIOT!$G$3:$J$9, 3, FALSE)</f>
        <v>0</v>
      </c>
      <c r="DO58" s="6">
        <f>VLOOKUP(DO$39, ELIOT!$G$3:$J$9, 3, FALSE)</f>
        <v>0</v>
      </c>
      <c r="DP58" s="6">
        <f>VLOOKUP(DP$39, ELIOT!$G$3:$J$9, 3, FALSE)</f>
        <v>0</v>
      </c>
      <c r="DQ58" s="6">
        <f>VLOOKUP(DQ$39, ELIOT!$G$3:$J$9, 3, FALSE)</f>
        <v>0</v>
      </c>
      <c r="DR58" s="6">
        <f>VLOOKUP(DR$39, ELIOT!$G$3:$J$9, 3, FALSE)</f>
        <v>0</v>
      </c>
      <c r="DS58" s="6">
        <f>VLOOKUP(DS$39, ELIOT!$G$3:$J$9, 3, FALSE)</f>
        <v>0</v>
      </c>
      <c r="DT58" s="6">
        <f>VLOOKUP(DT$39, ELIOT!$G$3:$J$9, 3, FALSE)</f>
        <v>0</v>
      </c>
      <c r="DU58" s="6">
        <f>VLOOKUP(DU$39, ELIOT!$G$3:$J$9, 3, FALSE)</f>
        <v>0</v>
      </c>
      <c r="DV58" s="6">
        <f>VLOOKUP(DV$39, ELIOT!$G$3:$J$9, 3, FALSE)</f>
        <v>0</v>
      </c>
      <c r="DW58" s="6">
        <f>VLOOKUP(DW$39, ELIOT!$G$3:$J$9, 3, FALSE)</f>
        <v>0</v>
      </c>
      <c r="DX58" s="6">
        <f>VLOOKUP(DX$39, ELIOT!$G$3:$J$9, 3, FALSE)</f>
        <v>0</v>
      </c>
      <c r="DY58" s="6">
        <f>VLOOKUP(DY$39, ELIOT!$G$3:$J$9, 3, FALSE)</f>
        <v>0</v>
      </c>
      <c r="DZ58" s="6">
        <f>VLOOKUP(DZ$39, ELIOT!$G$3:$J$9, 3, FALSE)</f>
        <v>0</v>
      </c>
      <c r="EA58" s="6">
        <f>VLOOKUP(EA$39, ELIOT!$G$3:$J$9, 3, FALSE)</f>
        <v>0</v>
      </c>
      <c r="EB58" s="6">
        <f>VLOOKUP(EB$39, ELIOT!$G$3:$J$9, 3, FALSE)</f>
        <v>0</v>
      </c>
      <c r="EC58" s="6">
        <f>VLOOKUP(EC$39, ELIOT!$G$3:$J$9, 3, FALSE)</f>
        <v>0</v>
      </c>
      <c r="ED58" s="6">
        <f>VLOOKUP(ED$39, ELIOT!$G$3:$J$9, 3, FALSE)</f>
        <v>0</v>
      </c>
      <c r="EE58" s="6">
        <f>VLOOKUP(EE$39, ELIOT!$G$3:$J$9, 3, FALSE)</f>
        <v>0</v>
      </c>
      <c r="EF58" s="6">
        <f>VLOOKUP(EF$39, ELIOT!$G$3:$J$9, 3, FALSE)</f>
        <v>0</v>
      </c>
      <c r="EG58" s="6">
        <f>VLOOKUP(EG$39, ELIOT!$G$3:$J$9, 3, FALSE)</f>
        <v>0</v>
      </c>
      <c r="EH58" s="6">
        <f>VLOOKUP(EH$39, ELIOT!$G$3:$J$9, 3, FALSE)</f>
        <v>0</v>
      </c>
      <c r="EI58" s="6">
        <f>VLOOKUP(EI$39, ELIOT!$G$3:$J$9, 3, FALSE)</f>
        <v>0</v>
      </c>
      <c r="EJ58" s="6">
        <f>VLOOKUP(EJ$39, ELIOT!$G$3:$J$9, 3, FALSE)</f>
        <v>0</v>
      </c>
      <c r="EK58" s="6">
        <f>VLOOKUP(EK$39, ELIOT!$G$3:$J$9, 3, FALSE)</f>
        <v>0</v>
      </c>
      <c r="EL58" s="6">
        <f>VLOOKUP(EL$39, ELIOT!$G$3:$J$9, 3, FALSE)</f>
        <v>0</v>
      </c>
      <c r="EM58" s="6">
        <f>VLOOKUP(EM$39, ELIOT!$G$3:$J$9, 3, FALSE)</f>
        <v>0</v>
      </c>
      <c r="EN58" s="6">
        <f>VLOOKUP(EN$39, ELIOT!$G$3:$J$9, 3, FALSE)</f>
        <v>0</v>
      </c>
      <c r="EO58" s="6">
        <f>VLOOKUP(EO$39, ELIOT!$G$3:$J$9, 3, FALSE)</f>
        <v>0</v>
      </c>
      <c r="EP58" s="6">
        <f>VLOOKUP(EP$39, ELIOT!$G$3:$J$9, 3, FALSE)</f>
        <v>0</v>
      </c>
      <c r="EQ58" s="6">
        <f>VLOOKUP(EQ$39, ELIOT!$G$3:$J$9, 3, FALSE)</f>
        <v>0</v>
      </c>
      <c r="ER58" s="6">
        <f>VLOOKUP(ER$39, ELIOT!$G$3:$J$9, 3, FALSE)</f>
        <v>0</v>
      </c>
      <c r="ES58" s="6">
        <f>VLOOKUP(ES$39, ELIOT!$G$3:$J$9, 3, FALSE)</f>
        <v>0</v>
      </c>
      <c r="ET58" s="6">
        <f>VLOOKUP(ET$39, ELIOT!$G$3:$J$9, 3, FALSE)</f>
        <v>0</v>
      </c>
      <c r="EU58" s="6">
        <f>VLOOKUP(EU$39, ELIOT!$G$3:$J$9, 3, FALSE)</f>
        <v>0</v>
      </c>
      <c r="EV58" s="6">
        <f>VLOOKUP(EV$39, ELIOT!$G$3:$J$9, 3, FALSE)</f>
        <v>0</v>
      </c>
      <c r="EW58" s="6">
        <f>VLOOKUP(EW$39, ELIOT!$G$3:$J$9, 3, FALSE)</f>
        <v>0</v>
      </c>
      <c r="EX58" s="6">
        <f>VLOOKUP(EX$39, ELIOT!$G$3:$J$9, 3, FALSE)</f>
        <v>0</v>
      </c>
      <c r="EY58" s="6">
        <f>VLOOKUP(EY$39, ELIOT!$G$3:$J$9, 3, FALSE)</f>
        <v>0</v>
      </c>
      <c r="EZ58" s="6">
        <f>VLOOKUP(EZ$39, ELIOT!$G$3:$J$9, 3, FALSE)</f>
        <v>0</v>
      </c>
      <c r="FA58" s="6">
        <f>VLOOKUP(FA$39, ELIOT!$G$3:$J$9, 3, FALSE)</f>
        <v>0</v>
      </c>
      <c r="FB58" s="6">
        <f>VLOOKUP(FB$39, ELIOT!$G$3:$J$9, 3, FALSE)</f>
        <v>0</v>
      </c>
      <c r="FC58" s="6">
        <f>VLOOKUP(FC$39, ELIOT!$G$3:$J$9, 3, FALSE)</f>
        <v>0</v>
      </c>
      <c r="FD58" s="6">
        <f>VLOOKUP(FD$39, ELIOT!$G$3:$J$9, 3, FALSE)</f>
        <v>0</v>
      </c>
      <c r="FE58" s="6">
        <f>VLOOKUP(FE$39, ELIOT!$G$3:$J$9, 3, FALSE)</f>
        <v>0</v>
      </c>
      <c r="FF58" s="6">
        <f>VLOOKUP(FF$39, ELIOT!$G$3:$J$9, 3, FALSE)</f>
        <v>0</v>
      </c>
      <c r="FG58" s="6">
        <f>VLOOKUP(FG$39, ELIOT!$G$3:$J$9, 3, FALSE)</f>
        <v>0</v>
      </c>
      <c r="FH58" s="6">
        <f>VLOOKUP(FH$39, ELIOT!$G$3:$J$9, 3, FALSE)</f>
        <v>0</v>
      </c>
      <c r="FI58" s="6">
        <f>VLOOKUP(FI$39, ELIOT!$G$3:$J$9, 3, FALSE)</f>
        <v>0</v>
      </c>
      <c r="FJ58" s="6">
        <f>VLOOKUP(FJ$39, ELIOT!$G$3:$J$9, 3, FALSE)</f>
        <v>0</v>
      </c>
      <c r="FK58" s="6">
        <f>VLOOKUP(FK$39, ELIOT!$G$3:$J$9, 3, FALSE)</f>
        <v>0</v>
      </c>
      <c r="FL58" s="6">
        <f>VLOOKUP(FL$39, ELIOT!$G$3:$J$9, 3, FALSE)</f>
        <v>0</v>
      </c>
      <c r="FM58" s="6">
        <f>VLOOKUP(FM$39, ELIOT!$G$3:$J$9, 3, FALSE)</f>
        <v>0</v>
      </c>
      <c r="FN58" s="6">
        <f>VLOOKUP(FN$39, ELIOT!$G$3:$J$9, 3, FALSE)</f>
        <v>0</v>
      </c>
      <c r="FO58" s="6">
        <f>VLOOKUP(FO$39, ELIOT!$G$3:$J$9, 3, FALSE)</f>
        <v>0</v>
      </c>
      <c r="FP58" s="6">
        <f>VLOOKUP(FP$39, ELIOT!$G$3:$J$9, 3, FALSE)</f>
        <v>0</v>
      </c>
      <c r="FQ58" s="6">
        <f>VLOOKUP(FQ$39, ELIOT!$G$3:$J$9, 3, FALSE)</f>
        <v>0</v>
      </c>
      <c r="FR58" s="6">
        <f>VLOOKUP(FR$39, ELIOT!$G$3:$J$9, 3, FALSE)</f>
        <v>0</v>
      </c>
      <c r="FS58" s="6">
        <f>VLOOKUP(FS$39, ELIOT!$G$3:$J$9, 3, FALSE)</f>
        <v>0</v>
      </c>
      <c r="FT58" s="6">
        <f>VLOOKUP(FT$39, ELIOT!$G$3:$J$9, 3, FALSE)</f>
        <v>0</v>
      </c>
      <c r="FU58" s="6">
        <f>VLOOKUP(FU$39, ELIOT!$G$3:$J$9, 3, FALSE)</f>
        <v>0</v>
      </c>
      <c r="FV58" s="6">
        <f>VLOOKUP(FV$39, ELIOT!$G$3:$J$9, 3, FALSE)</f>
        <v>0</v>
      </c>
      <c r="FW58" s="6">
        <f>VLOOKUP(FW$39, ELIOT!$G$3:$J$9, 3, FALSE)</f>
        <v>0</v>
      </c>
      <c r="FX58" s="6">
        <f>VLOOKUP(FX$39, ELIOT!$G$3:$J$9, 3, FALSE)</f>
        <v>0</v>
      </c>
      <c r="FY58" s="6">
        <f>VLOOKUP(FY$39, ELIOT!$G$3:$J$9, 3, FALSE)</f>
        <v>0</v>
      </c>
      <c r="FZ58" s="6">
        <f>VLOOKUP(FZ$39, ELIOT!$G$3:$J$9, 3, FALSE)</f>
        <v>0</v>
      </c>
      <c r="GA58" s="6">
        <f>VLOOKUP(GA$39, ELIOT!$G$3:$J$9, 3, FALSE)</f>
        <v>0</v>
      </c>
      <c r="GB58" s="6">
        <f>VLOOKUP(GB$39, ELIOT!$G$3:$J$9, 3, FALSE)</f>
        <v>0</v>
      </c>
      <c r="GC58" s="6">
        <f>VLOOKUP(GC$39, ELIOT!$G$3:$J$9, 3, FALSE)</f>
        <v>0</v>
      </c>
      <c r="GD58" s="6">
        <f>VLOOKUP(GD$39, ELIOT!$G$3:$J$9, 3, FALSE)</f>
        <v>0</v>
      </c>
      <c r="GE58" s="6">
        <f>VLOOKUP(GE$39, ELIOT!$G$3:$J$9, 3, FALSE)</f>
        <v>0</v>
      </c>
      <c r="GF58" s="6">
        <f>VLOOKUP(GF$39, ELIOT!$G$3:$J$9, 3, FALSE)</f>
        <v>0</v>
      </c>
      <c r="GG58" s="6">
        <f>VLOOKUP(GG$39, ELIOT!$G$3:$J$9, 3, FALSE)</f>
        <v>0</v>
      </c>
      <c r="GH58" s="6">
        <f>VLOOKUP(GH$39, ELIOT!$G$3:$J$9, 3, FALSE)</f>
        <v>0</v>
      </c>
      <c r="GI58" s="6">
        <f>VLOOKUP(GI$39, ELIOT!$G$3:$J$9, 3, FALSE)</f>
        <v>0</v>
      </c>
      <c r="GJ58" s="6">
        <f>VLOOKUP(GJ$39, ELIOT!$G$3:$J$9, 3, FALSE)</f>
        <v>0</v>
      </c>
      <c r="GK58" s="6">
        <f>VLOOKUP(GK$39, ELIOT!$G$3:$J$9, 3, FALSE)</f>
        <v>0</v>
      </c>
      <c r="GL58" s="6">
        <f>VLOOKUP(GL$39, ELIOT!$G$3:$J$9, 3, FALSE)</f>
        <v>0</v>
      </c>
      <c r="GM58" s="6">
        <f>VLOOKUP(GM$39, ELIOT!$G$3:$J$9, 3, FALSE)</f>
        <v>0</v>
      </c>
      <c r="GN58" s="6">
        <f>VLOOKUP(GN$39, ELIOT!$G$3:$J$9, 3, FALSE)</f>
        <v>0</v>
      </c>
      <c r="GO58" s="6">
        <f>VLOOKUP(GO$39, ELIOT!$G$3:$J$9, 3, FALSE)</f>
        <v>0</v>
      </c>
      <c r="GP58" s="6">
        <f>VLOOKUP(GP$39, ELIOT!$G$3:$J$9, 3, FALSE)</f>
        <v>0</v>
      </c>
      <c r="GQ58" s="6">
        <f>VLOOKUP(GQ$39, ELIOT!$G$3:$J$9, 3, FALSE)</f>
        <v>0</v>
      </c>
      <c r="GR58" s="6">
        <f>VLOOKUP(GR$39, ELIOT!$G$3:$J$9, 3, FALSE)</f>
        <v>0</v>
      </c>
      <c r="GS58" s="6">
        <f>VLOOKUP(GS$39, ELIOT!$G$3:$J$9, 3, FALSE)</f>
        <v>0</v>
      </c>
      <c r="GT58" s="6">
        <f>VLOOKUP(GT$39, ELIOT!$G$3:$J$9, 3, FALSE)</f>
        <v>0</v>
      </c>
      <c r="GU58" s="6">
        <f>VLOOKUP(GU$39, ELIOT!$G$3:$J$9, 3, FALSE)</f>
        <v>0</v>
      </c>
      <c r="GV58" s="6">
        <f>VLOOKUP(GV$39, ELIOT!$G$3:$J$9, 3, FALSE)</f>
        <v>0</v>
      </c>
      <c r="GW58" s="6">
        <f>VLOOKUP(GW$39, ELIOT!$G$3:$J$9, 3, FALSE)</f>
        <v>0</v>
      </c>
      <c r="GX58" s="6">
        <f>VLOOKUP(GX$39, ELIOT!$G$3:$J$9, 3, FALSE)</f>
        <v>0</v>
      </c>
      <c r="GY58" s="6">
        <f>VLOOKUP(GY$39, ELIOT!$G$3:$J$9, 3, FALSE)</f>
        <v>0</v>
      </c>
      <c r="GZ58" s="6">
        <f>VLOOKUP(GZ$39, ELIOT!$G$3:$J$9, 3, FALSE)</f>
        <v>0</v>
      </c>
      <c r="HA58" s="6">
        <f>VLOOKUP(HA$39, ELIOT!$G$3:$J$9, 3, FALSE)</f>
        <v>0</v>
      </c>
      <c r="HB58" s="6">
        <f>VLOOKUP(HB$39, ELIOT!$G$3:$J$9, 3, FALSE)</f>
        <v>0</v>
      </c>
      <c r="HC58" s="6">
        <f>VLOOKUP(HC$39, ELIOT!$G$3:$J$9, 3, FALSE)</f>
        <v>0</v>
      </c>
      <c r="HD58" s="6">
        <f>VLOOKUP(HD$39, ELIOT!$G$3:$J$9, 3, FALSE)</f>
        <v>0</v>
      </c>
      <c r="HE58" s="6">
        <f>VLOOKUP(HE$39, ELIOT!$G$3:$J$9, 3, FALSE)</f>
        <v>0</v>
      </c>
      <c r="HF58" s="6">
        <f>VLOOKUP(HF$39, ELIOT!$G$3:$J$9, 3, FALSE)</f>
        <v>0</v>
      </c>
      <c r="HG58" s="6">
        <f>VLOOKUP(HG$39, ELIOT!$G$3:$J$9, 3, FALSE)</f>
        <v>0</v>
      </c>
      <c r="HH58" s="6">
        <f>VLOOKUP(HH$39, ELIOT!$G$3:$J$9, 3, FALSE)</f>
        <v>0</v>
      </c>
      <c r="HI58" s="6">
        <f>VLOOKUP(HI$39, ELIOT!$G$3:$J$9, 3, FALSE)</f>
        <v>0</v>
      </c>
      <c r="HJ58" s="6">
        <f>VLOOKUP(HJ$39, ELIOT!$G$3:$J$9, 3, FALSE)</f>
        <v>0</v>
      </c>
      <c r="HK58" s="6">
        <f>VLOOKUP(HK$39, ELIOT!$G$3:$J$9, 3, FALSE)</f>
        <v>0</v>
      </c>
      <c r="HL58" s="6">
        <f>VLOOKUP(HL$39, ELIOT!$G$3:$J$9, 3, FALSE)</f>
        <v>0</v>
      </c>
      <c r="HM58" s="6">
        <f>VLOOKUP(HM$39, ELIOT!$G$3:$J$9, 3, FALSE)</f>
        <v>0</v>
      </c>
      <c r="HN58" s="6">
        <f>VLOOKUP(HN$39, ELIOT!$G$3:$J$9, 3, FALSE)</f>
        <v>0</v>
      </c>
      <c r="HO58" s="6">
        <f>VLOOKUP(HO$39, ELIOT!$G$3:$J$9, 3, FALSE)</f>
        <v>0</v>
      </c>
      <c r="HP58" s="6">
        <f>VLOOKUP(HP$39, ELIOT!$G$3:$J$9, 3, FALSE)</f>
        <v>0</v>
      </c>
      <c r="HQ58" s="6">
        <f>VLOOKUP(HQ$39, ELIOT!$G$3:$J$9, 3, FALSE)</f>
        <v>0</v>
      </c>
      <c r="HR58" s="6">
        <f>VLOOKUP(HR$39, ELIOT!$G$3:$J$9, 3, FALSE)</f>
        <v>0</v>
      </c>
      <c r="HS58" s="6">
        <f>VLOOKUP(HS$39, ELIOT!$G$3:$J$9, 3, FALSE)</f>
        <v>0</v>
      </c>
      <c r="HT58" s="6">
        <f>VLOOKUP(HT$39, ELIOT!$G$3:$J$9, 3, FALSE)</f>
        <v>0</v>
      </c>
      <c r="HU58" s="6">
        <f>VLOOKUP(HU$39, ELIOT!$G$3:$J$9, 3, FALSE)</f>
        <v>0</v>
      </c>
      <c r="HV58" s="6">
        <f>VLOOKUP(HV$39, ELIOT!$G$3:$J$9, 3, FALSE)</f>
        <v>0</v>
      </c>
      <c r="HW58" s="6">
        <f>VLOOKUP(HW$39, ELIOT!$G$3:$J$9, 3, FALSE)</f>
        <v>0</v>
      </c>
      <c r="HX58" s="6">
        <f>VLOOKUP(HX$39, ELIOT!$G$3:$J$9, 3, FALSE)</f>
        <v>0</v>
      </c>
      <c r="HY58" s="6">
        <f>VLOOKUP(HY$39, ELIOT!$G$3:$J$9, 3, FALSE)</f>
        <v>0</v>
      </c>
      <c r="HZ58" s="6">
        <f>VLOOKUP(HZ$39, ELIOT!$G$3:$J$9, 3, FALSE)</f>
        <v>0</v>
      </c>
      <c r="IA58" s="6">
        <f>VLOOKUP(IA$39, ELIOT!$G$3:$J$9, 3, FALSE)</f>
        <v>0</v>
      </c>
      <c r="IB58" s="6">
        <f>VLOOKUP(IB$39, ELIOT!$G$3:$J$9, 3, FALSE)</f>
        <v>0</v>
      </c>
      <c r="IC58" s="6">
        <f>VLOOKUP(IC$39, ELIOT!$G$3:$J$9, 3, FALSE)</f>
        <v>0</v>
      </c>
      <c r="ID58" s="6">
        <f>VLOOKUP(ID$39, ELIOT!$G$3:$J$9, 3, FALSE)</f>
        <v>0</v>
      </c>
      <c r="IE58" s="6">
        <f>VLOOKUP(IE$39, ELIOT!$G$3:$J$9, 3, FALSE)</f>
        <v>0</v>
      </c>
      <c r="IF58" s="6">
        <f>VLOOKUP(IF$39, ELIOT!$G$3:$J$9, 3, FALSE)</f>
        <v>0</v>
      </c>
      <c r="IG58" s="6">
        <f>VLOOKUP(IG$39, ELIOT!$G$3:$J$9, 3, FALSE)</f>
        <v>0</v>
      </c>
      <c r="IH58" s="6">
        <f>VLOOKUP(IH$39, ELIOT!$G$3:$J$9, 3, FALSE)</f>
        <v>0</v>
      </c>
      <c r="II58" s="6">
        <f>VLOOKUP(II$39, ELIOT!$G$3:$J$9, 3, FALSE)</f>
        <v>0</v>
      </c>
      <c r="IJ58" s="6">
        <f>VLOOKUP(IJ$39, ELIOT!$G$3:$J$9, 3, FALSE)</f>
        <v>0</v>
      </c>
      <c r="IK58" s="6">
        <f>VLOOKUP(IK$39, ELIOT!$G$3:$J$9, 3, FALSE)</f>
        <v>0</v>
      </c>
      <c r="IL58" s="6">
        <f>VLOOKUP(IL$39, ELIOT!$G$3:$J$9, 3, FALSE)</f>
        <v>0</v>
      </c>
      <c r="IM58" s="6">
        <f>VLOOKUP(IM$39, ELIOT!$G$3:$J$9, 3, FALSE)</f>
        <v>0</v>
      </c>
      <c r="IN58" s="6">
        <f>VLOOKUP(IN$39, ELIOT!$G$3:$J$9, 3, FALSE)</f>
        <v>0</v>
      </c>
      <c r="IO58" s="6">
        <f>VLOOKUP(IO$39, ELIOT!$G$3:$J$9, 3, FALSE)</f>
        <v>0</v>
      </c>
      <c r="IP58" s="6">
        <f>VLOOKUP(IP$39, ELIOT!$G$3:$J$9, 3, FALSE)</f>
        <v>0</v>
      </c>
      <c r="IQ58" s="6">
        <f>VLOOKUP(IQ$39, ELIOT!$G$3:$J$9, 3, FALSE)</f>
        <v>0</v>
      </c>
      <c r="IR58" s="6">
        <f>VLOOKUP(IR$39, ELIOT!$G$3:$J$9, 3, FALSE)</f>
        <v>0</v>
      </c>
      <c r="IS58" s="6">
        <f>VLOOKUP(IS$39, ELIOT!$G$3:$J$9, 3, FALSE)</f>
        <v>0</v>
      </c>
      <c r="IT58" s="6">
        <f>VLOOKUP(IT$39, ELIOT!$G$3:$J$9, 3, FALSE)</f>
        <v>0</v>
      </c>
      <c r="IU58" s="6">
        <f>VLOOKUP(IU$39, ELIOT!$G$3:$J$9, 3, FALSE)</f>
        <v>0</v>
      </c>
      <c r="IV58" s="6">
        <f>VLOOKUP(IV$39, ELIOT!$G$3:$J$9, 3, FALSE)</f>
        <v>0</v>
      </c>
      <c r="IW58" s="6">
        <f>VLOOKUP(IW$39, ELIOT!$G$3:$J$9, 3, FALSE)</f>
        <v>0</v>
      </c>
      <c r="IX58" s="6">
        <f>VLOOKUP(IX$39, ELIOT!$G$3:$J$9, 3, FALSE)</f>
        <v>0</v>
      </c>
      <c r="IY58" s="6">
        <f>VLOOKUP(IY$39, ELIOT!$G$3:$J$9, 3, FALSE)</f>
        <v>0</v>
      </c>
      <c r="IZ58" s="6">
        <f>VLOOKUP(IZ$39, ELIOT!$G$3:$J$9, 3, FALSE)</f>
        <v>0</v>
      </c>
      <c r="JA58" s="6">
        <f>VLOOKUP(JA$39, ELIOT!$G$3:$J$9, 3, FALSE)</f>
        <v>0</v>
      </c>
      <c r="JB58" s="6">
        <f>VLOOKUP(JB$39, ELIOT!$G$3:$J$9, 3, FALSE)</f>
        <v>0</v>
      </c>
      <c r="JC58" s="6">
        <f>VLOOKUP(JC$39, ELIOT!$G$3:$J$9, 3, FALSE)</f>
        <v>0</v>
      </c>
      <c r="JD58" s="6">
        <f>VLOOKUP(JD$39, ELIOT!$G$3:$J$9, 3, FALSE)</f>
        <v>0</v>
      </c>
      <c r="JE58" s="6">
        <f>VLOOKUP(JE$39, ELIOT!$G$3:$J$9, 3, FALSE)</f>
        <v>0</v>
      </c>
      <c r="JF58" s="6">
        <f>VLOOKUP(JF$39, ELIOT!$G$3:$J$9, 3, FALSE)</f>
        <v>0</v>
      </c>
      <c r="JG58" s="6">
        <f>VLOOKUP(JG$39, ELIOT!$G$3:$J$9, 3, FALSE)</f>
        <v>0</v>
      </c>
      <c r="JH58" s="6">
        <f>VLOOKUP(JH$39, ELIOT!$G$3:$J$9, 3, FALSE)</f>
        <v>0</v>
      </c>
      <c r="JI58" s="6">
        <f>VLOOKUP(JI$39, ELIOT!$G$3:$J$9, 3, FALSE)</f>
        <v>0</v>
      </c>
      <c r="JJ58" s="6">
        <f>VLOOKUP(JJ$39, ELIOT!$G$3:$J$9, 3, FALSE)</f>
        <v>0</v>
      </c>
      <c r="JK58" s="6">
        <f>VLOOKUP(JK$39, ELIOT!$G$3:$J$9, 3, FALSE)</f>
        <v>0</v>
      </c>
      <c r="JL58" s="6">
        <f>VLOOKUP(JL$39, ELIOT!$G$3:$J$9, 3, FALSE)</f>
        <v>0</v>
      </c>
      <c r="JM58" s="6">
        <f>VLOOKUP(JM$39, ELIOT!$G$3:$J$9, 3, FALSE)</f>
        <v>0</v>
      </c>
      <c r="JN58" s="6">
        <f>VLOOKUP(JN$39, ELIOT!$G$3:$J$9, 3, FALSE)</f>
        <v>0</v>
      </c>
      <c r="JO58" s="6">
        <f>VLOOKUP(JO$39, ELIOT!$G$3:$J$9, 3, FALSE)</f>
        <v>0</v>
      </c>
      <c r="JP58" s="6">
        <f>VLOOKUP(JP$39, ELIOT!$G$3:$J$9, 3, FALSE)</f>
        <v>0</v>
      </c>
      <c r="JQ58" s="6">
        <f>VLOOKUP(JQ$39, ELIOT!$G$3:$J$9, 3, FALSE)</f>
        <v>0</v>
      </c>
      <c r="JR58" s="6">
        <f>VLOOKUP(JR$39, ELIOT!$G$3:$J$9, 3, FALSE)</f>
        <v>0</v>
      </c>
      <c r="JS58" s="6">
        <f>VLOOKUP(JS$39, ELIOT!$G$3:$J$9, 3, FALSE)</f>
        <v>0</v>
      </c>
      <c r="JT58" s="6">
        <f>VLOOKUP(JT$39, ELIOT!$G$3:$J$9, 3, FALSE)</f>
        <v>0</v>
      </c>
      <c r="JU58" s="6">
        <f>VLOOKUP(JU$39, ELIOT!$G$3:$J$9, 3, FALSE)</f>
        <v>0</v>
      </c>
      <c r="JV58" s="6">
        <f>VLOOKUP(JV$39, ELIOT!$G$3:$J$9, 3, FALSE)</f>
        <v>0</v>
      </c>
      <c r="JW58" s="6">
        <f>VLOOKUP(JW$39, ELIOT!$G$3:$J$9, 3, FALSE)</f>
        <v>0</v>
      </c>
      <c r="JX58" s="6">
        <f>VLOOKUP(JX$39, ELIOT!$G$3:$J$9, 3, FALSE)</f>
        <v>0</v>
      </c>
      <c r="JY58" s="6">
        <f>VLOOKUP(JY$39, ELIOT!$G$3:$J$9, 3, FALSE)</f>
        <v>0</v>
      </c>
      <c r="JZ58" s="6">
        <f>VLOOKUP(JZ$39, ELIOT!$G$3:$J$9, 3, FALSE)</f>
        <v>0</v>
      </c>
      <c r="KA58" s="6">
        <f>VLOOKUP(KA$39, ELIOT!$G$3:$J$9, 3, FALSE)</f>
        <v>0</v>
      </c>
      <c r="KB58" s="6">
        <f>VLOOKUP(KB$39, ELIOT!$G$3:$J$9, 3, FALSE)</f>
        <v>0</v>
      </c>
      <c r="KC58" s="6">
        <f>VLOOKUP(KC$39, ELIOT!$G$3:$J$9, 3, FALSE)</f>
        <v>0</v>
      </c>
      <c r="KD58" s="6">
        <f>VLOOKUP(KD$39, ELIOT!$G$3:$J$9, 3, FALSE)</f>
        <v>0</v>
      </c>
      <c r="KE58" s="6">
        <f>VLOOKUP(KE$39, ELIOT!$G$3:$J$9, 3, FALSE)</f>
        <v>0</v>
      </c>
      <c r="KF58" s="6">
        <f>VLOOKUP(KF$39, ELIOT!$G$3:$J$9, 3, FALSE)</f>
        <v>0.1</v>
      </c>
      <c r="KG58" s="6">
        <f>VLOOKUP(KG$39, ELIOT!$G$3:$J$9, 3, FALSE)</f>
        <v>0.1</v>
      </c>
      <c r="KH58" s="6">
        <f>VLOOKUP(KH$39, ELIOT!$G$3:$J$9, 3, FALSE)</f>
        <v>0.1</v>
      </c>
      <c r="KI58" s="6">
        <f>VLOOKUP(KI$39, ELIOT!$G$3:$J$9, 3, FALSE)</f>
        <v>0.1</v>
      </c>
      <c r="KJ58" s="6">
        <f>VLOOKUP(KJ$39, ELIOT!$G$3:$J$9, 3, FALSE)</f>
        <v>2</v>
      </c>
      <c r="KK58" s="6">
        <f>VLOOKUP(KK$39, ELIOT!$G$3:$J$9, 3, FALSE)</f>
        <v>2</v>
      </c>
      <c r="KL58" s="6">
        <f>VLOOKUP(KL$39, ELIOT!$G$3:$J$9, 3, FALSE)</f>
        <v>2</v>
      </c>
      <c r="KM58" s="6">
        <f>VLOOKUP(KM$39, ELIOT!$G$3:$J$9, 3, FALSE)</f>
        <v>0.1</v>
      </c>
      <c r="KN58" s="6">
        <f>VLOOKUP(KN$39, ELIOT!$G$3:$J$9, 3, FALSE)</f>
        <v>0.1</v>
      </c>
      <c r="KO58" s="6">
        <f>VLOOKUP(KO$39, ELIOT!$G$3:$J$9, 3, FALSE)</f>
        <v>0.1</v>
      </c>
      <c r="KP58" s="6">
        <f>VLOOKUP(KP$39, ELIOT!$G$3:$J$9, 3, FALSE)</f>
        <v>0.1</v>
      </c>
      <c r="KQ58" s="6">
        <f>VLOOKUP(KQ$39, ELIOT!$G$3:$J$9, 3, FALSE)</f>
        <v>0.1</v>
      </c>
      <c r="KR58" s="6">
        <f>VLOOKUP(KR$39, ELIOT!$G$3:$J$9, 3, FALSE)</f>
        <v>0.1</v>
      </c>
      <c r="KS58" s="6">
        <f>VLOOKUP(KS$39, ELIOT!$G$3:$J$9, 3, FALSE)</f>
        <v>0.1</v>
      </c>
      <c r="KT58" s="6">
        <f>VLOOKUP(KT$39, ELIOT!$G$3:$J$9, 3, FALSE)</f>
        <v>0</v>
      </c>
      <c r="KU58" s="6">
        <f>VLOOKUP(KU$39, ELIOT!$G$3:$J$9, 3, FALSE)</f>
        <v>0</v>
      </c>
      <c r="KV58" s="6">
        <f>VLOOKUP(KV$39, ELIOT!$G$3:$J$9, 3, FALSE)</f>
        <v>0</v>
      </c>
      <c r="KW58" s="6">
        <f>VLOOKUP(KW$39, ELIOT!$G$3:$J$9, 3, FALSE)</f>
        <v>0</v>
      </c>
      <c r="KX58" s="6">
        <f>VLOOKUP(KX$39, ELIOT!$G$3:$J$9, 3, FALSE)</f>
        <v>0</v>
      </c>
      <c r="KY58" s="6">
        <f>VLOOKUP(KY$39, ELIOT!$G$3:$J$9, 3, FALSE)</f>
        <v>0</v>
      </c>
      <c r="KZ58" s="6">
        <f>VLOOKUP(KZ$39, ELIOT!$G$3:$J$9, 3, FALSE)</f>
        <v>0</v>
      </c>
      <c r="LA58" s="6">
        <f>VLOOKUP(LA$39, ELIOT!$G$3:$J$9, 3, FALSE)</f>
        <v>0</v>
      </c>
      <c r="LB58" s="6">
        <f>VLOOKUP(LB$39, ELIOT!$G$3:$J$9, 3, FALSE)</f>
        <v>0</v>
      </c>
      <c r="LC58" s="6">
        <f>VLOOKUP(LC$39, ELIOT!$G$3:$J$9, 3, FALSE)</f>
        <v>0</v>
      </c>
      <c r="LD58" s="6">
        <f>VLOOKUP(LD$39, ELIOT!$G$3:$J$9, 3, FALSE)</f>
        <v>0</v>
      </c>
      <c r="LE58" s="6">
        <f>VLOOKUP(LE$39, ELIOT!$G$3:$J$9, 3, FALSE)</f>
        <v>0</v>
      </c>
      <c r="LF58" s="6">
        <f>VLOOKUP(LF$39, ELIOT!$G$3:$J$9, 3, FALSE)</f>
        <v>0</v>
      </c>
      <c r="LG58" s="6">
        <f>VLOOKUP(LG$39, ELIOT!$G$3:$J$9, 3, FALSE)</f>
        <v>0</v>
      </c>
      <c r="LH58" s="6">
        <f>VLOOKUP(LH$39, ELIOT!$G$3:$J$9, 3, FALSE)</f>
        <v>0</v>
      </c>
      <c r="LI58" s="6">
        <f>VLOOKUP(LI$39, ELIOT!$G$3:$J$9, 3, FALSE)</f>
        <v>0</v>
      </c>
      <c r="LJ58" s="6">
        <f>VLOOKUP(LJ$39, ELIOT!$G$3:$J$9, 3, FALSE)</f>
        <v>0</v>
      </c>
      <c r="LK58" s="6">
        <f>VLOOKUP(LK$39, ELIOT!$G$3:$J$9, 3, FALSE)</f>
        <v>0</v>
      </c>
      <c r="LL58" s="6">
        <f>VLOOKUP(LL$39, ELIOT!$G$3:$J$9, 3, FALSE)</f>
        <v>0</v>
      </c>
      <c r="LM58" s="6">
        <f>VLOOKUP(LM$39, ELIOT!$G$3:$J$9, 3, FALSE)</f>
        <v>0</v>
      </c>
      <c r="LN58" s="6">
        <f>VLOOKUP(LN$39, ELIOT!$G$3:$J$9, 3, FALSE)</f>
        <v>0</v>
      </c>
      <c r="LO58" s="6">
        <f>VLOOKUP(LO$39, ELIOT!$G$3:$J$9, 3, FALSE)</f>
        <v>0</v>
      </c>
      <c r="LP58" s="6">
        <f>VLOOKUP(LP$39, ELIOT!$G$3:$J$9, 3, FALSE)</f>
        <v>0</v>
      </c>
      <c r="LQ58" s="6">
        <f>VLOOKUP(LQ$39, ELIOT!$G$3:$J$9, 3, FALSE)</f>
        <v>0</v>
      </c>
      <c r="LR58" s="6">
        <f>VLOOKUP(LR$39, ELIOT!$G$3:$J$9, 3, FALSE)</f>
        <v>0</v>
      </c>
      <c r="LS58" s="6">
        <f>VLOOKUP(LS$39, ELIOT!$G$3:$J$9, 3, FALSE)</f>
        <v>0</v>
      </c>
      <c r="LT58" s="6">
        <f>VLOOKUP(LT$39, ELIOT!$G$3:$J$9, 3, FALSE)</f>
        <v>0</v>
      </c>
      <c r="LU58" s="6">
        <f>VLOOKUP(LU$39, ELIOT!$G$3:$J$9, 3, FALSE)</f>
        <v>0</v>
      </c>
      <c r="LV58" s="6">
        <f>VLOOKUP(LV$39, ELIOT!$G$3:$J$9, 3, FALSE)</f>
        <v>0</v>
      </c>
      <c r="LW58" s="6">
        <f>VLOOKUP(LW$39, ELIOT!$G$3:$J$9, 3, FALSE)</f>
        <v>0</v>
      </c>
      <c r="LX58" s="6">
        <f>VLOOKUP(LX$39, ELIOT!$G$3:$J$9, 3, FALSE)</f>
        <v>0</v>
      </c>
      <c r="LY58" s="6">
        <f>VLOOKUP(LY$39, ELIOT!$G$3:$J$9, 3, FALSE)</f>
        <v>0</v>
      </c>
      <c r="LZ58" s="6">
        <f>VLOOKUP(LZ$39, ELIOT!$G$3:$J$9, 3, FALSE)</f>
        <v>0</v>
      </c>
      <c r="MA58" s="6">
        <f>VLOOKUP(MA$39, ELIOT!$G$3:$J$9, 3, FALSE)</f>
        <v>0</v>
      </c>
      <c r="MB58" s="6">
        <f>VLOOKUP(MB$39, ELIOT!$G$3:$J$9, 3, FALSE)</f>
        <v>0</v>
      </c>
      <c r="MC58" s="6">
        <f>VLOOKUP(MC$39, ELIOT!$G$3:$J$9, 3, FALSE)</f>
        <v>0</v>
      </c>
      <c r="MD58" s="6">
        <f>VLOOKUP(MD$39, ELIOT!$G$3:$J$9, 3, FALSE)</f>
        <v>0</v>
      </c>
      <c r="ME58" s="6">
        <f>VLOOKUP(ME$39, ELIOT!$G$3:$J$9, 3, FALSE)</f>
        <v>0</v>
      </c>
      <c r="MF58" s="6">
        <f>VLOOKUP(MF$39, ELIOT!$G$3:$J$9, 3, FALSE)</f>
        <v>0</v>
      </c>
      <c r="MG58" s="6">
        <f>VLOOKUP(MG$39, ELIOT!$G$3:$J$9, 3, FALSE)</f>
        <v>0</v>
      </c>
      <c r="MH58" s="6">
        <f>VLOOKUP(MH$39, ELIOT!$G$3:$J$9, 3, FALSE)</f>
        <v>0</v>
      </c>
      <c r="MI58" s="6">
        <f>VLOOKUP(MI$39, ELIOT!$G$3:$J$9, 3, FALSE)</f>
        <v>0</v>
      </c>
      <c r="MJ58" s="6">
        <f>VLOOKUP(MJ$39, ELIOT!$G$3:$J$9, 3, FALSE)</f>
        <v>0</v>
      </c>
      <c r="MK58" s="6">
        <f>VLOOKUP(MK$39, ELIOT!$G$3:$J$9, 3, FALSE)</f>
        <v>0</v>
      </c>
      <c r="ML58" s="6">
        <f>VLOOKUP(ML$39, ELIOT!$G$3:$J$9, 3, FALSE)</f>
        <v>0</v>
      </c>
      <c r="MM58" s="6">
        <f>VLOOKUP(MM$39, ELIOT!$G$3:$J$9, 3, FALSE)</f>
        <v>0</v>
      </c>
      <c r="MN58" s="6">
        <f>VLOOKUP(MN$39, ELIOT!$G$3:$J$9, 3, FALSE)</f>
        <v>0</v>
      </c>
      <c r="MO58" s="6">
        <f>VLOOKUP(MO$39, ELIOT!$G$3:$J$9, 3, FALSE)</f>
        <v>0</v>
      </c>
      <c r="MP58" s="6">
        <f>VLOOKUP(MP$39, ELIOT!$G$3:$J$9, 3, FALSE)</f>
        <v>0</v>
      </c>
      <c r="MQ58" s="6">
        <f>VLOOKUP(MQ$39, ELIOT!$G$3:$J$9, 3, FALSE)</f>
        <v>0</v>
      </c>
      <c r="MR58" s="6">
        <f>VLOOKUP(MR$39, ELIOT!$G$3:$J$9, 3, FALSE)</f>
        <v>0</v>
      </c>
      <c r="MS58" s="6">
        <f>VLOOKUP(MS$39, ELIOT!$G$3:$J$9, 3, FALSE)</f>
        <v>0</v>
      </c>
      <c r="MT58" s="6">
        <f>VLOOKUP(MT$39, ELIOT!$G$3:$J$9, 3, FALSE)</f>
        <v>0</v>
      </c>
      <c r="MU58" s="6">
        <f>VLOOKUP(MU$39, ELIOT!$G$3:$J$9, 3, FALSE)</f>
        <v>0</v>
      </c>
      <c r="MV58" s="6">
        <f>VLOOKUP(MV$39, ELIOT!$G$3:$J$9, 3, FALSE)</f>
        <v>0</v>
      </c>
      <c r="MW58" s="6">
        <f>VLOOKUP(MW$39, ELIOT!$G$3:$J$9, 3, FALSE)</f>
        <v>0</v>
      </c>
      <c r="MX58" s="6">
        <f>VLOOKUP(MX$39, ELIOT!$G$3:$J$9, 3, FALSE)</f>
        <v>0</v>
      </c>
      <c r="MY58" s="6">
        <f>VLOOKUP(MY$39, ELIOT!$G$3:$J$9, 3, FALSE)</f>
        <v>0</v>
      </c>
      <c r="MZ58" s="6">
        <f>VLOOKUP(MZ$39, ELIOT!$G$3:$J$9, 3, FALSE)</f>
        <v>0</v>
      </c>
      <c r="NA58" s="6">
        <f>VLOOKUP(NA$39, ELIOT!$G$3:$J$9, 3, FALSE)</f>
        <v>0</v>
      </c>
      <c r="NB58" s="6">
        <f>VLOOKUP(NB$39, ELIOT!$G$3:$J$9, 3, FALSE)</f>
        <v>0</v>
      </c>
      <c r="NC58" s="6">
        <f>VLOOKUP(NC$39, ELIOT!$G$3:$J$9, 3, FALSE)</f>
        <v>0</v>
      </c>
      <c r="ND58" s="6">
        <f>VLOOKUP(ND$39, ELIOT!$G$3:$J$9, 3, FALSE)</f>
        <v>0</v>
      </c>
      <c r="NE58" s="6">
        <f>VLOOKUP(NE$39, ELIOT!$G$3:$J$9, 3, FALSE)</f>
        <v>0.1</v>
      </c>
      <c r="NF58" s="6">
        <f>VLOOKUP(NF$39, ELIOT!$G$3:$J$9, 3, FALSE)</f>
        <v>0.1</v>
      </c>
      <c r="NG58" s="6">
        <f>VLOOKUP(NG$39, ELIOT!$G$3:$J$9, 3, FALSE)</f>
        <v>0.1</v>
      </c>
      <c r="NH58" s="6">
        <f>VLOOKUP(NH$39, ELIOT!$G$3:$J$9, 3, FALSE)</f>
        <v>0.1</v>
      </c>
      <c r="NI58" s="6">
        <f>VLOOKUP(NI$39, ELIOT!$G$3:$J$9, 3, FALSE)</f>
        <v>0.1</v>
      </c>
      <c r="NJ58" s="6">
        <f>VLOOKUP(NJ$39, ELIOT!$G$3:$J$9, 3, FALSE)</f>
        <v>2</v>
      </c>
      <c r="NK58" s="6">
        <f>VLOOKUP(NK$39, ELIOT!$G$3:$J$9, 3, FALSE)</f>
        <v>2</v>
      </c>
      <c r="NL58" s="6">
        <f>VLOOKUP(NL$39, ELIOT!$G$3:$J$9, 3, FALSE)</f>
        <v>2</v>
      </c>
      <c r="NM58" s="6">
        <f>VLOOKUP(NM$39, ELIOT!$G$3:$J$9, 3, FALSE)</f>
        <v>0.1</v>
      </c>
      <c r="NN58" s="6">
        <f>VLOOKUP(NN$39, ELIOT!$G$3:$J$9, 3, FALSE)</f>
        <v>0.1</v>
      </c>
      <c r="NO58" s="6">
        <f>VLOOKUP(NO$39, ELIOT!$G$3:$J$9, 3, FALSE)</f>
        <v>0.1</v>
      </c>
      <c r="NP58" s="6">
        <f>VLOOKUP(NP$39, ELIOT!$G$3:$J$9, 3, FALSE)</f>
        <v>0.1</v>
      </c>
      <c r="NQ58" s="6">
        <f>VLOOKUP(NQ$39, ELIOT!$G$3:$J$9, 3, FALSE)</f>
        <v>0.1</v>
      </c>
      <c r="NR58" s="6">
        <f>VLOOKUP(NR$39, ELIOT!$G$3:$J$9, 3, FALSE)</f>
        <v>0.1</v>
      </c>
      <c r="NS58" s="6">
        <f>VLOOKUP(NS$39, ELIOT!$G$3:$J$9, 3, FALSE)</f>
        <v>0</v>
      </c>
      <c r="NT58" s="6">
        <f>VLOOKUP(NT$39, ELIOT!$G$3:$J$9, 3, FALSE)</f>
        <v>0</v>
      </c>
      <c r="NU58" s="6">
        <f>VLOOKUP(NU$39, ELIOT!$G$3:$J$9, 3, FALSE)</f>
        <v>0</v>
      </c>
      <c r="NV58" s="6">
        <f>VLOOKUP(NV$39, ELIOT!$G$3:$J$9, 3, FALSE)</f>
        <v>0</v>
      </c>
      <c r="NW58" s="6">
        <f>VLOOKUP(NW$39, ELIOT!$G$3:$J$9, 3, FALSE)</f>
        <v>0</v>
      </c>
      <c r="NX58" s="6">
        <f>VLOOKUP(NX$39, ELIOT!$G$3:$J$9, 3, FALSE)</f>
        <v>0</v>
      </c>
      <c r="NY58" s="6">
        <f>VLOOKUP(NY$39, ELIOT!$G$3:$J$9, 3, FALSE)</f>
        <v>0</v>
      </c>
      <c r="NZ58" s="6">
        <f>VLOOKUP(NZ$39, ELIOT!$G$3:$J$9, 3, FALSE)</f>
        <v>0</v>
      </c>
      <c r="OA58" s="6">
        <f>VLOOKUP(OA$39, ELIOT!$G$3:$J$9, 3, FALSE)</f>
        <v>0</v>
      </c>
      <c r="OB58" s="6">
        <f>VLOOKUP(OB$39, ELIOT!$G$3:$J$9, 3, FALSE)</f>
        <v>0</v>
      </c>
      <c r="OC58" s="6">
        <f>VLOOKUP(OC$39, ELIOT!$G$3:$J$9, 3, FALSE)</f>
        <v>0</v>
      </c>
      <c r="OD58" s="6">
        <f>VLOOKUP(OD$39, ELIOT!$G$3:$J$9, 3, FALSE)</f>
        <v>0</v>
      </c>
      <c r="OE58" s="6">
        <f>VLOOKUP(OE$39, ELIOT!$G$3:$J$9, 3, FALSE)</f>
        <v>0</v>
      </c>
      <c r="OF58" s="6">
        <f>VLOOKUP(OF$39, ELIOT!$G$3:$J$9, 3, FALSE)</f>
        <v>0</v>
      </c>
      <c r="OG58" s="6">
        <f>VLOOKUP(OG$39, ELIOT!$G$3:$J$9, 3, FALSE)</f>
        <v>0</v>
      </c>
      <c r="OH58" s="6">
        <f>VLOOKUP(OH$39, ELIOT!$G$3:$J$9, 3, FALSE)</f>
        <v>0</v>
      </c>
      <c r="OI58" s="6">
        <f>VLOOKUP(OI$39, ELIOT!$G$3:$J$9, 3, FALSE)</f>
        <v>0</v>
      </c>
      <c r="OJ58" s="6">
        <f>VLOOKUP(OJ$39, ELIOT!$G$3:$J$9, 3, FALSE)</f>
        <v>0</v>
      </c>
      <c r="OK58" s="6">
        <f>VLOOKUP(OK$39, ELIOT!$G$3:$J$9, 3, FALSE)</f>
        <v>0</v>
      </c>
      <c r="OL58" s="6">
        <f>VLOOKUP(OL$39, ELIOT!$G$3:$J$9, 3, FALSE)</f>
        <v>0</v>
      </c>
      <c r="OM58" s="6">
        <f>VLOOKUP(OM$39, ELIOT!$G$3:$J$9, 3, FALSE)</f>
        <v>0</v>
      </c>
      <c r="ON58" s="6">
        <f>VLOOKUP(ON$39, ELIOT!$G$3:$J$9, 3, FALSE)</f>
        <v>0</v>
      </c>
      <c r="OO58" s="6">
        <f>VLOOKUP(OO$39, ELIOT!$G$3:$J$9, 3, FALSE)</f>
        <v>0</v>
      </c>
      <c r="OP58" s="6">
        <f>VLOOKUP(OP$39, ELIOT!$G$3:$J$9, 3, FALSE)</f>
        <v>0</v>
      </c>
      <c r="OQ58" s="6">
        <f>VLOOKUP(OQ$39, ELIOT!$G$3:$J$9, 3, FALSE)</f>
        <v>0</v>
      </c>
      <c r="OR58" s="6">
        <f>VLOOKUP(OR$39, ELIOT!$G$3:$J$9, 3, FALSE)</f>
        <v>0</v>
      </c>
      <c r="OS58" s="6">
        <f>VLOOKUP(OS$39, ELIOT!$G$3:$J$9, 3, FALSE)</f>
        <v>0</v>
      </c>
      <c r="OT58" s="6">
        <f>VLOOKUP(OT$39, ELIOT!$G$3:$J$9, 3, FALSE)</f>
        <v>0</v>
      </c>
      <c r="OU58" s="6">
        <f>VLOOKUP(OU$39, ELIOT!$G$3:$J$9, 3, FALSE)</f>
        <v>0</v>
      </c>
      <c r="OV58" s="6">
        <f>VLOOKUP(OV$39, ELIOT!$G$3:$J$9, 3, FALSE)</f>
        <v>0</v>
      </c>
      <c r="OW58" s="6">
        <f>VLOOKUP(OW$39, ELIOT!$G$3:$J$9, 3, FALSE)</f>
        <v>0</v>
      </c>
      <c r="OX58" s="6">
        <f>VLOOKUP(OX$39, ELIOT!$G$3:$J$9, 3, FALSE)</f>
        <v>0</v>
      </c>
      <c r="OY58" s="6">
        <f>VLOOKUP(OY$39, ELIOT!$G$3:$J$9, 3, FALSE)</f>
        <v>0</v>
      </c>
      <c r="OZ58" s="6">
        <f>VLOOKUP(OZ$39, ELIOT!$G$3:$J$9, 3, FALSE)</f>
        <v>0</v>
      </c>
      <c r="PA58" s="6">
        <f>VLOOKUP(PA$39, ELIOT!$G$3:$J$9, 3, FALSE)</f>
        <v>0</v>
      </c>
      <c r="PB58" s="6">
        <f>VLOOKUP(PB$39, ELIOT!$G$3:$J$9, 3, FALSE)</f>
        <v>0</v>
      </c>
      <c r="PC58" s="6">
        <f>VLOOKUP(PC$39, ELIOT!$G$3:$J$9, 3, FALSE)</f>
        <v>0</v>
      </c>
      <c r="PD58" s="6">
        <f>VLOOKUP(PD$39, ELIOT!$G$3:$J$9, 3, FALSE)</f>
        <v>0</v>
      </c>
      <c r="PE58" s="6">
        <f>VLOOKUP(PE$39, ELIOT!$G$3:$J$9, 3, FALSE)</f>
        <v>0</v>
      </c>
      <c r="PF58" s="6">
        <f>VLOOKUP(PF$39, ELIOT!$G$3:$J$9, 3, FALSE)</f>
        <v>0</v>
      </c>
      <c r="PG58" s="6">
        <f>VLOOKUP(PG$39, ELIOT!$G$3:$J$9, 3, FALSE)</f>
        <v>0</v>
      </c>
      <c r="PH58" s="6">
        <f>VLOOKUP(PH$39, ELIOT!$G$3:$J$9, 3, FALSE)</f>
        <v>0</v>
      </c>
      <c r="PI58" s="6">
        <f>VLOOKUP(PI$39, ELIOT!$G$3:$J$9, 3, FALSE)</f>
        <v>0</v>
      </c>
      <c r="PJ58" s="6">
        <f>VLOOKUP(PJ$39, ELIOT!$G$3:$J$9, 3, FALSE)</f>
        <v>0</v>
      </c>
      <c r="PK58" s="6">
        <f>VLOOKUP(PK$39, ELIOT!$G$3:$J$9, 3, FALSE)</f>
        <v>0</v>
      </c>
      <c r="PL58" s="6">
        <f>VLOOKUP(PL$39, ELIOT!$G$3:$J$9, 3, FALSE)</f>
        <v>0</v>
      </c>
      <c r="PM58" s="6">
        <f>VLOOKUP(PM$39, ELIOT!$G$3:$J$9, 3, FALSE)</f>
        <v>0</v>
      </c>
      <c r="PN58" s="6">
        <f>VLOOKUP(PN$39, ELIOT!$G$3:$J$9, 3, FALSE)</f>
        <v>0</v>
      </c>
      <c r="PO58" s="6">
        <f>VLOOKUP(PO$39, ELIOT!$G$3:$J$9, 3, FALSE)</f>
        <v>0</v>
      </c>
      <c r="PP58" s="6">
        <f>VLOOKUP(PP$39, ELIOT!$G$3:$J$9, 3, FALSE)</f>
        <v>0</v>
      </c>
      <c r="PQ58" s="6">
        <f>VLOOKUP(PQ$39, ELIOT!$G$3:$J$9, 3, FALSE)</f>
        <v>0</v>
      </c>
      <c r="PR58" s="6">
        <f>VLOOKUP(PR$39, ELIOT!$G$3:$J$9, 3, FALSE)</f>
        <v>0</v>
      </c>
      <c r="PS58" s="6">
        <f>VLOOKUP(PS$39, ELIOT!$G$3:$J$9, 3, FALSE)</f>
        <v>0</v>
      </c>
      <c r="PT58" s="6">
        <f>VLOOKUP(PT$39, ELIOT!$G$3:$J$9, 3, FALSE)</f>
        <v>0.1</v>
      </c>
      <c r="PU58" s="6">
        <f>VLOOKUP(PU$39, ELIOT!$G$3:$J$9, 3, FALSE)</f>
        <v>0.1</v>
      </c>
      <c r="PV58" s="6">
        <f>VLOOKUP(PV$39, ELIOT!$G$3:$J$9, 3, FALSE)</f>
        <v>0.1</v>
      </c>
      <c r="PW58" s="6">
        <f>VLOOKUP(PW$39, ELIOT!$G$3:$J$9, 3, FALSE)</f>
        <v>0.1</v>
      </c>
      <c r="PX58" s="6">
        <f>VLOOKUP(PX$39, ELIOT!$G$3:$J$9, 3, FALSE)</f>
        <v>2</v>
      </c>
      <c r="PY58" s="6">
        <f>VLOOKUP(PY$39, ELIOT!$G$3:$J$9, 3, FALSE)</f>
        <v>2</v>
      </c>
      <c r="PZ58" s="6">
        <f>VLOOKUP(PZ$39, ELIOT!$G$3:$J$9, 3, FALSE)</f>
        <v>2</v>
      </c>
      <c r="QA58" s="6">
        <f>VLOOKUP(QA$39, ELIOT!$G$3:$J$9, 3, FALSE)</f>
        <v>0.1</v>
      </c>
      <c r="QB58" s="6">
        <f>VLOOKUP(QB$39, ELIOT!$G$3:$J$9, 3, FALSE)</f>
        <v>0.1</v>
      </c>
      <c r="QC58" s="6">
        <f>VLOOKUP(QC$39, ELIOT!$G$3:$J$9, 3, FALSE)</f>
        <v>0.1</v>
      </c>
      <c r="QD58" s="6">
        <f>VLOOKUP(QD$39, ELIOT!$G$3:$J$9, 3, FALSE)</f>
        <v>0.1</v>
      </c>
      <c r="QE58" s="6">
        <f>VLOOKUP(QE$39, ELIOT!$G$3:$J$9, 3, FALSE)</f>
        <v>0.1</v>
      </c>
      <c r="QF58" s="6">
        <f>VLOOKUP(QF$39, ELIOT!$G$3:$J$9, 3, FALSE)</f>
        <v>0.1</v>
      </c>
      <c r="QG58" s="6">
        <f>VLOOKUP(QG$39, ELIOT!$G$3:$J$9, 3, FALSE)</f>
        <v>0.1</v>
      </c>
      <c r="QH58" s="6">
        <f>VLOOKUP(QH$39, ELIOT!$G$3:$J$9, 3, FALSE)</f>
        <v>0</v>
      </c>
      <c r="QI58" s="6">
        <f>VLOOKUP(QI$39, ELIOT!$G$3:$J$9, 3, FALSE)</f>
        <v>0</v>
      </c>
      <c r="QJ58" s="6">
        <f>VLOOKUP(QJ$39, ELIOT!$G$3:$J$9, 3, FALSE)</f>
        <v>0</v>
      </c>
      <c r="QK58" s="6">
        <f>VLOOKUP(QK$39, ELIOT!$G$3:$J$9, 3, FALSE)</f>
        <v>0</v>
      </c>
      <c r="QL58" s="6">
        <f>VLOOKUP(QL$39, ELIOT!$G$3:$J$9, 3, FALSE)</f>
        <v>0</v>
      </c>
      <c r="QM58" s="6">
        <f>VLOOKUP(QM$39, ELIOT!$G$3:$J$9, 3, FALSE)</f>
        <v>0</v>
      </c>
      <c r="QN58" s="6">
        <f>VLOOKUP(QN$39, ELIOT!$G$3:$J$9, 3, FALSE)</f>
        <v>0</v>
      </c>
      <c r="QO58" s="6">
        <f>VLOOKUP(QO$39, ELIOT!$G$3:$J$9, 3, FALSE)</f>
        <v>0</v>
      </c>
      <c r="QP58" s="6">
        <f>VLOOKUP(QP$39, ELIOT!$G$3:$J$9, 3, FALSE)</f>
        <v>0</v>
      </c>
      <c r="QQ58" s="6">
        <f>VLOOKUP(QQ$39, ELIOT!$G$3:$J$9, 3, FALSE)</f>
        <v>0</v>
      </c>
      <c r="QR58" s="6">
        <f>VLOOKUP(QR$39, ELIOT!$G$3:$J$9, 3, FALSE)</f>
        <v>0</v>
      </c>
      <c r="QS58" s="6">
        <f>VLOOKUP(QS$39, ELIOT!$G$3:$J$9, 3, FALSE)</f>
        <v>0</v>
      </c>
      <c r="QT58" s="6">
        <f>VLOOKUP(QT$39, ELIOT!$G$3:$J$9, 3, FALSE)</f>
        <v>0</v>
      </c>
      <c r="QU58" s="6">
        <f>VLOOKUP(QU$39, ELIOT!$G$3:$J$9, 3, FALSE)</f>
        <v>0</v>
      </c>
      <c r="QV58" s="6">
        <f>VLOOKUP(QV$39, ELIOT!$G$3:$J$9, 3, FALSE)</f>
        <v>0</v>
      </c>
      <c r="QW58" s="6">
        <f>VLOOKUP(QW$39, ELIOT!$G$3:$J$9, 3, FALSE)</f>
        <v>0</v>
      </c>
      <c r="QX58" s="6">
        <f>VLOOKUP(QX$39, ELIOT!$G$3:$J$9, 3, FALSE)</f>
        <v>0</v>
      </c>
      <c r="QY58" s="6">
        <f>VLOOKUP(QY$39, ELIOT!$G$3:$J$9, 3, FALSE)</f>
        <v>0</v>
      </c>
      <c r="QZ58" s="6">
        <f>VLOOKUP(QZ$39, ELIOT!$G$3:$J$9, 3, FALSE)</f>
        <v>0</v>
      </c>
      <c r="RA58" s="6">
        <f>VLOOKUP(RA$39, ELIOT!$G$3:$J$9, 3, FALSE)</f>
        <v>0</v>
      </c>
      <c r="RB58" s="6">
        <f>VLOOKUP(RB$39, ELIOT!$G$3:$J$9, 3, FALSE)</f>
        <v>0</v>
      </c>
      <c r="RC58" s="6">
        <f>VLOOKUP(RC$39, ELIOT!$G$3:$J$9, 3, FALSE)</f>
        <v>0</v>
      </c>
      <c r="RD58" s="6">
        <f>VLOOKUP(RD$39, ELIOT!$G$3:$J$9, 3, FALSE)</f>
        <v>0</v>
      </c>
      <c r="RE58" s="6">
        <f>VLOOKUP(RE$39, ELIOT!$G$3:$J$9, 3, FALSE)</f>
        <v>0</v>
      </c>
      <c r="RF58" s="6">
        <f>VLOOKUP(RF$39, ELIOT!$G$3:$J$9, 3, FALSE)</f>
        <v>0</v>
      </c>
      <c r="RG58" s="6">
        <f>VLOOKUP(RG$39, ELIOT!$G$3:$J$9, 3, FALSE)</f>
        <v>0</v>
      </c>
      <c r="RH58" s="6">
        <f>VLOOKUP(RH$39, ELIOT!$G$3:$J$9, 3, FALSE)</f>
        <v>0</v>
      </c>
      <c r="RI58" s="6">
        <f>VLOOKUP(RI$39, ELIOT!$G$3:$J$9, 3, FALSE)</f>
        <v>0</v>
      </c>
      <c r="RJ58" s="6">
        <f>VLOOKUP(RJ$39, ELIOT!$G$3:$J$9, 3, FALSE)</f>
        <v>0</v>
      </c>
      <c r="RK58" s="6">
        <f>VLOOKUP(RK$39, ELIOT!$G$3:$J$9, 3, FALSE)</f>
        <v>0</v>
      </c>
      <c r="RL58" s="6">
        <f>VLOOKUP(RL$39, ELIOT!$G$3:$J$9, 3, FALSE)</f>
        <v>0</v>
      </c>
      <c r="RM58" s="6">
        <f>VLOOKUP(RM$39, ELIOT!$G$3:$J$9, 3, FALSE)</f>
        <v>0</v>
      </c>
      <c r="RN58" s="6">
        <f>VLOOKUP(RN$39, ELIOT!$G$3:$J$9, 3, FALSE)</f>
        <v>0</v>
      </c>
      <c r="RO58" s="6">
        <f>VLOOKUP(RO$39, ELIOT!$G$3:$J$9, 3, FALSE)</f>
        <v>0</v>
      </c>
      <c r="RP58" s="6">
        <f>VLOOKUP(RP$39, ELIOT!$G$3:$J$9, 3, FALSE)</f>
        <v>0</v>
      </c>
      <c r="RQ58" s="6">
        <f>VLOOKUP(RQ$39, ELIOT!$G$3:$J$9, 3, FALSE)</f>
        <v>0</v>
      </c>
      <c r="RR58" s="6">
        <f>VLOOKUP(RR$39, ELIOT!$G$3:$J$9, 3, FALSE)</f>
        <v>0</v>
      </c>
      <c r="RS58" s="6">
        <f>VLOOKUP(RS$39, ELIOT!$G$3:$J$9, 3, FALSE)</f>
        <v>0</v>
      </c>
      <c r="RT58" s="6">
        <f>VLOOKUP(RT$39, ELIOT!$G$3:$J$9, 3, FALSE)</f>
        <v>0</v>
      </c>
      <c r="RU58" s="6">
        <f>VLOOKUP(RU$39, ELIOT!$G$3:$J$9, 3, FALSE)</f>
        <v>0</v>
      </c>
      <c r="RV58" s="6">
        <f>VLOOKUP(RV$39, ELIOT!$G$3:$J$9, 3, FALSE)</f>
        <v>0</v>
      </c>
      <c r="RW58" s="6">
        <f>VLOOKUP(RW$39, ELIOT!$G$3:$J$9, 3, FALSE)</f>
        <v>0</v>
      </c>
      <c r="RX58" s="6">
        <f>VLOOKUP(RX$39, ELIOT!$G$3:$J$9, 3, FALSE)</f>
        <v>0</v>
      </c>
      <c r="RY58" s="6">
        <f>VLOOKUP(RY$39, ELIOT!$G$3:$J$9, 3, FALSE)</f>
        <v>0</v>
      </c>
      <c r="RZ58" s="6">
        <f>VLOOKUP(RZ$39, ELIOT!$G$3:$J$9, 3, FALSE)</f>
        <v>0</v>
      </c>
      <c r="SA58" s="6">
        <f>VLOOKUP(SA$39, ELIOT!$G$3:$J$9, 3, FALSE)</f>
        <v>0</v>
      </c>
      <c r="SB58" s="6">
        <f>VLOOKUP(SB$39, ELIOT!$G$3:$J$9, 3, FALSE)</f>
        <v>0</v>
      </c>
      <c r="SC58" s="6">
        <f>VLOOKUP(SC$39, ELIOT!$G$3:$J$9, 3, FALSE)</f>
        <v>0</v>
      </c>
      <c r="SD58" s="6">
        <f>VLOOKUP(SD$39, ELIOT!$G$3:$J$9, 3, FALSE)</f>
        <v>0</v>
      </c>
      <c r="SE58" s="6">
        <f>VLOOKUP(SE$39, ELIOT!$G$3:$J$9, 3, FALSE)</f>
        <v>0</v>
      </c>
      <c r="SF58" s="6">
        <f>VLOOKUP(SF$39, ELIOT!$G$3:$J$9, 3, FALSE)</f>
        <v>0</v>
      </c>
      <c r="SG58" s="6">
        <f>VLOOKUP(SG$39, ELIOT!$G$3:$J$9, 3, FALSE)</f>
        <v>0</v>
      </c>
      <c r="SH58" s="6">
        <f>VLOOKUP(SH$39, ELIOT!$G$3:$J$9, 3, FALSE)</f>
        <v>0</v>
      </c>
      <c r="SI58" s="6">
        <f>VLOOKUP(SI$39, ELIOT!$G$3:$J$9, 3, FALSE)</f>
        <v>0</v>
      </c>
      <c r="SJ58" s="6">
        <f>VLOOKUP(SJ$39, ELIOT!$G$3:$J$9, 3, FALSE)</f>
        <v>0</v>
      </c>
      <c r="SK58" s="6">
        <f>VLOOKUP(SK$39, ELIOT!$G$3:$J$9, 3, FALSE)</f>
        <v>0</v>
      </c>
      <c r="SL58" s="6">
        <f>VLOOKUP(SL$39, ELIOT!$G$3:$J$9, 3, FALSE)</f>
        <v>0</v>
      </c>
      <c r="SM58" s="6">
        <f>VLOOKUP(SM$39, ELIOT!$G$3:$J$9, 3, FALSE)</f>
        <v>0</v>
      </c>
      <c r="SN58" s="6">
        <f>VLOOKUP(SN$39, ELIOT!$G$3:$J$9, 3, FALSE)</f>
        <v>0</v>
      </c>
      <c r="SO58" s="6">
        <f>VLOOKUP(SO$39, ELIOT!$G$3:$J$9, 3, FALSE)</f>
        <v>0</v>
      </c>
      <c r="SP58" s="6">
        <f>VLOOKUP(SP$39, ELIOT!$G$3:$J$9, 3, FALSE)</f>
        <v>0</v>
      </c>
      <c r="SQ58" s="6">
        <f>VLOOKUP(SQ$39, ELIOT!$G$3:$J$9, 3, FALSE)</f>
        <v>0</v>
      </c>
      <c r="SR58" s="6">
        <f>VLOOKUP(SR$39, ELIOT!$G$3:$J$9, 3, FALSE)</f>
        <v>0</v>
      </c>
      <c r="SS58" s="6">
        <f>VLOOKUP(SS$39, ELIOT!$G$3:$J$9, 3, FALSE)</f>
        <v>0.1</v>
      </c>
      <c r="ST58" s="6">
        <f>VLOOKUP(ST$39, ELIOT!$G$3:$J$9, 3, FALSE)</f>
        <v>0.1</v>
      </c>
      <c r="SU58" s="6">
        <f>VLOOKUP(SU$39, ELIOT!$G$3:$J$9, 3, FALSE)</f>
        <v>0.1</v>
      </c>
      <c r="SV58" s="6">
        <f>VLOOKUP(SV$39, ELIOT!$G$3:$J$9, 3, FALSE)</f>
        <v>0.1</v>
      </c>
      <c r="SW58" s="6">
        <f>VLOOKUP(SW$39, ELIOT!$G$3:$J$9, 3, FALSE)</f>
        <v>0.1</v>
      </c>
      <c r="SX58" s="6">
        <f>VLOOKUP(SX$39, ELIOT!$G$3:$J$9, 3, FALSE)</f>
        <v>2</v>
      </c>
      <c r="SY58" s="6">
        <f>VLOOKUP(SY$39, ELIOT!$G$3:$J$9, 3, FALSE)</f>
        <v>2</v>
      </c>
      <c r="SZ58" s="6">
        <f>VLOOKUP(SZ$39, ELIOT!$G$3:$J$9, 3, FALSE)</f>
        <v>2</v>
      </c>
      <c r="TA58" s="6">
        <f>VLOOKUP(TA$39, ELIOT!$G$3:$J$9, 3, FALSE)</f>
        <v>0.1</v>
      </c>
      <c r="TB58" s="6">
        <f>VLOOKUP(TB$39, ELIOT!$G$3:$J$9, 3, FALSE)</f>
        <v>0.1</v>
      </c>
      <c r="TC58" s="6">
        <f>VLOOKUP(TC$39, ELIOT!$G$3:$J$9, 3, FALSE)</f>
        <v>0.1</v>
      </c>
      <c r="TD58" s="6">
        <f>VLOOKUP(TD$39, ELIOT!$G$3:$J$9, 3, FALSE)</f>
        <v>0.1</v>
      </c>
      <c r="TE58" s="6">
        <f>VLOOKUP(TE$39, ELIOT!$G$3:$J$9, 3, FALSE)</f>
        <v>0.1</v>
      </c>
      <c r="TF58" s="6">
        <f>VLOOKUP(TF$39, ELIOT!$G$3:$J$9, 3, FALSE)</f>
        <v>0.1</v>
      </c>
      <c r="TG58" s="6">
        <f>VLOOKUP(TG$39, ELIOT!$G$3:$J$9, 3, FALSE)</f>
        <v>0</v>
      </c>
      <c r="TH58" s="6">
        <f>VLOOKUP(TH$39, ELIOT!$G$3:$J$9, 3, FALSE)</f>
        <v>0</v>
      </c>
      <c r="TI58" s="6">
        <f>VLOOKUP(TI$39, ELIOT!$G$3:$J$9, 3, FALSE)</f>
        <v>0</v>
      </c>
      <c r="TJ58" s="6">
        <f>VLOOKUP(TJ$39, ELIOT!$G$3:$J$9, 3, FALSE)</f>
        <v>0</v>
      </c>
      <c r="TK58" s="6">
        <f>VLOOKUP(TK$39, ELIOT!$G$3:$J$9, 3, FALSE)</f>
        <v>0</v>
      </c>
      <c r="TL58" s="6">
        <f>VLOOKUP(TL$39, ELIOT!$G$3:$J$9, 3, FALSE)</f>
        <v>0</v>
      </c>
      <c r="TM58" s="6">
        <f>VLOOKUP(TM$39, ELIOT!$G$3:$J$9, 3, FALSE)</f>
        <v>0</v>
      </c>
      <c r="TN58" s="6">
        <f>VLOOKUP(TN$39, ELIOT!$G$3:$J$9, 3, FALSE)</f>
        <v>0</v>
      </c>
      <c r="TO58" s="6">
        <f>VLOOKUP(TO$39, ELIOT!$G$3:$J$9, 3, FALSE)</f>
        <v>0</v>
      </c>
      <c r="TP58" s="6">
        <f>VLOOKUP(TP$39, ELIOT!$G$3:$J$9, 3, FALSE)</f>
        <v>0</v>
      </c>
      <c r="TQ58" s="6">
        <f>VLOOKUP(TQ$39, ELIOT!$G$3:$J$9, 3, FALSE)</f>
        <v>0</v>
      </c>
      <c r="TR58" s="6">
        <f>VLOOKUP(TR$39, ELIOT!$G$3:$J$9, 3, FALSE)</f>
        <v>0</v>
      </c>
      <c r="TS58" s="6">
        <f>VLOOKUP(TS$39, ELIOT!$G$3:$J$9, 3, FALSE)</f>
        <v>0</v>
      </c>
      <c r="TT58" s="6">
        <f>VLOOKUP(TT$39, ELIOT!$G$3:$J$9, 3, FALSE)</f>
        <v>0</v>
      </c>
      <c r="TU58" s="6">
        <f>VLOOKUP(TU$39, ELIOT!$G$3:$J$9, 3, FALSE)</f>
        <v>0</v>
      </c>
      <c r="TV58" s="6">
        <f>VLOOKUP(TV$39, ELIOT!$G$3:$J$9, 3, FALSE)</f>
        <v>0</v>
      </c>
      <c r="TW58" s="6">
        <f>VLOOKUP(TW$39, ELIOT!$G$3:$J$9, 3, FALSE)</f>
        <v>0</v>
      </c>
      <c r="TX58" s="6">
        <f>VLOOKUP(TX$39, ELIOT!$G$3:$J$9, 3, FALSE)</f>
        <v>0</v>
      </c>
      <c r="TY58" s="6">
        <f>VLOOKUP(TY$39, ELIOT!$G$3:$J$9, 3, FALSE)</f>
        <v>0</v>
      </c>
      <c r="TZ58" s="6">
        <f>VLOOKUP(TZ$39, ELIOT!$G$3:$J$9, 3, FALSE)</f>
        <v>0</v>
      </c>
      <c r="UA58" s="6">
        <f>VLOOKUP(UA$39, ELIOT!$G$3:$J$9, 3, FALSE)</f>
        <v>0</v>
      </c>
      <c r="UB58" s="6">
        <f>VLOOKUP(UB$39, ELIOT!$G$3:$J$9, 3, FALSE)</f>
        <v>0</v>
      </c>
      <c r="UC58" s="6">
        <f>VLOOKUP(UC$39, ELIOT!$G$3:$J$9, 3, FALSE)</f>
        <v>0</v>
      </c>
      <c r="UD58" s="6">
        <f>VLOOKUP(UD$39, ELIOT!$G$3:$J$9, 3, FALSE)</f>
        <v>0</v>
      </c>
      <c r="UE58" s="6">
        <f>VLOOKUP(UE$39, ELIOT!$G$3:$J$9, 3, FALSE)</f>
        <v>0</v>
      </c>
      <c r="UF58" s="6">
        <f>VLOOKUP(UF$39, ELIOT!$G$3:$J$9, 3, FALSE)</f>
        <v>0</v>
      </c>
      <c r="UG58" s="6">
        <f>VLOOKUP(UG$39, ELIOT!$G$3:$J$9, 3, FALSE)</f>
        <v>0</v>
      </c>
      <c r="UH58" s="6">
        <f>VLOOKUP(UH$39, ELIOT!$G$3:$J$9, 3, FALSE)</f>
        <v>0</v>
      </c>
      <c r="UI58" s="6">
        <f>VLOOKUP(UI$39, ELIOT!$G$3:$J$9, 3, FALSE)</f>
        <v>0</v>
      </c>
      <c r="UJ58" s="6">
        <f>VLOOKUP(UJ$39, ELIOT!$G$3:$J$9, 3, FALSE)</f>
        <v>0</v>
      </c>
      <c r="UK58" s="6">
        <f>VLOOKUP(UK$39, ELIOT!$G$3:$J$9, 3, FALSE)</f>
        <v>0</v>
      </c>
      <c r="UL58" s="6">
        <f>VLOOKUP(UL$39, ELIOT!$G$3:$J$9, 3, FALSE)</f>
        <v>0</v>
      </c>
      <c r="UM58" s="6">
        <f>VLOOKUP(UM$39, ELIOT!$G$3:$J$9, 3, FALSE)</f>
        <v>0</v>
      </c>
      <c r="UN58" s="6">
        <f>VLOOKUP(UN$39, ELIOT!$G$3:$J$9, 3, FALSE)</f>
        <v>0</v>
      </c>
      <c r="UO58" s="6">
        <f>VLOOKUP(UO$39, ELIOT!$G$3:$J$9, 3, FALSE)</f>
        <v>0</v>
      </c>
      <c r="UP58" s="6">
        <f>VLOOKUP(UP$39, ELIOT!$G$3:$J$9, 3, FALSE)</f>
        <v>0</v>
      </c>
      <c r="UQ58" s="6">
        <f>VLOOKUP(UQ$39, ELIOT!$G$3:$J$9, 3, FALSE)</f>
        <v>0</v>
      </c>
      <c r="UR58" s="6">
        <f>VLOOKUP(UR$39, ELIOT!$G$3:$J$9, 3, FALSE)</f>
        <v>0</v>
      </c>
      <c r="US58" s="6">
        <f>VLOOKUP(US$39, ELIOT!$G$3:$J$9, 3, FALSE)</f>
        <v>0</v>
      </c>
      <c r="UT58" s="6">
        <f>VLOOKUP(UT$39, ELIOT!$G$3:$J$9, 3, FALSE)</f>
        <v>0</v>
      </c>
      <c r="UU58" s="6">
        <f>VLOOKUP(UU$39, ELIOT!$G$3:$J$9, 3, FALSE)</f>
        <v>0</v>
      </c>
      <c r="UV58" s="6">
        <f>VLOOKUP(UV$39, ELIOT!$G$3:$J$9, 3, FALSE)</f>
        <v>0</v>
      </c>
      <c r="UW58" s="6">
        <f>VLOOKUP(UW$39, ELIOT!$G$3:$J$9, 3, FALSE)</f>
        <v>0</v>
      </c>
      <c r="UX58" s="6">
        <f>VLOOKUP(UX$39, ELIOT!$G$3:$J$9, 3, FALSE)</f>
        <v>0</v>
      </c>
      <c r="UY58" s="6">
        <f>VLOOKUP(UY$39, ELIOT!$G$3:$J$9, 3, FALSE)</f>
        <v>0</v>
      </c>
      <c r="UZ58" s="6">
        <f>VLOOKUP(UZ$39, ELIOT!$G$3:$J$9, 3, FALSE)</f>
        <v>0</v>
      </c>
      <c r="VA58" s="6">
        <f>VLOOKUP(VA$39, ELIOT!$G$3:$J$9, 3, FALSE)</f>
        <v>0</v>
      </c>
      <c r="VB58" s="6">
        <f>VLOOKUP(VB$39, ELIOT!$G$3:$J$9, 3, FALSE)</f>
        <v>0</v>
      </c>
      <c r="VC58" s="6">
        <f>VLOOKUP(VC$39, ELIOT!$G$3:$J$9, 3, FALSE)</f>
        <v>0</v>
      </c>
      <c r="VD58" s="6">
        <f>VLOOKUP(VD$39, ELIOT!$G$3:$J$9, 3, FALSE)</f>
        <v>0</v>
      </c>
      <c r="VE58" s="6">
        <f>VLOOKUP(VE$39, ELIOT!$G$3:$J$9, 3, FALSE)</f>
        <v>0</v>
      </c>
      <c r="VF58" s="6">
        <f>VLOOKUP(VF$39, ELIOT!$G$3:$J$9, 3, FALSE)</f>
        <v>0</v>
      </c>
      <c r="VG58" s="6">
        <f>VLOOKUP(VG$39, ELIOT!$G$3:$J$9, 3, FALSE)</f>
        <v>0</v>
      </c>
      <c r="VH58" s="6">
        <f>VLOOKUP(VH$39, ELIOT!$G$3:$J$9, 3, FALSE)</f>
        <v>0.1</v>
      </c>
      <c r="VI58" s="6">
        <f>VLOOKUP(VI$39, ELIOT!$G$3:$J$9, 3, FALSE)</f>
        <v>0.1</v>
      </c>
      <c r="VJ58" s="6">
        <f>VLOOKUP(VJ$39, ELIOT!$G$3:$J$9, 3, FALSE)</f>
        <v>0.1</v>
      </c>
      <c r="VK58" s="6">
        <f>VLOOKUP(VK$39, ELIOT!$G$3:$J$9, 3, FALSE)</f>
        <v>0.1</v>
      </c>
      <c r="VL58" s="6">
        <f>VLOOKUP(VL$39, ELIOT!$G$3:$J$9, 3, FALSE)</f>
        <v>2</v>
      </c>
      <c r="VM58" s="6">
        <f>VLOOKUP(VM$39, ELIOT!$G$3:$J$9, 3, FALSE)</f>
        <v>2</v>
      </c>
      <c r="VN58" s="6">
        <f>VLOOKUP(VN$39, ELIOT!$G$3:$J$9, 3, FALSE)</f>
        <v>2</v>
      </c>
      <c r="VO58" s="6">
        <f>VLOOKUP(VO$39, ELIOT!$G$3:$J$9, 3, FALSE)</f>
        <v>0.1</v>
      </c>
      <c r="VP58" s="6">
        <f>VLOOKUP(VP$39, ELIOT!$G$3:$J$9, 3, FALSE)</f>
        <v>0.1</v>
      </c>
      <c r="VQ58" s="6">
        <f>VLOOKUP(VQ$39, ELIOT!$G$3:$J$9, 3, FALSE)</f>
        <v>0.1</v>
      </c>
      <c r="VR58" s="6">
        <f>VLOOKUP(VR$39, ELIOT!$G$3:$J$9, 3, FALSE)</f>
        <v>0.1</v>
      </c>
      <c r="VS58" s="6">
        <f>VLOOKUP(VS$39, ELIOT!$G$3:$J$9, 3, FALSE)</f>
        <v>0.1</v>
      </c>
      <c r="VT58" s="6">
        <f>VLOOKUP(VT$39, ELIOT!$G$3:$J$9, 3, FALSE)</f>
        <v>0.1</v>
      </c>
      <c r="VU58" s="6">
        <f>VLOOKUP(VU$39, ELIOT!$G$3:$J$9, 3, FALSE)</f>
        <v>0.1</v>
      </c>
      <c r="VV58" s="6">
        <f>VLOOKUP(VV$39, ELIOT!$G$3:$J$9, 3, FALSE)</f>
        <v>0</v>
      </c>
      <c r="VW58" s="6">
        <f>VLOOKUP(VW$39, ELIOT!$G$3:$J$9, 3, FALSE)</f>
        <v>0</v>
      </c>
      <c r="VX58" s="6">
        <f>VLOOKUP(VX$39, ELIOT!$G$3:$J$9, 3, FALSE)</f>
        <v>0</v>
      </c>
      <c r="VY58" s="6">
        <f>VLOOKUP(VY$39, ELIOT!$G$3:$J$9, 3, FALSE)</f>
        <v>0</v>
      </c>
      <c r="VZ58" s="6">
        <f>VLOOKUP(VZ$39, ELIOT!$G$3:$J$9, 3, FALSE)</f>
        <v>0</v>
      </c>
      <c r="WA58" s="6">
        <f>VLOOKUP(WA$39, ELIOT!$G$3:$J$9, 3, FALSE)</f>
        <v>0</v>
      </c>
      <c r="WB58" s="6">
        <f>VLOOKUP(WB$39, ELIOT!$G$3:$J$9, 3, FALSE)</f>
        <v>0</v>
      </c>
      <c r="WC58" s="6">
        <f>VLOOKUP(WC$39, ELIOT!$G$3:$J$9, 3, FALSE)</f>
        <v>0</v>
      </c>
      <c r="WD58" s="6">
        <f>VLOOKUP(WD$39, ELIOT!$G$3:$J$9, 3, FALSE)</f>
        <v>0</v>
      </c>
      <c r="WE58" s="6">
        <f>VLOOKUP(WE$39, ELIOT!$G$3:$J$9, 3, FALSE)</f>
        <v>0</v>
      </c>
      <c r="WF58" s="6">
        <f>VLOOKUP(WF$39, ELIOT!$G$3:$J$9, 3, FALSE)</f>
        <v>0</v>
      </c>
      <c r="WG58" s="6">
        <f>VLOOKUP(WG$39, ELIOT!$G$3:$J$9, 3, FALSE)</f>
        <v>0</v>
      </c>
      <c r="WH58" s="6">
        <f>VLOOKUP(WH$39, ELIOT!$G$3:$J$9, 3, FALSE)</f>
        <v>0</v>
      </c>
      <c r="WI58" s="6">
        <f>VLOOKUP(WI$39, ELIOT!$G$3:$J$9, 3, FALSE)</f>
        <v>0</v>
      </c>
      <c r="WJ58" s="6">
        <f>VLOOKUP(WJ$39, ELIOT!$G$3:$J$9, 3, FALSE)</f>
        <v>0</v>
      </c>
      <c r="WK58" s="6">
        <f>VLOOKUP(WK$39, ELIOT!$G$3:$J$9, 3, FALSE)</f>
        <v>0</v>
      </c>
      <c r="WL58" s="6">
        <f>VLOOKUP(WL$39, ELIOT!$G$3:$J$9, 3, FALSE)</f>
        <v>0</v>
      </c>
      <c r="WM58" s="6">
        <f>VLOOKUP(WM$39, ELIOT!$G$3:$J$9, 3, FALSE)</f>
        <v>0</v>
      </c>
      <c r="WN58" s="6">
        <f>VLOOKUP(WN$39, ELIOT!$G$3:$J$9, 3, FALSE)</f>
        <v>0</v>
      </c>
      <c r="WO58" s="6">
        <f>VLOOKUP(WO$39, ELIOT!$G$3:$J$9, 3, FALSE)</f>
        <v>0</v>
      </c>
      <c r="WP58" s="6">
        <f>VLOOKUP(WP$39, ELIOT!$G$3:$J$9, 3, FALSE)</f>
        <v>0</v>
      </c>
      <c r="WQ58" s="6">
        <f>VLOOKUP(WQ$39, ELIOT!$G$3:$J$9, 3, FALSE)</f>
        <v>0</v>
      </c>
      <c r="WR58" s="6">
        <f>VLOOKUP(WR$39, ELIOT!$G$3:$J$9, 3, FALSE)</f>
        <v>0</v>
      </c>
      <c r="WS58" s="6">
        <f>VLOOKUP(WS$39, ELIOT!$G$3:$J$9, 3, FALSE)</f>
        <v>0</v>
      </c>
      <c r="WT58" s="6">
        <f>VLOOKUP(WT$39, ELIOT!$G$3:$J$9, 3, FALSE)</f>
        <v>0</v>
      </c>
      <c r="WU58" s="6">
        <f>VLOOKUP(WU$39, ELIOT!$G$3:$J$9, 3, FALSE)</f>
        <v>0</v>
      </c>
      <c r="WV58" s="6">
        <f>VLOOKUP(WV$39, ELIOT!$G$3:$J$9, 3, FALSE)</f>
        <v>0</v>
      </c>
      <c r="WW58" s="6">
        <f>VLOOKUP(WW$39, ELIOT!$G$3:$J$9, 3, FALSE)</f>
        <v>0</v>
      </c>
      <c r="WX58" s="6">
        <f>VLOOKUP(WX$39, ELIOT!$G$3:$J$9, 3, FALSE)</f>
        <v>0</v>
      </c>
      <c r="WY58" s="6">
        <f>VLOOKUP(WY$39, ELIOT!$G$3:$J$9, 3, FALSE)</f>
        <v>0</v>
      </c>
      <c r="WZ58" s="6">
        <f>VLOOKUP(WZ$39, ELIOT!$G$3:$J$9, 3, FALSE)</f>
        <v>0</v>
      </c>
      <c r="XA58" s="6">
        <f>VLOOKUP(XA$39, ELIOT!$G$3:$J$9, 3, FALSE)</f>
        <v>0</v>
      </c>
      <c r="XB58" s="6">
        <f>VLOOKUP(XB$39, ELIOT!$G$3:$J$9, 3, FALSE)</f>
        <v>0</v>
      </c>
      <c r="XC58" s="6">
        <f>VLOOKUP(XC$39, ELIOT!$G$3:$J$9, 3, FALSE)</f>
        <v>0</v>
      </c>
      <c r="XD58" s="6">
        <f>VLOOKUP(XD$39, ELIOT!$G$3:$J$9, 3, FALSE)</f>
        <v>0</v>
      </c>
      <c r="XE58" s="6">
        <f>VLOOKUP(XE$39, ELIOT!$G$3:$J$9, 3, FALSE)</f>
        <v>0</v>
      </c>
      <c r="XF58" s="6">
        <f>VLOOKUP(XF$39, ELIOT!$G$3:$J$9, 3, FALSE)</f>
        <v>0</v>
      </c>
      <c r="XG58" s="6">
        <f>VLOOKUP(XG$39, ELIOT!$G$3:$J$9, 3, FALSE)</f>
        <v>0</v>
      </c>
      <c r="XH58" s="6">
        <f>VLOOKUP(XH$39, ELIOT!$G$3:$J$9, 3, FALSE)</f>
        <v>0</v>
      </c>
      <c r="XI58" s="6">
        <f>VLOOKUP(XI$39, ELIOT!$G$3:$J$9, 3, FALSE)</f>
        <v>0</v>
      </c>
      <c r="XJ58" s="6">
        <f>VLOOKUP(XJ$39, ELIOT!$G$3:$J$9, 3, FALSE)</f>
        <v>0</v>
      </c>
      <c r="XK58" s="6">
        <f>VLOOKUP(XK$39, ELIOT!$G$3:$J$9, 3, FALSE)</f>
        <v>0</v>
      </c>
      <c r="XL58" s="6">
        <f>VLOOKUP(XL$39, ELIOT!$G$3:$J$9, 3, FALSE)</f>
        <v>0</v>
      </c>
      <c r="XM58" s="6">
        <f>VLOOKUP(XM$39, ELIOT!$G$3:$J$9, 3, FALSE)</f>
        <v>0</v>
      </c>
      <c r="XN58" s="6">
        <f>VLOOKUP(XN$39, ELIOT!$G$3:$J$9, 3, FALSE)</f>
        <v>0</v>
      </c>
      <c r="XO58" s="6">
        <f>VLOOKUP(XO$39, ELIOT!$G$3:$J$9, 3, FALSE)</f>
        <v>0</v>
      </c>
      <c r="XP58" s="6">
        <f>VLOOKUP(XP$39, ELIOT!$G$3:$J$9, 3, FALSE)</f>
        <v>0</v>
      </c>
      <c r="XQ58" s="6">
        <f>VLOOKUP(XQ$39, ELIOT!$G$3:$J$9, 3, FALSE)</f>
        <v>0</v>
      </c>
      <c r="XR58" s="6">
        <f>VLOOKUP(XR$39, ELIOT!$G$3:$J$9, 3, FALSE)</f>
        <v>0</v>
      </c>
      <c r="XS58" s="6">
        <f>VLOOKUP(XS$39, ELIOT!$G$3:$J$9, 3, FALSE)</f>
        <v>0</v>
      </c>
      <c r="XT58" s="6">
        <f>VLOOKUP(XT$39, ELIOT!$G$3:$J$9, 3, FALSE)</f>
        <v>0</v>
      </c>
      <c r="XU58" s="6">
        <f>VLOOKUP(XU$39, ELIOT!$G$3:$J$9, 3, FALSE)</f>
        <v>0</v>
      </c>
      <c r="XV58" s="6">
        <f>VLOOKUP(XV$39, ELIOT!$G$3:$J$9, 3, FALSE)</f>
        <v>0</v>
      </c>
      <c r="XW58" s="6">
        <f>VLOOKUP(XW$39, ELIOT!$G$3:$J$9, 3, FALSE)</f>
        <v>0</v>
      </c>
      <c r="XX58" s="6">
        <f>VLOOKUP(XX$39, ELIOT!$G$3:$J$9, 3, FALSE)</f>
        <v>0</v>
      </c>
      <c r="XY58" s="6">
        <f>VLOOKUP(XY$39, ELIOT!$G$3:$J$9, 3, FALSE)</f>
        <v>0</v>
      </c>
      <c r="XZ58" s="6">
        <f>VLOOKUP(XZ$39, ELIOT!$G$3:$J$9, 3, FALSE)</f>
        <v>0</v>
      </c>
      <c r="YA58" s="6">
        <f>VLOOKUP(YA$39, ELIOT!$G$3:$J$9, 3, FALSE)</f>
        <v>0</v>
      </c>
      <c r="YB58" s="6">
        <f>VLOOKUP(YB$39, ELIOT!$G$3:$J$9, 3, FALSE)</f>
        <v>0</v>
      </c>
      <c r="YC58" s="6">
        <f>VLOOKUP(YC$39, ELIOT!$G$3:$J$9, 3, FALSE)</f>
        <v>0</v>
      </c>
      <c r="YD58" s="6">
        <f>VLOOKUP(YD$39, ELIOT!$G$3:$J$9, 3, FALSE)</f>
        <v>0</v>
      </c>
      <c r="YE58" s="6">
        <f>VLOOKUP(YE$39, ELIOT!$G$3:$J$9, 3, FALSE)</f>
        <v>0</v>
      </c>
      <c r="YF58" s="6">
        <f>VLOOKUP(YF$39, ELIOT!$G$3:$J$9, 3, FALSE)</f>
        <v>0</v>
      </c>
      <c r="YG58" s="6">
        <f>VLOOKUP(YG$39, ELIOT!$G$3:$J$9, 3, FALSE)</f>
        <v>0.1</v>
      </c>
      <c r="YH58" s="6">
        <f>VLOOKUP(YH$39, ELIOT!$G$3:$J$9, 3, FALSE)</f>
        <v>0.1</v>
      </c>
      <c r="YI58" s="6">
        <f>VLOOKUP(YI$39, ELIOT!$G$3:$J$9, 3, FALSE)</f>
        <v>0.1</v>
      </c>
      <c r="YJ58" s="6">
        <f>VLOOKUP(YJ$39, ELIOT!$G$3:$J$9, 3, FALSE)</f>
        <v>0.1</v>
      </c>
      <c r="YK58" s="6">
        <f>VLOOKUP(YK$39, ELIOT!$G$3:$J$9, 3, FALSE)</f>
        <v>0.1</v>
      </c>
      <c r="YL58" s="6">
        <f>VLOOKUP(YL$39, ELIOT!$G$3:$J$9, 3, FALSE)</f>
        <v>2</v>
      </c>
      <c r="YM58" s="6">
        <f>VLOOKUP(YM$39, ELIOT!$G$3:$J$9, 3, FALSE)</f>
        <v>2</v>
      </c>
      <c r="YN58" s="6">
        <f>VLOOKUP(YN$39, ELIOT!$G$3:$J$9, 3, FALSE)</f>
        <v>2</v>
      </c>
      <c r="YO58" s="6">
        <f>VLOOKUP(YO$39, ELIOT!$G$3:$J$9, 3, FALSE)</f>
        <v>0.1</v>
      </c>
      <c r="YP58" s="6">
        <f>VLOOKUP(YP$39, ELIOT!$G$3:$J$9, 3, FALSE)</f>
        <v>0.1</v>
      </c>
      <c r="YQ58" s="6">
        <f>VLOOKUP(YQ$39, ELIOT!$G$3:$J$9, 3, FALSE)</f>
        <v>0.1</v>
      </c>
      <c r="YR58" s="6">
        <f>VLOOKUP(YR$39, ELIOT!$G$3:$J$9, 3, FALSE)</f>
        <v>0.1</v>
      </c>
      <c r="YS58" s="6">
        <f>VLOOKUP(YS$39, ELIOT!$G$3:$J$9, 3, FALSE)</f>
        <v>0.1</v>
      </c>
      <c r="YT58" s="6">
        <f>VLOOKUP(YT$39, ELIOT!$G$3:$J$9, 3, FALSE)</f>
        <v>0.1</v>
      </c>
      <c r="YU58" s="6">
        <f>VLOOKUP(YU$39, ELIOT!$G$3:$J$9, 3, FALSE)</f>
        <v>0</v>
      </c>
      <c r="YV58" s="6">
        <f>VLOOKUP(YV$39, ELIOT!$G$3:$J$9, 3, FALSE)</f>
        <v>0</v>
      </c>
      <c r="YW58" s="6">
        <f>VLOOKUP(YW$39, ELIOT!$G$3:$J$9, 3, FALSE)</f>
        <v>0</v>
      </c>
      <c r="YX58" s="6">
        <f>VLOOKUP(YX$39, ELIOT!$G$3:$J$9, 3, FALSE)</f>
        <v>0</v>
      </c>
      <c r="YY58" s="6">
        <f>VLOOKUP(YY$39, ELIOT!$G$3:$J$9, 3, FALSE)</f>
        <v>0</v>
      </c>
      <c r="YZ58" s="6">
        <f>VLOOKUP(YZ$39, ELIOT!$G$3:$J$9, 3, FALSE)</f>
        <v>0</v>
      </c>
      <c r="ZA58" s="6">
        <f>VLOOKUP(ZA$39, ELIOT!$G$3:$J$9, 3, FALSE)</f>
        <v>0</v>
      </c>
      <c r="ZB58" s="6">
        <f>VLOOKUP(ZB$39, ELIOT!$G$3:$J$9, 3, FALSE)</f>
        <v>0</v>
      </c>
      <c r="ZC58" s="6">
        <f>VLOOKUP(ZC$39, ELIOT!$G$3:$J$9, 3, FALSE)</f>
        <v>0</v>
      </c>
      <c r="ZD58" s="6">
        <f>VLOOKUP(ZD$39, ELIOT!$G$3:$J$9, 3, FALSE)</f>
        <v>0</v>
      </c>
      <c r="ZE58" s="6">
        <f>VLOOKUP(ZE$39, ELIOT!$G$3:$J$9, 3, FALSE)</f>
        <v>0</v>
      </c>
      <c r="ZF58" s="6">
        <f>VLOOKUP(ZF$39, ELIOT!$G$3:$J$9, 3, FALSE)</f>
        <v>0</v>
      </c>
      <c r="ZG58" s="6">
        <f>VLOOKUP(ZG$39, ELIOT!$G$3:$J$9, 3, FALSE)</f>
        <v>0</v>
      </c>
      <c r="ZH58" s="6">
        <f>VLOOKUP(ZH$39, ELIOT!$G$3:$J$9, 3, FALSE)</f>
        <v>0</v>
      </c>
      <c r="ZI58" s="6">
        <f>VLOOKUP(ZI$39, ELIOT!$G$3:$J$9, 3, FALSE)</f>
        <v>0</v>
      </c>
      <c r="ZJ58" s="6">
        <f>VLOOKUP(ZJ$39, ELIOT!$G$3:$J$9, 3, FALSE)</f>
        <v>0</v>
      </c>
      <c r="ZK58" s="6">
        <f>VLOOKUP(ZK$39, ELIOT!$G$3:$J$9, 3, FALSE)</f>
        <v>0</v>
      </c>
      <c r="ZL58" s="6">
        <f>VLOOKUP(ZL$39, ELIOT!$G$3:$J$9, 3, FALSE)</f>
        <v>0</v>
      </c>
      <c r="ZM58" s="6">
        <f>VLOOKUP(ZM$39, ELIOT!$G$3:$J$9, 3, FALSE)</f>
        <v>0</v>
      </c>
      <c r="ZN58" s="6">
        <f>VLOOKUP(ZN$39, ELIOT!$G$3:$J$9, 3, FALSE)</f>
        <v>0</v>
      </c>
      <c r="ZO58" s="6">
        <f>VLOOKUP(ZO$39, ELIOT!$G$3:$J$9, 3, FALSE)</f>
        <v>0</v>
      </c>
      <c r="ZP58" s="6">
        <f>VLOOKUP(ZP$39, ELIOT!$G$3:$J$9, 3, FALSE)</f>
        <v>0</v>
      </c>
      <c r="ZQ58" s="6">
        <f>VLOOKUP(ZQ$39, ELIOT!$G$3:$J$9, 3, FALSE)</f>
        <v>0</v>
      </c>
      <c r="ZR58" s="6">
        <f>VLOOKUP(ZR$39, ELIOT!$G$3:$J$9, 3, FALSE)</f>
        <v>0</v>
      </c>
      <c r="ZS58" s="6">
        <f>VLOOKUP(ZS$39, ELIOT!$G$3:$J$9, 3, FALSE)</f>
        <v>0</v>
      </c>
      <c r="ZT58" s="6">
        <f>VLOOKUP(ZT$39, ELIOT!$G$3:$J$9, 3, FALSE)</f>
        <v>0</v>
      </c>
      <c r="ZU58" s="6">
        <f>VLOOKUP(ZU$39, ELIOT!$G$3:$J$9, 3, FALSE)</f>
        <v>0</v>
      </c>
      <c r="ZV58" s="6">
        <f>VLOOKUP(ZV$39, ELIOT!$G$3:$J$9, 3, FALSE)</f>
        <v>0</v>
      </c>
      <c r="ZW58" s="6">
        <f>VLOOKUP(ZW$39, ELIOT!$G$3:$J$9, 3, FALSE)</f>
        <v>0</v>
      </c>
      <c r="ZX58" s="6">
        <f>VLOOKUP(ZX$39, ELIOT!$G$3:$J$9, 3, FALSE)</f>
        <v>0</v>
      </c>
      <c r="ZY58" s="6">
        <f>VLOOKUP(ZY$39, ELIOT!$G$3:$J$9, 3, FALSE)</f>
        <v>0</v>
      </c>
      <c r="ZZ58" s="6">
        <f>VLOOKUP(ZZ$39, ELIOT!$G$3:$J$9, 3, FALSE)</f>
        <v>0</v>
      </c>
      <c r="AAA58" s="6">
        <f>VLOOKUP(AAA$39, ELIOT!$G$3:$J$9, 3, FALSE)</f>
        <v>0</v>
      </c>
      <c r="AAB58" s="6">
        <f>VLOOKUP(AAB$39, ELIOT!$G$3:$J$9, 3, FALSE)</f>
        <v>0</v>
      </c>
      <c r="AAC58" s="6">
        <f>VLOOKUP(AAC$39, ELIOT!$G$3:$J$9, 3, FALSE)</f>
        <v>0</v>
      </c>
      <c r="AAD58" s="6">
        <f>VLOOKUP(AAD$39, ELIOT!$G$3:$J$9, 3, FALSE)</f>
        <v>0</v>
      </c>
      <c r="AAE58" s="6">
        <f>VLOOKUP(AAE$39, ELIOT!$G$3:$J$9, 3, FALSE)</f>
        <v>0</v>
      </c>
      <c r="AAF58" s="6">
        <f>VLOOKUP(AAF$39, ELIOT!$G$3:$J$9, 3, FALSE)</f>
        <v>0</v>
      </c>
      <c r="AAG58" s="6">
        <f>VLOOKUP(AAG$39, ELIOT!$G$3:$J$9, 3, FALSE)</f>
        <v>0</v>
      </c>
      <c r="AAH58" s="6">
        <f>VLOOKUP(AAH$39, ELIOT!$G$3:$J$9, 3, FALSE)</f>
        <v>0</v>
      </c>
      <c r="AAI58" s="6">
        <f>VLOOKUP(AAI$39, ELIOT!$G$3:$J$9, 3, FALSE)</f>
        <v>0</v>
      </c>
      <c r="AAJ58" s="6">
        <f>VLOOKUP(AAJ$39, ELIOT!$G$3:$J$9, 3, FALSE)</f>
        <v>0</v>
      </c>
      <c r="AAK58" s="6">
        <f>VLOOKUP(AAK$39, ELIOT!$G$3:$J$9, 3, FALSE)</f>
        <v>0</v>
      </c>
      <c r="AAL58" s="6">
        <f>VLOOKUP(AAL$39, ELIOT!$G$3:$J$9, 3, FALSE)</f>
        <v>0</v>
      </c>
      <c r="AAM58" s="6">
        <f>VLOOKUP(AAM$39, ELIOT!$G$3:$J$9, 3, FALSE)</f>
        <v>0</v>
      </c>
      <c r="AAN58" s="6">
        <f>VLOOKUP(AAN$39, ELIOT!$G$3:$J$9, 3, FALSE)</f>
        <v>0</v>
      </c>
      <c r="AAO58" s="6">
        <f>VLOOKUP(AAO$39, ELIOT!$G$3:$J$9, 3, FALSE)</f>
        <v>0</v>
      </c>
      <c r="AAP58" s="6">
        <f>VLOOKUP(AAP$39, ELIOT!$G$3:$J$9, 3, FALSE)</f>
        <v>0</v>
      </c>
      <c r="AAQ58" s="6">
        <f>VLOOKUP(AAQ$39, ELIOT!$G$3:$J$9, 3, FALSE)</f>
        <v>0</v>
      </c>
      <c r="AAR58" s="6">
        <f>VLOOKUP(AAR$39, ELIOT!$G$3:$J$9, 3, FALSE)</f>
        <v>0</v>
      </c>
      <c r="AAS58" s="6">
        <f>VLOOKUP(AAS$39, ELIOT!$G$3:$J$9, 3, FALSE)</f>
        <v>0</v>
      </c>
      <c r="AAT58" s="6">
        <f>VLOOKUP(AAT$39, ELIOT!$G$3:$J$9, 3, FALSE)</f>
        <v>0</v>
      </c>
      <c r="AAU58" s="6">
        <f>VLOOKUP(AAU$39, ELIOT!$G$3:$J$9, 3, FALSE)</f>
        <v>0</v>
      </c>
      <c r="AAV58" s="6">
        <f>VLOOKUP(AAV$39, ELIOT!$G$3:$J$9, 3, FALSE)</f>
        <v>0.1</v>
      </c>
      <c r="AAW58" s="6">
        <f>VLOOKUP(AAW$39, ELIOT!$G$3:$J$9, 3, FALSE)</f>
        <v>0.1</v>
      </c>
      <c r="AAX58" s="6">
        <f>VLOOKUP(AAX$39, ELIOT!$G$3:$J$9, 3, FALSE)</f>
        <v>0.1</v>
      </c>
      <c r="AAY58" s="6">
        <f>VLOOKUP(AAY$39, ELIOT!$G$3:$J$9, 3, FALSE)</f>
        <v>0.1</v>
      </c>
      <c r="AAZ58" s="6">
        <f>VLOOKUP(AAZ$39, ELIOT!$G$3:$J$9, 3, FALSE)</f>
        <v>2</v>
      </c>
      <c r="ABA58" s="6">
        <f>VLOOKUP(ABA$39, ELIOT!$G$3:$J$9, 3, FALSE)</f>
        <v>2</v>
      </c>
      <c r="ABB58" s="6">
        <f>VLOOKUP(ABB$39, ELIOT!$G$3:$J$9, 3, FALSE)</f>
        <v>2</v>
      </c>
      <c r="ABC58" s="6">
        <f>VLOOKUP(ABC$39, ELIOT!$G$3:$J$9, 3, FALSE)</f>
        <v>0.1</v>
      </c>
      <c r="ABD58" s="6">
        <f>VLOOKUP(ABD$39, ELIOT!$G$3:$J$9, 3, FALSE)</f>
        <v>0.1</v>
      </c>
      <c r="ABE58" s="6">
        <f>VLOOKUP(ABE$39, ELIOT!$G$3:$J$9, 3, FALSE)</f>
        <v>0.1</v>
      </c>
      <c r="ABF58" s="6">
        <f>VLOOKUP(ABF$39, ELIOT!$G$3:$J$9, 3, FALSE)</f>
        <v>0.1</v>
      </c>
      <c r="ABG58" s="6">
        <f>VLOOKUP(ABG$39, ELIOT!$G$3:$J$9, 3, FALSE)</f>
        <v>0.1</v>
      </c>
      <c r="ABH58" s="6">
        <f>VLOOKUP(ABH$39, ELIOT!$G$3:$J$9, 3, FALSE)</f>
        <v>0.1</v>
      </c>
      <c r="ABI58" s="6">
        <f>VLOOKUP(ABI$39, ELIOT!$G$3:$J$9, 3, FALSE)</f>
        <v>0.1</v>
      </c>
      <c r="ABJ58" s="6">
        <f>VLOOKUP(ABJ$39, ELIOT!$G$3:$J$9, 3, FALSE)</f>
        <v>0</v>
      </c>
      <c r="ABK58" s="6">
        <f>VLOOKUP(ABK$39, ELIOT!$G$3:$J$9, 3, FALSE)</f>
        <v>0</v>
      </c>
      <c r="ABL58" s="6">
        <f>VLOOKUP(ABL$39, ELIOT!$G$3:$J$9, 3, FALSE)</f>
        <v>0</v>
      </c>
      <c r="ABM58" s="6">
        <f>VLOOKUP(ABM$39, ELIOT!$G$3:$J$9, 3, FALSE)</f>
        <v>0</v>
      </c>
      <c r="ABN58" s="6">
        <f>VLOOKUP(ABN$39, ELIOT!$G$3:$J$9, 3, FALSE)</f>
        <v>0</v>
      </c>
      <c r="ABO58" s="6">
        <f>VLOOKUP(ABO$39, ELIOT!$G$3:$J$9, 3, FALSE)</f>
        <v>0</v>
      </c>
      <c r="ABP58" s="6">
        <f>VLOOKUP(ABP$39, ELIOT!$G$3:$J$9, 3, FALSE)</f>
        <v>0</v>
      </c>
      <c r="ABQ58" s="6">
        <f>VLOOKUP(ABQ$39, ELIOT!$G$3:$J$9, 3, FALSE)</f>
        <v>0</v>
      </c>
      <c r="ABR58" s="6">
        <f>VLOOKUP(ABR$39, ELIOT!$G$3:$J$9, 3, FALSE)</f>
        <v>0</v>
      </c>
      <c r="ABS58" s="6">
        <f>VLOOKUP(ABS$39, ELIOT!$G$3:$J$9, 3, FALSE)</f>
        <v>0</v>
      </c>
      <c r="ABT58" s="6">
        <f>VLOOKUP(ABT$39, ELIOT!$G$3:$J$9, 3, FALSE)</f>
        <v>0</v>
      </c>
      <c r="ABU58" s="6">
        <f>VLOOKUP(ABU$39, ELIOT!$G$3:$J$9, 3, FALSE)</f>
        <v>0</v>
      </c>
      <c r="ABV58" s="6">
        <f>VLOOKUP(ABV$39, ELIOT!$G$3:$J$9, 3, FALSE)</f>
        <v>0</v>
      </c>
      <c r="ABW58" s="6">
        <f>VLOOKUP(ABW$39, ELIOT!$G$3:$J$9, 3, FALSE)</f>
        <v>0</v>
      </c>
      <c r="ABX58" s="6">
        <f>VLOOKUP(ABX$39, ELIOT!$G$3:$J$9, 3, FALSE)</f>
        <v>0</v>
      </c>
      <c r="ABY58" s="6">
        <f>VLOOKUP(ABY$39, ELIOT!$G$3:$J$9, 3, FALSE)</f>
        <v>0</v>
      </c>
      <c r="ABZ58" s="6">
        <f>VLOOKUP(ABZ$39, ELIOT!$G$3:$J$9, 3, FALSE)</f>
        <v>0</v>
      </c>
      <c r="ACA58" s="6">
        <f>VLOOKUP(ACA$39, ELIOT!$G$3:$J$9, 3, FALSE)</f>
        <v>0</v>
      </c>
      <c r="ACB58" s="6">
        <f>VLOOKUP(ACB$39, ELIOT!$G$3:$J$9, 3, FALSE)</f>
        <v>0</v>
      </c>
      <c r="ACC58" s="6">
        <f>VLOOKUP(ACC$39, ELIOT!$G$3:$J$9, 3, FALSE)</f>
        <v>0</v>
      </c>
      <c r="ACD58" s="6">
        <f>VLOOKUP(ACD$39, ELIOT!$G$3:$J$9, 3, FALSE)</f>
        <v>0</v>
      </c>
      <c r="ACE58" s="6">
        <f>VLOOKUP(ACE$39, ELIOT!$G$3:$J$9, 3, FALSE)</f>
        <v>0</v>
      </c>
      <c r="ACF58" s="6">
        <f>VLOOKUP(ACF$39, ELIOT!$G$3:$J$9, 3, FALSE)</f>
        <v>0</v>
      </c>
      <c r="ACG58" s="6">
        <f>VLOOKUP(ACG$39, ELIOT!$G$3:$J$9, 3, FALSE)</f>
        <v>0</v>
      </c>
      <c r="ACH58" s="6">
        <f>VLOOKUP(ACH$39, ELIOT!$G$3:$J$9, 3, FALSE)</f>
        <v>0</v>
      </c>
      <c r="ACI58" s="6">
        <f>VLOOKUP(ACI$39, ELIOT!$G$3:$J$9, 3, FALSE)</f>
        <v>0</v>
      </c>
      <c r="ACJ58" s="6">
        <f>VLOOKUP(ACJ$39, ELIOT!$G$3:$J$9, 3, FALSE)</f>
        <v>0</v>
      </c>
      <c r="ACK58" s="6">
        <f>VLOOKUP(ACK$39, ELIOT!$G$3:$J$9, 3, FALSE)</f>
        <v>0</v>
      </c>
      <c r="ACL58" s="6">
        <f>VLOOKUP(ACL$39, ELIOT!$G$3:$J$9, 3, FALSE)</f>
        <v>0</v>
      </c>
      <c r="ACM58" s="6">
        <f>VLOOKUP(ACM$39, ELIOT!$G$3:$J$9, 3, FALSE)</f>
        <v>0</v>
      </c>
      <c r="ACN58" s="6">
        <f>VLOOKUP(ACN$39, ELIOT!$G$3:$J$9, 3, FALSE)</f>
        <v>0</v>
      </c>
      <c r="ACO58" s="6">
        <f>VLOOKUP(ACO$39, ELIOT!$G$3:$J$9, 3, FALSE)</f>
        <v>0</v>
      </c>
      <c r="ACP58" s="6">
        <f>VLOOKUP(ACP$39, ELIOT!$G$3:$J$9, 3, FALSE)</f>
        <v>0</v>
      </c>
      <c r="ACQ58" s="6">
        <f>VLOOKUP(ACQ$39, ELIOT!$G$3:$J$9, 3, FALSE)</f>
        <v>0</v>
      </c>
      <c r="ACR58" s="6">
        <f>VLOOKUP(ACR$39, ELIOT!$G$3:$J$9, 3, FALSE)</f>
        <v>0</v>
      </c>
      <c r="ACS58" s="6">
        <f>VLOOKUP(ACS$39, ELIOT!$G$3:$J$9, 3, FALSE)</f>
        <v>0</v>
      </c>
      <c r="ACT58" s="6">
        <f>VLOOKUP(ACT$39, ELIOT!$G$3:$J$9, 3, FALSE)</f>
        <v>0</v>
      </c>
      <c r="ACU58" s="6">
        <f>VLOOKUP(ACU$39, ELIOT!$G$3:$J$9, 3, FALSE)</f>
        <v>0</v>
      </c>
      <c r="ACV58" s="6">
        <f>VLOOKUP(ACV$39, ELIOT!$G$3:$J$9, 3, FALSE)</f>
        <v>0</v>
      </c>
      <c r="ACW58" s="6">
        <f>VLOOKUP(ACW$39, ELIOT!$G$3:$J$9, 3, FALSE)</f>
        <v>0</v>
      </c>
      <c r="ACX58" s="6">
        <f>VLOOKUP(ACX$39, ELIOT!$G$3:$J$9, 3, FALSE)</f>
        <v>0</v>
      </c>
      <c r="ACY58" s="6">
        <f>VLOOKUP(ACY$39, ELIOT!$G$3:$J$9, 3, FALSE)</f>
        <v>0</v>
      </c>
      <c r="ACZ58" s="6">
        <f>VLOOKUP(ACZ$39, ELIOT!$G$3:$J$9, 3, FALSE)</f>
        <v>0</v>
      </c>
      <c r="ADA58" s="6">
        <f>VLOOKUP(ADA$39, ELIOT!$G$3:$J$9, 3, FALSE)</f>
        <v>0</v>
      </c>
      <c r="ADB58" s="6">
        <f>VLOOKUP(ADB$39, ELIOT!$G$3:$J$9, 3, FALSE)</f>
        <v>0</v>
      </c>
      <c r="ADC58" s="6">
        <f>VLOOKUP(ADC$39, ELIOT!$G$3:$J$9, 3, FALSE)</f>
        <v>0</v>
      </c>
      <c r="ADD58" s="6">
        <f>VLOOKUP(ADD$39, ELIOT!$G$3:$J$9, 3, FALSE)</f>
        <v>0</v>
      </c>
      <c r="ADE58" s="6">
        <f>VLOOKUP(ADE$39, ELIOT!$G$3:$J$9, 3, FALSE)</f>
        <v>0</v>
      </c>
      <c r="ADF58" s="6">
        <f>VLOOKUP(ADF$39, ELIOT!$G$3:$J$9, 3, FALSE)</f>
        <v>0</v>
      </c>
      <c r="ADG58" s="6">
        <f>VLOOKUP(ADG$39, ELIOT!$G$3:$J$9, 3, FALSE)</f>
        <v>0</v>
      </c>
      <c r="ADH58" s="6">
        <f>VLOOKUP(ADH$39, ELIOT!$G$3:$J$9, 3, FALSE)</f>
        <v>0</v>
      </c>
      <c r="ADI58" s="6">
        <f>VLOOKUP(ADI$39, ELIOT!$G$3:$J$9, 3, FALSE)</f>
        <v>0</v>
      </c>
      <c r="ADJ58" s="6">
        <f>VLOOKUP(ADJ$39, ELIOT!$G$3:$J$9, 3, FALSE)</f>
        <v>0</v>
      </c>
      <c r="ADK58" s="6">
        <f>VLOOKUP(ADK$39, ELIOT!$G$3:$J$9, 3, FALSE)</f>
        <v>0</v>
      </c>
      <c r="ADL58" s="6">
        <f>VLOOKUP(ADL$39, ELIOT!$G$3:$J$9, 3, FALSE)</f>
        <v>0</v>
      </c>
      <c r="ADM58" s="6">
        <f>VLOOKUP(ADM$39, ELIOT!$G$3:$J$9, 3, FALSE)</f>
        <v>0</v>
      </c>
      <c r="ADN58" s="6">
        <f>VLOOKUP(ADN$39, ELIOT!$G$3:$J$9, 3, FALSE)</f>
        <v>0</v>
      </c>
      <c r="ADO58" s="6">
        <f>VLOOKUP(ADO$39, ELIOT!$G$3:$J$9, 3, FALSE)</f>
        <v>0</v>
      </c>
      <c r="ADP58" s="6">
        <f>VLOOKUP(ADP$39, ELIOT!$G$3:$J$9, 3, FALSE)</f>
        <v>0</v>
      </c>
      <c r="ADQ58" s="6">
        <f>VLOOKUP(ADQ$39, ELIOT!$G$3:$J$9, 3, FALSE)</f>
        <v>0</v>
      </c>
      <c r="ADR58" s="6">
        <f>VLOOKUP(ADR$39, ELIOT!$G$3:$J$9, 3, FALSE)</f>
        <v>0</v>
      </c>
      <c r="ADS58" s="6">
        <f>VLOOKUP(ADS$39, ELIOT!$G$3:$J$9, 3, FALSE)</f>
        <v>0</v>
      </c>
      <c r="ADT58" s="6">
        <f>VLOOKUP(ADT$39, ELIOT!$G$3:$J$9, 3, FALSE)</f>
        <v>0</v>
      </c>
      <c r="ADU58" s="6">
        <f>VLOOKUP(ADU$39, ELIOT!$G$3:$J$9, 3, FALSE)</f>
        <v>0.1</v>
      </c>
      <c r="ADV58" s="6">
        <f>VLOOKUP(ADV$39, ELIOT!$G$3:$J$9, 3, FALSE)</f>
        <v>0.1</v>
      </c>
      <c r="ADW58" s="6">
        <f>VLOOKUP(ADW$39, ELIOT!$G$3:$J$9, 3, FALSE)</f>
        <v>0.1</v>
      </c>
      <c r="ADX58" s="6">
        <f>VLOOKUP(ADX$39, ELIOT!$G$3:$J$9, 3, FALSE)</f>
        <v>0.1</v>
      </c>
      <c r="ADY58" s="6">
        <f>VLOOKUP(ADY$39, ELIOT!$G$3:$J$9, 3, FALSE)</f>
        <v>0.1</v>
      </c>
      <c r="ADZ58" s="6">
        <f>VLOOKUP(ADZ$39, ELIOT!$G$3:$J$9, 3, FALSE)</f>
        <v>2</v>
      </c>
      <c r="AEA58" s="6">
        <f>VLOOKUP(AEA$39, ELIOT!$G$3:$J$9, 3, FALSE)</f>
        <v>2</v>
      </c>
      <c r="AEB58" s="6">
        <f>VLOOKUP(AEB$39, ELIOT!$G$3:$J$9, 3, FALSE)</f>
        <v>2</v>
      </c>
      <c r="AEC58" s="6">
        <f>VLOOKUP(AEC$39, ELIOT!$G$3:$J$9, 3, FALSE)</f>
        <v>0.1</v>
      </c>
      <c r="AED58" s="6">
        <f>VLOOKUP(AED$39, ELIOT!$G$3:$J$9, 3, FALSE)</f>
        <v>0.1</v>
      </c>
      <c r="AEE58" s="6">
        <f>VLOOKUP(AEE$39, ELIOT!$G$3:$J$9, 3, FALSE)</f>
        <v>0.1</v>
      </c>
      <c r="AEF58" s="6">
        <f>VLOOKUP(AEF$39, ELIOT!$G$3:$J$9, 3, FALSE)</f>
        <v>0.1</v>
      </c>
      <c r="AEG58" s="6">
        <f>VLOOKUP(AEG$39, ELIOT!$G$3:$J$9, 3, FALSE)</f>
        <v>0.1</v>
      </c>
      <c r="AEH58" s="6">
        <f>VLOOKUP(AEH$39, ELIOT!$G$3:$J$9, 3, FALSE)</f>
        <v>0.1</v>
      </c>
      <c r="AEI58" s="6">
        <f>VLOOKUP(AEI$39, ELIOT!$G$3:$J$9, 3, FALSE)</f>
        <v>0</v>
      </c>
      <c r="AEJ58" s="6">
        <f>VLOOKUP(AEJ$39, ELIOT!$G$3:$J$9, 3, FALSE)</f>
        <v>0</v>
      </c>
      <c r="AEK58" s="6">
        <f>VLOOKUP(AEK$39, ELIOT!$G$3:$J$9, 3, FALSE)</f>
        <v>0</v>
      </c>
      <c r="AEL58" s="6">
        <f>VLOOKUP(AEL$39, ELIOT!$G$3:$J$9, 3, FALSE)</f>
        <v>0</v>
      </c>
      <c r="AEM58" s="6">
        <f>VLOOKUP(AEM$39, ELIOT!$G$3:$J$9, 3, FALSE)</f>
        <v>0</v>
      </c>
      <c r="AEN58" s="6">
        <f>VLOOKUP(AEN$39, ELIOT!$G$3:$J$9, 3, FALSE)</f>
        <v>0</v>
      </c>
      <c r="AEO58" s="6">
        <f>VLOOKUP(AEO$39, ELIOT!$G$3:$J$9, 3, FALSE)</f>
        <v>0</v>
      </c>
      <c r="AEP58" s="6">
        <f>VLOOKUP(AEP$39, ELIOT!$G$3:$J$9, 3, FALSE)</f>
        <v>0</v>
      </c>
      <c r="AEQ58" s="6">
        <f>VLOOKUP(AEQ$39, ELIOT!$G$3:$J$9, 3, FALSE)</f>
        <v>0</v>
      </c>
      <c r="AER58" s="6">
        <f>VLOOKUP(AER$39, ELIOT!$G$3:$J$9, 3, FALSE)</f>
        <v>0</v>
      </c>
      <c r="AES58" s="6">
        <f>VLOOKUP(AES$39, ELIOT!$G$3:$J$9, 3, FALSE)</f>
        <v>0</v>
      </c>
      <c r="AET58" s="6">
        <f>VLOOKUP(AET$39, ELIOT!$G$3:$J$9, 3, FALSE)</f>
        <v>0</v>
      </c>
      <c r="AEU58" s="6">
        <f>VLOOKUP(AEU$39, ELIOT!$G$3:$J$9, 3, FALSE)</f>
        <v>0</v>
      </c>
      <c r="AEV58" s="6">
        <f>VLOOKUP(AEV$39, ELIOT!$G$3:$J$9, 3, FALSE)</f>
        <v>0</v>
      </c>
      <c r="AEW58" s="6">
        <f>VLOOKUP(AEW$39, ELIOT!$G$3:$J$9, 3, FALSE)</f>
        <v>0</v>
      </c>
      <c r="AEX58" s="6">
        <f>VLOOKUP(AEX$39, ELIOT!$G$3:$J$9, 3, FALSE)</f>
        <v>0</v>
      </c>
      <c r="AEY58" s="6">
        <f>VLOOKUP(AEY$39, ELIOT!$G$3:$J$9, 3, FALSE)</f>
        <v>0</v>
      </c>
      <c r="AEZ58" s="6">
        <f>VLOOKUP(AEZ$39, ELIOT!$G$3:$J$9, 3, FALSE)</f>
        <v>0</v>
      </c>
      <c r="AFA58" s="6">
        <f>VLOOKUP(AFA$39, ELIOT!$G$3:$J$9, 3, FALSE)</f>
        <v>0</v>
      </c>
      <c r="AFB58" s="6">
        <f>VLOOKUP(AFB$39, ELIOT!$G$3:$J$9, 3, FALSE)</f>
        <v>0</v>
      </c>
      <c r="AFC58" s="6">
        <f>VLOOKUP(AFC$39, ELIOT!$G$3:$J$9, 3, FALSE)</f>
        <v>0</v>
      </c>
      <c r="AFD58" s="6">
        <f>VLOOKUP(AFD$39, ELIOT!$G$3:$J$9, 3, FALSE)</f>
        <v>0</v>
      </c>
      <c r="AFE58" s="6">
        <f>VLOOKUP(AFE$39, ELIOT!$G$3:$J$9, 3, FALSE)</f>
        <v>0</v>
      </c>
      <c r="AFF58" s="6">
        <f>VLOOKUP(AFF$39, ELIOT!$G$3:$J$9, 3, FALSE)</f>
        <v>0</v>
      </c>
      <c r="AFG58" s="6">
        <f>VLOOKUP(AFG$39, ELIOT!$G$3:$J$9, 3, FALSE)</f>
        <v>0</v>
      </c>
      <c r="AFH58" s="6">
        <f>VLOOKUP(AFH$39, ELIOT!$G$3:$J$9, 3, FALSE)</f>
        <v>0</v>
      </c>
      <c r="AFI58" s="6">
        <f>VLOOKUP(AFI$39, ELIOT!$G$3:$J$9, 3, FALSE)</f>
        <v>0</v>
      </c>
      <c r="AFJ58" s="6">
        <f>VLOOKUP(AFJ$39, ELIOT!$G$3:$J$9, 3, FALSE)</f>
        <v>0</v>
      </c>
      <c r="AFK58" s="6">
        <f>VLOOKUP(AFK$39, ELIOT!$G$3:$J$9, 3, FALSE)</f>
        <v>0</v>
      </c>
      <c r="AFL58" s="6">
        <f>VLOOKUP(AFL$39, ELIOT!$G$3:$J$9, 3, FALSE)</f>
        <v>0</v>
      </c>
      <c r="AFM58" s="6">
        <f>VLOOKUP(AFM$39, ELIOT!$G$3:$J$9, 3, FALSE)</f>
        <v>0</v>
      </c>
      <c r="AFN58" s="6">
        <f>VLOOKUP(AFN$39, ELIOT!$G$3:$J$9, 3, FALSE)</f>
        <v>0</v>
      </c>
      <c r="AFO58" s="6">
        <f>VLOOKUP(AFO$39, ELIOT!$G$3:$J$9, 3, FALSE)</f>
        <v>0</v>
      </c>
      <c r="AFP58" s="6">
        <f>VLOOKUP(AFP$39, ELIOT!$G$3:$J$9, 3, FALSE)</f>
        <v>0</v>
      </c>
      <c r="AFQ58" s="6">
        <f>VLOOKUP(AFQ$39, ELIOT!$G$3:$J$9, 3, FALSE)</f>
        <v>0</v>
      </c>
      <c r="AFR58" s="6">
        <f>VLOOKUP(AFR$39, ELIOT!$G$3:$J$9, 3, FALSE)</f>
        <v>0</v>
      </c>
      <c r="AFS58" s="6">
        <f>VLOOKUP(AFS$39, ELIOT!$G$3:$J$9, 3, FALSE)</f>
        <v>0</v>
      </c>
      <c r="AFT58" s="6">
        <f>VLOOKUP(AFT$39, ELIOT!$G$3:$J$9, 3, FALSE)</f>
        <v>0</v>
      </c>
      <c r="AFU58" s="6">
        <f>VLOOKUP(AFU$39, ELIOT!$G$3:$J$9, 3, FALSE)</f>
        <v>0</v>
      </c>
      <c r="AFV58" s="6">
        <f>VLOOKUP(AFV$39, ELIOT!$G$3:$J$9, 3, FALSE)</f>
        <v>0</v>
      </c>
      <c r="AFW58" s="6">
        <f>VLOOKUP(AFW$39, ELIOT!$G$3:$J$9, 3, FALSE)</f>
        <v>0</v>
      </c>
      <c r="AFX58" s="6">
        <f>VLOOKUP(AFX$39, ELIOT!$G$3:$J$9, 3, FALSE)</f>
        <v>0</v>
      </c>
      <c r="AFY58" s="6">
        <f>VLOOKUP(AFY$39, ELIOT!$G$3:$J$9, 3, FALSE)</f>
        <v>0</v>
      </c>
      <c r="AFZ58" s="6">
        <f>VLOOKUP(AFZ$39, ELIOT!$G$3:$J$9, 3, FALSE)</f>
        <v>0</v>
      </c>
      <c r="AGA58" s="6">
        <f>VLOOKUP(AGA$39, ELIOT!$G$3:$J$9, 3, FALSE)</f>
        <v>0</v>
      </c>
      <c r="AGB58" s="6">
        <f>VLOOKUP(AGB$39, ELIOT!$G$3:$J$9, 3, FALSE)</f>
        <v>0</v>
      </c>
      <c r="AGC58" s="6">
        <f>VLOOKUP(AGC$39, ELIOT!$G$3:$J$9, 3, FALSE)</f>
        <v>0</v>
      </c>
      <c r="AGD58" s="6">
        <f>VLOOKUP(AGD$39, ELIOT!$G$3:$J$9, 3, FALSE)</f>
        <v>0</v>
      </c>
      <c r="AGE58" s="6">
        <f>VLOOKUP(AGE$39, ELIOT!$G$3:$J$9, 3, FALSE)</f>
        <v>0</v>
      </c>
      <c r="AGF58" s="6">
        <f>VLOOKUP(AGF$39, ELIOT!$G$3:$J$9, 3, FALSE)</f>
        <v>0</v>
      </c>
      <c r="AGG58" s="6">
        <f>VLOOKUP(AGG$39, ELIOT!$G$3:$J$9, 3, FALSE)</f>
        <v>0</v>
      </c>
      <c r="AGH58" s="6">
        <f>VLOOKUP(AGH$39, ELIOT!$G$3:$J$9, 3, FALSE)</f>
        <v>0</v>
      </c>
      <c r="AGI58" s="6">
        <f>VLOOKUP(AGI$39, ELIOT!$G$3:$J$9, 3, FALSE)</f>
        <v>0</v>
      </c>
      <c r="AGJ58" s="6">
        <f>VLOOKUP(AGJ$39, ELIOT!$G$3:$J$9, 3, FALSE)</f>
        <v>0.1</v>
      </c>
      <c r="AGK58" s="6">
        <f>VLOOKUP(AGK$39, ELIOT!$G$3:$J$9, 3, FALSE)</f>
        <v>0.1</v>
      </c>
      <c r="AGL58" s="6">
        <f>VLOOKUP(AGL$39, ELIOT!$G$3:$J$9, 3, FALSE)</f>
        <v>0.1</v>
      </c>
      <c r="AGM58" s="6">
        <f>VLOOKUP(AGM$39, ELIOT!$G$3:$J$9, 3, FALSE)</f>
        <v>0.1</v>
      </c>
      <c r="AGN58" s="6">
        <f>VLOOKUP(AGN$39, ELIOT!$G$3:$J$9, 3, FALSE)</f>
        <v>2</v>
      </c>
      <c r="AGO58" s="6">
        <f>VLOOKUP(AGO$39, ELIOT!$G$3:$J$9, 3, FALSE)</f>
        <v>2</v>
      </c>
      <c r="AGP58" s="6">
        <f>VLOOKUP(AGP$39, ELIOT!$G$3:$J$9, 3, FALSE)</f>
        <v>2</v>
      </c>
      <c r="AGQ58" s="6">
        <f>VLOOKUP(AGQ$39, ELIOT!$G$3:$J$9, 3, FALSE)</f>
        <v>0.1</v>
      </c>
      <c r="AGR58" s="6">
        <f>VLOOKUP(AGR$39, ELIOT!$G$3:$J$9, 3, FALSE)</f>
        <v>0.1</v>
      </c>
      <c r="AGS58" s="6">
        <f>VLOOKUP(AGS$39, ELIOT!$G$3:$J$9, 3, FALSE)</f>
        <v>0.1</v>
      </c>
      <c r="AGT58" s="6">
        <f>VLOOKUP(AGT$39, ELIOT!$G$3:$J$9, 3, FALSE)</f>
        <v>0.1</v>
      </c>
      <c r="AGU58" s="6">
        <f>VLOOKUP(AGU$39, ELIOT!$G$3:$J$9, 3, FALSE)</f>
        <v>0.1</v>
      </c>
      <c r="AGV58" s="6">
        <f>VLOOKUP(AGV$39, ELIOT!$G$3:$J$9, 3, FALSE)</f>
        <v>0.1</v>
      </c>
      <c r="AGW58" s="6">
        <f>VLOOKUP(AGW$39, ELIOT!$G$3:$J$9, 3, FALSE)</f>
        <v>0.1</v>
      </c>
      <c r="AGX58" s="6">
        <f>VLOOKUP(AGX$39, ELIOT!$G$3:$J$9, 3, FALSE)</f>
        <v>0</v>
      </c>
      <c r="AGY58" s="6">
        <f>VLOOKUP(AGY$39, ELIOT!$G$3:$J$9, 3, FALSE)</f>
        <v>0</v>
      </c>
      <c r="AGZ58" s="6">
        <f>VLOOKUP(AGZ$39, ELIOT!$G$3:$J$9, 3, FALSE)</f>
        <v>0</v>
      </c>
      <c r="AHA58" s="6">
        <f>VLOOKUP(AHA$39, ELIOT!$G$3:$J$9, 3, FALSE)</f>
        <v>0</v>
      </c>
      <c r="AHB58" s="6">
        <f>VLOOKUP(AHB$39, ELIOT!$G$3:$J$9, 3, FALSE)</f>
        <v>0</v>
      </c>
      <c r="AHC58" s="6">
        <f>VLOOKUP(AHC$39, ELIOT!$G$3:$J$9, 3, FALSE)</f>
        <v>0</v>
      </c>
      <c r="AHD58" s="6">
        <f>VLOOKUP(AHD$39, ELIOT!$G$3:$J$9, 3, FALSE)</f>
        <v>0</v>
      </c>
      <c r="AHE58" s="6">
        <f>VLOOKUP(AHE$39, ELIOT!$G$3:$J$9, 3, FALSE)</f>
        <v>0</v>
      </c>
      <c r="AHF58" s="6">
        <f>VLOOKUP(AHF$39, ELIOT!$G$3:$J$9, 3, FALSE)</f>
        <v>0</v>
      </c>
      <c r="AHG58" s="6">
        <f>VLOOKUP(AHG$39, ELIOT!$G$3:$J$9, 3, FALSE)</f>
        <v>0</v>
      </c>
      <c r="AHH58" s="6">
        <f>VLOOKUP(AHH$39, ELIOT!$G$3:$J$9, 3, FALSE)</f>
        <v>0</v>
      </c>
      <c r="AHI58" s="6">
        <f>VLOOKUP(AHI$39, ELIOT!$G$3:$J$9, 3, FALSE)</f>
        <v>0</v>
      </c>
      <c r="AHJ58" s="6">
        <f>VLOOKUP(AHJ$39, ELIOT!$G$3:$J$9, 3, FALSE)</f>
        <v>0</v>
      </c>
      <c r="AHK58" s="6">
        <f>VLOOKUP(AHK$39, ELIOT!$G$3:$J$9, 3, FALSE)</f>
        <v>0</v>
      </c>
      <c r="AHL58" s="6">
        <f>VLOOKUP(AHL$39, ELIOT!$G$3:$J$9, 3, FALSE)</f>
        <v>0</v>
      </c>
      <c r="AHM58" s="6">
        <f>VLOOKUP(AHM$39, ELIOT!$G$3:$J$9, 3, FALSE)</f>
        <v>0</v>
      </c>
      <c r="AHN58" s="6">
        <f>VLOOKUP(AHN$39, ELIOT!$G$3:$J$9, 3, FALSE)</f>
        <v>0</v>
      </c>
      <c r="AHO58" s="6">
        <f>VLOOKUP(AHO$39, ELIOT!$G$3:$J$9, 3, FALSE)</f>
        <v>0</v>
      </c>
      <c r="AHP58" s="6">
        <f>VLOOKUP(AHP$39, ELIOT!$G$3:$J$9, 3, FALSE)</f>
        <v>0</v>
      </c>
      <c r="AHQ58" s="6">
        <f>VLOOKUP(AHQ$39, ELIOT!$G$3:$J$9, 3, FALSE)</f>
        <v>0</v>
      </c>
      <c r="AHR58" s="6">
        <f>VLOOKUP(AHR$39, ELIOT!$G$3:$J$9, 3, FALSE)</f>
        <v>0</v>
      </c>
      <c r="AHS58" s="6">
        <f>VLOOKUP(AHS$39, ELIOT!$G$3:$J$9, 3, FALSE)</f>
        <v>0</v>
      </c>
      <c r="AHT58" s="6">
        <f>VLOOKUP(AHT$39, ELIOT!$G$3:$J$9, 3, FALSE)</f>
        <v>0</v>
      </c>
      <c r="AHU58" s="6">
        <f>VLOOKUP(AHU$39, ELIOT!$G$3:$J$9, 3, FALSE)</f>
        <v>0</v>
      </c>
      <c r="AHV58" s="6">
        <f>VLOOKUP(AHV$39, ELIOT!$G$3:$J$9, 3, FALSE)</f>
        <v>0</v>
      </c>
      <c r="AHW58" s="6">
        <f>VLOOKUP(AHW$39, ELIOT!$G$3:$J$9, 3, FALSE)</f>
        <v>0</v>
      </c>
      <c r="AHX58" s="6">
        <f>VLOOKUP(AHX$39, ELIOT!$G$3:$J$9, 3, FALSE)</f>
        <v>0</v>
      </c>
      <c r="AHY58" s="6">
        <f>VLOOKUP(AHY$39, ELIOT!$G$3:$J$9, 3, FALSE)</f>
        <v>0</v>
      </c>
      <c r="AHZ58" s="6">
        <f>VLOOKUP(AHZ$39, ELIOT!$G$3:$J$9, 3, FALSE)</f>
        <v>0</v>
      </c>
      <c r="AIA58" s="6">
        <f>VLOOKUP(AIA$39, ELIOT!$G$3:$J$9, 3, FALSE)</f>
        <v>0</v>
      </c>
      <c r="AIB58" s="6">
        <f>VLOOKUP(AIB$39, ELIOT!$G$3:$J$9, 3, FALSE)</f>
        <v>0</v>
      </c>
      <c r="AIC58" s="6">
        <f>VLOOKUP(AIC$39, ELIOT!$G$3:$J$9, 3, FALSE)</f>
        <v>0</v>
      </c>
      <c r="AID58" s="6">
        <f>VLOOKUP(AID$39, ELIOT!$G$3:$J$9, 3, FALSE)</f>
        <v>0</v>
      </c>
      <c r="AIE58" s="6">
        <f>VLOOKUP(AIE$39, ELIOT!$G$3:$J$9, 3, FALSE)</f>
        <v>0</v>
      </c>
      <c r="AIF58" s="6">
        <f>VLOOKUP(AIF$39, ELIOT!$G$3:$J$9, 3, FALSE)</f>
        <v>0</v>
      </c>
      <c r="AIG58" s="6">
        <f>VLOOKUP(AIG$39, ELIOT!$G$3:$J$9, 3, FALSE)</f>
        <v>0</v>
      </c>
      <c r="AIH58" s="6">
        <f>VLOOKUP(AIH$39, ELIOT!$G$3:$J$9, 3, FALSE)</f>
        <v>0</v>
      </c>
      <c r="AII58" s="6">
        <f>VLOOKUP(AII$39, ELIOT!$G$3:$J$9, 3, FALSE)</f>
        <v>0</v>
      </c>
      <c r="AIJ58" s="6">
        <f>VLOOKUP(AIJ$39, ELIOT!$G$3:$J$9, 3, FALSE)</f>
        <v>0</v>
      </c>
      <c r="AIK58" s="6">
        <f>VLOOKUP(AIK$39, ELIOT!$G$3:$J$9, 3, FALSE)</f>
        <v>0</v>
      </c>
      <c r="AIL58" s="6">
        <f>VLOOKUP(AIL$39, ELIOT!$G$3:$J$9, 3, FALSE)</f>
        <v>0</v>
      </c>
      <c r="AIM58" s="6">
        <f>VLOOKUP(AIM$39, ELIOT!$G$3:$J$9, 3, FALSE)</f>
        <v>0</v>
      </c>
      <c r="AIN58" s="6">
        <f>VLOOKUP(AIN$39, ELIOT!$G$3:$J$9, 3, FALSE)</f>
        <v>0</v>
      </c>
      <c r="AIO58" s="6">
        <f>VLOOKUP(AIO$39, ELIOT!$G$3:$J$9, 3, FALSE)</f>
        <v>0</v>
      </c>
      <c r="AIP58" s="6">
        <f>VLOOKUP(AIP$39, ELIOT!$G$3:$J$9, 3, FALSE)</f>
        <v>0</v>
      </c>
      <c r="AIQ58" s="6">
        <f>VLOOKUP(AIQ$39, ELIOT!$G$3:$J$9, 3, FALSE)</f>
        <v>0</v>
      </c>
      <c r="AIR58" s="6">
        <f>VLOOKUP(AIR$39, ELIOT!$G$3:$J$9, 3, FALSE)</f>
        <v>0</v>
      </c>
      <c r="AIS58" s="6">
        <f>VLOOKUP(AIS$39, ELIOT!$G$3:$J$9, 3, FALSE)</f>
        <v>0</v>
      </c>
      <c r="AIT58" s="6">
        <f>VLOOKUP(AIT$39, ELIOT!$G$3:$J$9, 3, FALSE)</f>
        <v>0</v>
      </c>
      <c r="AIU58" s="6">
        <f>VLOOKUP(AIU$39, ELIOT!$G$3:$J$9, 3, FALSE)</f>
        <v>0</v>
      </c>
      <c r="AIV58" s="6">
        <f>VLOOKUP(AIV$39, ELIOT!$G$3:$J$9, 3, FALSE)</f>
        <v>0</v>
      </c>
      <c r="AIW58" s="6">
        <f>VLOOKUP(AIW$39, ELIOT!$G$3:$J$9, 3, FALSE)</f>
        <v>0</v>
      </c>
      <c r="AIX58" s="6">
        <f>VLOOKUP(AIX$39, ELIOT!$G$3:$J$9, 3, FALSE)</f>
        <v>0</v>
      </c>
      <c r="AIY58" s="6">
        <f>VLOOKUP(AIY$39, ELIOT!$G$3:$J$9, 3, FALSE)</f>
        <v>0</v>
      </c>
      <c r="AIZ58" s="6">
        <f>VLOOKUP(AIZ$39, ELIOT!$G$3:$J$9, 3, FALSE)</f>
        <v>0</v>
      </c>
      <c r="AJA58" s="6">
        <f>VLOOKUP(AJA$39, ELIOT!$G$3:$J$9, 3, FALSE)</f>
        <v>0</v>
      </c>
      <c r="AJB58" s="6">
        <f>VLOOKUP(AJB$39, ELIOT!$G$3:$J$9, 3, FALSE)</f>
        <v>0</v>
      </c>
      <c r="AJC58" s="6">
        <f>VLOOKUP(AJC$39, ELIOT!$G$3:$J$9, 3, FALSE)</f>
        <v>0</v>
      </c>
      <c r="AJD58" s="6">
        <f>VLOOKUP(AJD$39, ELIOT!$G$3:$J$9, 3, FALSE)</f>
        <v>0</v>
      </c>
      <c r="AJE58" s="6">
        <f>VLOOKUP(AJE$39, ELIOT!$G$3:$J$9, 3, FALSE)</f>
        <v>0</v>
      </c>
      <c r="AJF58" s="6">
        <f>VLOOKUP(AJF$39, ELIOT!$G$3:$J$9, 3, FALSE)</f>
        <v>0</v>
      </c>
      <c r="AJG58" s="6">
        <f>VLOOKUP(AJG$39, ELIOT!$G$3:$J$9, 3, FALSE)</f>
        <v>0</v>
      </c>
      <c r="AJH58" s="6">
        <f>VLOOKUP(AJH$39, ELIOT!$G$3:$J$9, 3, FALSE)</f>
        <v>0</v>
      </c>
      <c r="AJI58" s="6">
        <f>VLOOKUP(AJI$39, ELIOT!$G$3:$J$9, 3, FALSE)</f>
        <v>0.1</v>
      </c>
      <c r="AJJ58" s="6">
        <f>VLOOKUP(AJJ$39, ELIOT!$G$3:$J$9, 3, FALSE)</f>
        <v>0.1</v>
      </c>
      <c r="AJK58" s="6">
        <f>VLOOKUP(AJK$39, ELIOT!$G$3:$J$9, 3, FALSE)</f>
        <v>0.1</v>
      </c>
      <c r="AJL58" s="6">
        <f>VLOOKUP(AJL$39, ELIOT!$G$3:$J$9, 3, FALSE)</f>
        <v>0.1</v>
      </c>
      <c r="AJM58" s="6">
        <f>VLOOKUP(AJM$39, ELIOT!$G$3:$J$9, 3, FALSE)</f>
        <v>0.1</v>
      </c>
      <c r="AJN58" s="6">
        <f>VLOOKUP(AJN$39, ELIOT!$G$3:$J$9, 3, FALSE)</f>
        <v>2</v>
      </c>
      <c r="AJO58" s="6">
        <f>VLOOKUP(AJO$39, ELIOT!$G$3:$J$9, 3, FALSE)</f>
        <v>2</v>
      </c>
      <c r="AJP58" s="6">
        <f>VLOOKUP(AJP$39, ELIOT!$G$3:$J$9, 3, FALSE)</f>
        <v>2</v>
      </c>
      <c r="AJQ58" s="6">
        <f>VLOOKUP(AJQ$39, ELIOT!$G$3:$J$9, 3, FALSE)</f>
        <v>0.1</v>
      </c>
      <c r="AJR58" s="6">
        <f>VLOOKUP(AJR$39, ELIOT!$G$3:$J$9, 3, FALSE)</f>
        <v>0.1</v>
      </c>
      <c r="AJS58" s="6">
        <f>VLOOKUP(AJS$39, ELIOT!$G$3:$J$9, 3, FALSE)</f>
        <v>0.1</v>
      </c>
      <c r="AJT58" s="6">
        <f>VLOOKUP(AJT$39, ELIOT!$G$3:$J$9, 3, FALSE)</f>
        <v>0.1</v>
      </c>
      <c r="AJU58" s="6">
        <f>VLOOKUP(AJU$39, ELIOT!$G$3:$J$9, 3, FALSE)</f>
        <v>0.1</v>
      </c>
      <c r="AJV58" s="6">
        <f>VLOOKUP(AJV$39, ELIOT!$G$3:$J$9, 3, FALSE)</f>
        <v>0.1</v>
      </c>
      <c r="AJW58" s="6">
        <f>VLOOKUP(AJW$39, ELIOT!$G$3:$J$9, 3, FALSE)</f>
        <v>0</v>
      </c>
      <c r="AJX58" s="6">
        <f>VLOOKUP(AJX$39, ELIOT!$G$3:$J$9, 3, FALSE)</f>
        <v>0</v>
      </c>
      <c r="AJY58" s="6">
        <f>VLOOKUP(AJY$39, ELIOT!$G$3:$J$9, 3, FALSE)</f>
        <v>0</v>
      </c>
      <c r="AJZ58" s="6">
        <f>VLOOKUP(AJZ$39, ELIOT!$G$3:$J$9, 3, FALSE)</f>
        <v>0</v>
      </c>
      <c r="AKA58" s="6">
        <f>VLOOKUP(AKA$39, ELIOT!$G$3:$J$9, 3, FALSE)</f>
        <v>0</v>
      </c>
      <c r="AKB58" s="6">
        <f>VLOOKUP(AKB$39, ELIOT!$G$3:$J$9, 3, FALSE)</f>
        <v>0</v>
      </c>
      <c r="AKC58" s="6">
        <f>VLOOKUP(AKC$39, ELIOT!$G$3:$J$9, 3, FALSE)</f>
        <v>0</v>
      </c>
      <c r="AKD58" s="6">
        <f>VLOOKUP(AKD$39, ELIOT!$G$3:$J$9, 3, FALSE)</f>
        <v>0</v>
      </c>
      <c r="AKE58" s="6">
        <f>VLOOKUP(AKE$39, ELIOT!$G$3:$J$9, 3, FALSE)</f>
        <v>0</v>
      </c>
      <c r="AKF58" s="6">
        <f>VLOOKUP(AKF$39, ELIOT!$G$3:$J$9, 3, FALSE)</f>
        <v>0</v>
      </c>
      <c r="AKG58" s="6">
        <f>VLOOKUP(AKG$39, ELIOT!$G$3:$J$9, 3, FALSE)</f>
        <v>0</v>
      </c>
      <c r="AKH58" s="6">
        <f>VLOOKUP(AKH$39, ELIOT!$G$3:$J$9, 3, FALSE)</f>
        <v>0</v>
      </c>
      <c r="AKI58" s="6">
        <f>VLOOKUP(AKI$39, ELIOT!$G$3:$J$9, 3, FALSE)</f>
        <v>0</v>
      </c>
      <c r="AKJ58" s="6">
        <f>VLOOKUP(AKJ$39, ELIOT!$G$3:$J$9, 3, FALSE)</f>
        <v>0</v>
      </c>
      <c r="AKK58" s="6">
        <f>VLOOKUP(AKK$39, ELIOT!$G$3:$J$9, 3, FALSE)</f>
        <v>0</v>
      </c>
      <c r="AKL58" s="6">
        <f>VLOOKUP(AKL$39, ELIOT!$G$3:$J$9, 3, FALSE)</f>
        <v>0</v>
      </c>
      <c r="AKM58" s="6">
        <f>VLOOKUP(AKM$39, ELIOT!$G$3:$J$9, 3, FALSE)</f>
        <v>0</v>
      </c>
      <c r="AKN58" s="6">
        <f>VLOOKUP(AKN$39, ELIOT!$G$3:$J$9, 3, FALSE)</f>
        <v>0</v>
      </c>
      <c r="AKO58" s="6">
        <f>VLOOKUP(AKO$39, ELIOT!$G$3:$J$9, 3, FALSE)</f>
        <v>0</v>
      </c>
      <c r="AKP58" s="6">
        <f>VLOOKUP(AKP$39, ELIOT!$G$3:$J$9, 3, FALSE)</f>
        <v>0</v>
      </c>
      <c r="AKQ58" s="6">
        <f>VLOOKUP(AKQ$39, ELIOT!$G$3:$J$9, 3, FALSE)</f>
        <v>0</v>
      </c>
      <c r="AKR58" s="6">
        <f>VLOOKUP(AKR$39, ELIOT!$G$3:$J$9, 3, FALSE)</f>
        <v>0</v>
      </c>
      <c r="AKS58" s="6">
        <f>VLOOKUP(AKS$39, ELIOT!$G$3:$J$9, 3, FALSE)</f>
        <v>0</v>
      </c>
      <c r="AKT58" s="6">
        <f>VLOOKUP(AKT$39, ELIOT!$G$3:$J$9, 3, FALSE)</f>
        <v>0</v>
      </c>
      <c r="AKU58" s="6">
        <f>VLOOKUP(AKU$39, ELIOT!$G$3:$J$9, 3, FALSE)</f>
        <v>0</v>
      </c>
      <c r="AKV58" s="6">
        <f>VLOOKUP(AKV$39, ELIOT!$G$3:$J$9, 3, FALSE)</f>
        <v>0</v>
      </c>
      <c r="AKW58" s="6">
        <f>VLOOKUP(AKW$39, ELIOT!$G$3:$J$9, 3, FALSE)</f>
        <v>0</v>
      </c>
      <c r="AKX58" s="6">
        <f>VLOOKUP(AKX$39, ELIOT!$G$3:$J$9, 3, FALSE)</f>
        <v>0</v>
      </c>
      <c r="AKY58" s="6">
        <f>VLOOKUP(AKY$39, ELIOT!$G$3:$J$9, 3, FALSE)</f>
        <v>0</v>
      </c>
      <c r="AKZ58" s="6">
        <f>VLOOKUP(AKZ$39, ELIOT!$G$3:$J$9, 3, FALSE)</f>
        <v>0</v>
      </c>
      <c r="ALA58" s="6">
        <f>VLOOKUP(ALA$39, ELIOT!$G$3:$J$9, 3, FALSE)</f>
        <v>0</v>
      </c>
      <c r="ALB58" s="6">
        <f>VLOOKUP(ALB$39, ELIOT!$G$3:$J$9, 3, FALSE)</f>
        <v>0</v>
      </c>
      <c r="ALC58" s="6">
        <f>VLOOKUP(ALC$39, ELIOT!$G$3:$J$9, 3, FALSE)</f>
        <v>0</v>
      </c>
      <c r="ALD58" s="6">
        <f>VLOOKUP(ALD$39, ELIOT!$G$3:$J$9, 3, FALSE)</f>
        <v>0</v>
      </c>
      <c r="ALE58" s="6">
        <f>VLOOKUP(ALE$39, ELIOT!$G$3:$J$9, 3, FALSE)</f>
        <v>0</v>
      </c>
      <c r="ALF58" s="6">
        <f>VLOOKUP(ALF$39, ELIOT!$G$3:$J$9, 3, FALSE)</f>
        <v>0</v>
      </c>
      <c r="ALG58" s="6">
        <f>VLOOKUP(ALG$39, ELIOT!$G$3:$J$9, 3, FALSE)</f>
        <v>0</v>
      </c>
      <c r="ALH58" s="6">
        <f>VLOOKUP(ALH$39, ELIOT!$G$3:$J$9, 3, FALSE)</f>
        <v>0</v>
      </c>
      <c r="ALI58" s="6">
        <f>VLOOKUP(ALI$39, ELIOT!$G$3:$J$9, 3, FALSE)</f>
        <v>0</v>
      </c>
      <c r="ALJ58" s="6">
        <f>VLOOKUP(ALJ$39, ELIOT!$G$3:$J$9, 3, FALSE)</f>
        <v>0</v>
      </c>
      <c r="ALK58" s="6">
        <f>VLOOKUP(ALK$39, ELIOT!$G$3:$J$9, 3, FALSE)</f>
        <v>0</v>
      </c>
      <c r="ALL58" s="6">
        <f>VLOOKUP(ALL$39, ELIOT!$G$3:$J$9, 3, FALSE)</f>
        <v>0</v>
      </c>
      <c r="ALM58" s="6">
        <f>VLOOKUP(ALM$39, ELIOT!$G$3:$J$9, 3, FALSE)</f>
        <v>0</v>
      </c>
      <c r="ALN58" s="6">
        <f>VLOOKUP(ALN$39, ELIOT!$G$3:$J$9, 3, FALSE)</f>
        <v>0</v>
      </c>
      <c r="ALO58" s="6">
        <f>VLOOKUP(ALO$39, ELIOT!$G$3:$J$9, 3, FALSE)</f>
        <v>0</v>
      </c>
      <c r="ALP58" s="6">
        <f>VLOOKUP(ALP$39, ELIOT!$G$3:$J$9, 3, FALSE)</f>
        <v>0</v>
      </c>
      <c r="ALQ58" s="6">
        <f>VLOOKUP(ALQ$39, ELIOT!$G$3:$J$9, 3, FALSE)</f>
        <v>0</v>
      </c>
      <c r="ALR58" s="6">
        <f>VLOOKUP(ALR$39, ELIOT!$G$3:$J$9, 3, FALSE)</f>
        <v>0</v>
      </c>
      <c r="ALS58" s="6">
        <f>VLOOKUP(ALS$39, ELIOT!$G$3:$J$9, 3, FALSE)</f>
        <v>0</v>
      </c>
      <c r="ALT58" s="6">
        <f>VLOOKUP(ALT$39, ELIOT!$G$3:$J$9, 3, FALSE)</f>
        <v>0</v>
      </c>
      <c r="ALU58" s="6">
        <f>VLOOKUP(ALU$39, ELIOT!$G$3:$J$9, 3, FALSE)</f>
        <v>0</v>
      </c>
      <c r="ALV58" s="6">
        <f>VLOOKUP(ALV$39, ELIOT!$G$3:$J$9, 3, FALSE)</f>
        <v>0</v>
      </c>
      <c r="ALW58" s="6">
        <f>VLOOKUP(ALW$39, ELIOT!$G$3:$J$9, 3, FALSE)</f>
        <v>0</v>
      </c>
    </row>
    <row r="59" spans="2:1011" outlineLevel="1" x14ac:dyDescent="0.25">
      <c r="C59" s="5" t="s">
        <v>18</v>
      </c>
      <c r="D59" s="6">
        <f>VLOOKUP(D$43, CAMEO!$G$3:$J$9, 3, FALSE)</f>
        <v>0.1</v>
      </c>
      <c r="E59" s="6">
        <f>VLOOKUP(E$43, CAMEO!$G$3:$J$9, 3, FALSE)</f>
        <v>0.1</v>
      </c>
      <c r="F59" s="6">
        <f>VLOOKUP(F$43, CAMEO!$G$3:$J$9, 3, FALSE)</f>
        <v>0.1</v>
      </c>
      <c r="G59" s="6">
        <f>VLOOKUP(G$43, CAMEO!$G$3:$J$9, 3, FALSE)</f>
        <v>0.1</v>
      </c>
      <c r="H59" s="6">
        <f>VLOOKUP(H$43, CAMEO!$G$3:$J$9, 3, FALSE)</f>
        <v>0.1</v>
      </c>
      <c r="I59" s="6">
        <f>VLOOKUP(I$43, CAMEO!$G$3:$J$9, 3, FALSE)</f>
        <v>0.1</v>
      </c>
      <c r="J59" s="6">
        <f>VLOOKUP(J$43, CAMEO!$G$3:$J$9, 3, FALSE)</f>
        <v>0.1</v>
      </c>
      <c r="K59" s="6">
        <f>VLOOKUP(K$43, CAMEO!$G$3:$J$9, 3, FALSE)</f>
        <v>0.1</v>
      </c>
      <c r="L59" s="6">
        <f>VLOOKUP(L$43, CAMEO!$G$3:$J$9, 3, FALSE)</f>
        <v>0.1</v>
      </c>
      <c r="M59" s="6">
        <f>VLOOKUP(M$43, CAMEO!$G$3:$J$9, 3, FALSE)</f>
        <v>0.1</v>
      </c>
      <c r="N59" s="6">
        <f>VLOOKUP(N$43, CAMEO!$G$3:$J$9, 3, FALSE)</f>
        <v>0.1</v>
      </c>
      <c r="O59" s="6">
        <f>VLOOKUP(O$43, CAMEO!$G$3:$J$9, 3, FALSE)</f>
        <v>0.1</v>
      </c>
      <c r="P59" s="6">
        <f>VLOOKUP(P$43, CAMEO!$G$3:$J$9, 3, FALSE)</f>
        <v>0.1</v>
      </c>
      <c r="Q59" s="6">
        <f>VLOOKUP(Q$43, CAMEO!$G$3:$J$9, 3, FALSE)</f>
        <v>0.1</v>
      </c>
      <c r="R59" s="6">
        <f>VLOOKUP(R$43, CAMEO!$G$3:$J$9, 3, FALSE)</f>
        <v>0.1</v>
      </c>
      <c r="S59" s="6">
        <f>VLOOKUP(S$43, CAMEO!$G$3:$J$9, 3, FALSE)</f>
        <v>0.1</v>
      </c>
      <c r="T59" s="6">
        <f>VLOOKUP(T$43, CAMEO!$G$3:$J$9, 3, FALSE)</f>
        <v>0.1</v>
      </c>
      <c r="U59" s="6">
        <f>VLOOKUP(U$43, CAMEO!$G$3:$J$9, 3, FALSE)</f>
        <v>0.1</v>
      </c>
      <c r="V59" s="6">
        <f>VLOOKUP(V$43, CAMEO!$G$3:$J$9, 3, FALSE)</f>
        <v>0.1</v>
      </c>
      <c r="W59" s="6">
        <f>VLOOKUP(W$43, CAMEO!$G$3:$J$9, 3, FALSE)</f>
        <v>0.1</v>
      </c>
      <c r="X59" s="6">
        <f>VLOOKUP(X$43, CAMEO!$G$3:$J$9, 3, FALSE)</f>
        <v>0.1</v>
      </c>
      <c r="Y59" s="6">
        <f>VLOOKUP(Y$43, CAMEO!$G$3:$J$9, 3, FALSE)</f>
        <v>0.1</v>
      </c>
      <c r="Z59" s="6">
        <f>VLOOKUP(Z$43, CAMEO!$G$3:$J$9, 3, FALSE)</f>
        <v>0.1</v>
      </c>
      <c r="AA59" s="6">
        <f>VLOOKUP(AA$43, CAMEO!$G$3:$J$9, 3, FALSE)</f>
        <v>0.1</v>
      </c>
      <c r="AB59" s="6">
        <f>VLOOKUP(AB$43, CAMEO!$G$3:$J$9, 3, FALSE)</f>
        <v>0.1</v>
      </c>
      <c r="AC59" s="6">
        <f>VLOOKUP(AC$43, CAMEO!$G$3:$J$9, 3, FALSE)</f>
        <v>0.1</v>
      </c>
      <c r="AD59" s="6">
        <f>VLOOKUP(AD$43, CAMEO!$G$3:$J$9, 3, FALSE)</f>
        <v>0.1</v>
      </c>
      <c r="AE59" s="6">
        <f>VLOOKUP(AE$43, CAMEO!$G$3:$J$9, 3, FALSE)</f>
        <v>0.1</v>
      </c>
      <c r="AF59" s="6">
        <f>VLOOKUP(AF$43, CAMEO!$G$3:$J$9, 3, FALSE)</f>
        <v>0.1</v>
      </c>
      <c r="AG59" s="6">
        <f>VLOOKUP(AG$43, CAMEO!$G$3:$J$9, 3, FALSE)</f>
        <v>0.1</v>
      </c>
      <c r="AH59" s="6">
        <f>VLOOKUP(AH$43, CAMEO!$G$3:$J$9, 3, FALSE)</f>
        <v>0.1</v>
      </c>
      <c r="AI59" s="6">
        <f>VLOOKUP(AI$43, CAMEO!$G$3:$J$9, 3, FALSE)</f>
        <v>0.1</v>
      </c>
      <c r="AJ59" s="6">
        <f>VLOOKUP(AJ$43, CAMEO!$G$3:$J$9, 3, FALSE)</f>
        <v>0.1</v>
      </c>
      <c r="AK59" s="6">
        <f>VLOOKUP(AK$43, CAMEO!$G$3:$J$9, 3, FALSE)</f>
        <v>0.1</v>
      </c>
      <c r="AL59" s="6">
        <f>VLOOKUP(AL$43, CAMEO!$G$3:$J$9, 3, FALSE)</f>
        <v>0.1</v>
      </c>
      <c r="AM59" s="6">
        <f>VLOOKUP(AM$43, CAMEO!$G$3:$J$9, 3, FALSE)</f>
        <v>0.1</v>
      </c>
      <c r="AN59" s="6">
        <f>VLOOKUP(AN$43, CAMEO!$G$3:$J$9, 3, FALSE)</f>
        <v>0.1</v>
      </c>
      <c r="AO59" s="6">
        <f>VLOOKUP(AO$43, CAMEO!$G$3:$J$9, 3, FALSE)</f>
        <v>0.1</v>
      </c>
      <c r="AP59" s="6">
        <f>VLOOKUP(AP$43, CAMEO!$G$3:$J$9, 3, FALSE)</f>
        <v>0.1</v>
      </c>
      <c r="AQ59" s="6">
        <f>VLOOKUP(AQ$43, CAMEO!$G$3:$J$9, 3, FALSE)</f>
        <v>0.1</v>
      </c>
      <c r="AR59" s="6">
        <f>VLOOKUP(AR$43, CAMEO!$G$3:$J$9, 3, FALSE)</f>
        <v>0.1</v>
      </c>
      <c r="AS59" s="6">
        <f>VLOOKUP(AS$43, CAMEO!$G$3:$J$9, 3, FALSE)</f>
        <v>0.1</v>
      </c>
      <c r="AT59" s="6">
        <f>VLOOKUP(AT$43, CAMEO!$G$3:$J$9, 3, FALSE)</f>
        <v>0.1</v>
      </c>
      <c r="AU59" s="6">
        <f>VLOOKUP(AU$43, CAMEO!$G$3:$J$9, 3, FALSE)</f>
        <v>0.1</v>
      </c>
      <c r="AV59" s="6">
        <f>VLOOKUP(AV$43, CAMEO!$G$3:$J$9, 3, FALSE)</f>
        <v>0.1</v>
      </c>
      <c r="AW59" s="6">
        <f>VLOOKUP(AW$43, CAMEO!$G$3:$J$9, 3, FALSE)</f>
        <v>0.1</v>
      </c>
      <c r="AX59" s="6">
        <f>VLOOKUP(AX$43, CAMEO!$G$3:$J$9, 3, FALSE)</f>
        <v>0.1</v>
      </c>
      <c r="AY59" s="6">
        <f>VLOOKUP(AY$43, CAMEO!$G$3:$J$9, 3, FALSE)</f>
        <v>0.1</v>
      </c>
      <c r="AZ59" s="6">
        <f>VLOOKUP(AZ$43, CAMEO!$G$3:$J$9, 3, FALSE)</f>
        <v>0.1</v>
      </c>
      <c r="BA59" s="6">
        <f>VLOOKUP(BA$43, CAMEO!$G$3:$J$9, 3, FALSE)</f>
        <v>0.1</v>
      </c>
      <c r="BB59" s="6">
        <f>VLOOKUP(BB$43, CAMEO!$G$3:$J$9, 3, FALSE)</f>
        <v>0.1</v>
      </c>
      <c r="BC59" s="6">
        <f>VLOOKUP(BC$43, CAMEO!$G$3:$J$9, 3, FALSE)</f>
        <v>0.1</v>
      </c>
      <c r="BD59" s="6">
        <f>VLOOKUP(BD$43, CAMEO!$G$3:$J$9, 3, FALSE)</f>
        <v>0.1</v>
      </c>
      <c r="BE59" s="6">
        <f>VLOOKUP(BE$43, CAMEO!$G$3:$J$9, 3, FALSE)</f>
        <v>0.1</v>
      </c>
      <c r="BF59" s="6">
        <f>VLOOKUP(BF$43, CAMEO!$G$3:$J$9, 3, FALSE)</f>
        <v>0.1</v>
      </c>
      <c r="BG59" s="6">
        <f>VLOOKUP(BG$43, CAMEO!$G$3:$J$9, 3, FALSE)</f>
        <v>0.1</v>
      </c>
      <c r="BH59" s="6">
        <f>VLOOKUP(BH$43, CAMEO!$G$3:$J$9, 3, FALSE)</f>
        <v>0.1</v>
      </c>
      <c r="BI59" s="6">
        <f>VLOOKUP(BI$43, CAMEO!$G$3:$J$9, 3, FALSE)</f>
        <v>0.1</v>
      </c>
      <c r="BJ59" s="6">
        <f>VLOOKUP(BJ$43, CAMEO!$G$3:$J$9, 3, FALSE)</f>
        <v>0.1</v>
      </c>
      <c r="BK59" s="6">
        <f>VLOOKUP(BK$43, CAMEO!$G$3:$J$9, 3, FALSE)</f>
        <v>0.1</v>
      </c>
      <c r="BL59" s="6">
        <f>VLOOKUP(BL$43, CAMEO!$G$3:$J$9, 3, FALSE)</f>
        <v>0.1</v>
      </c>
      <c r="BM59" s="6">
        <f>VLOOKUP(BM$43, CAMEO!$G$3:$J$9, 3, FALSE)</f>
        <v>0.1</v>
      </c>
      <c r="BN59" s="6">
        <f>VLOOKUP(BN$43, CAMEO!$G$3:$J$9, 3, FALSE)</f>
        <v>0.1</v>
      </c>
      <c r="BO59" s="6">
        <f>VLOOKUP(BO$43, CAMEO!$G$3:$J$9, 3, FALSE)</f>
        <v>0.1</v>
      </c>
      <c r="BP59" s="6">
        <f>VLOOKUP(BP$43, CAMEO!$G$3:$J$9, 3, FALSE)</f>
        <v>0.1</v>
      </c>
      <c r="BQ59" s="6">
        <f>VLOOKUP(BQ$43, CAMEO!$G$3:$J$9, 3, FALSE)</f>
        <v>0.1</v>
      </c>
      <c r="BR59" s="6">
        <f>VLOOKUP(BR$43, CAMEO!$G$3:$J$9, 3, FALSE)</f>
        <v>0.1</v>
      </c>
      <c r="BS59" s="6">
        <f>VLOOKUP(BS$43, CAMEO!$G$3:$J$9, 3, FALSE)</f>
        <v>0.1</v>
      </c>
      <c r="BT59" s="6">
        <f>VLOOKUP(BT$43, CAMEO!$G$3:$J$9, 3, FALSE)</f>
        <v>0.1</v>
      </c>
      <c r="BU59" s="6">
        <f>VLOOKUP(BU$43, CAMEO!$G$3:$J$9, 3, FALSE)</f>
        <v>0.1</v>
      </c>
      <c r="BV59" s="6">
        <f>VLOOKUP(BV$43, CAMEO!$G$3:$J$9, 3, FALSE)</f>
        <v>0.1</v>
      </c>
      <c r="BW59" s="6">
        <f>VLOOKUP(BW$43, CAMEO!$G$3:$J$9, 3, FALSE)</f>
        <v>0.1</v>
      </c>
      <c r="BX59" s="6">
        <f>VLOOKUP(BX$43, CAMEO!$G$3:$J$9, 3, FALSE)</f>
        <v>0.1</v>
      </c>
      <c r="BY59" s="6">
        <f>VLOOKUP(BY$43, CAMEO!$G$3:$J$9, 3, FALSE)</f>
        <v>0.1</v>
      </c>
      <c r="BZ59" s="6">
        <f>VLOOKUP(BZ$43, CAMEO!$G$3:$J$9, 3, FALSE)</f>
        <v>0.1</v>
      </c>
      <c r="CA59" s="6">
        <f>VLOOKUP(CA$43, CAMEO!$G$3:$J$9, 3, FALSE)</f>
        <v>0.1</v>
      </c>
      <c r="CB59" s="6">
        <f>VLOOKUP(CB$43, CAMEO!$G$3:$J$9, 3, FALSE)</f>
        <v>0.1</v>
      </c>
      <c r="CC59" s="6">
        <f>VLOOKUP(CC$43, CAMEO!$G$3:$J$9, 3, FALSE)</f>
        <v>0.1</v>
      </c>
      <c r="CD59" s="6">
        <f>VLOOKUP(CD$43, CAMEO!$G$3:$J$9, 3, FALSE)</f>
        <v>0.1</v>
      </c>
      <c r="CE59" s="6">
        <f>VLOOKUP(CE$43, CAMEO!$G$3:$J$9, 3, FALSE)</f>
        <v>0.1</v>
      </c>
      <c r="CF59" s="6">
        <f>VLOOKUP(CF$43, CAMEO!$G$3:$J$9, 3, FALSE)</f>
        <v>0.1</v>
      </c>
      <c r="CG59" s="6">
        <f>VLOOKUP(CG$43, CAMEO!$G$3:$J$9, 3, FALSE)</f>
        <v>0.1</v>
      </c>
      <c r="CH59" s="6">
        <f>VLOOKUP(CH$43, CAMEO!$G$3:$J$9, 3, FALSE)</f>
        <v>0.1</v>
      </c>
      <c r="CI59" s="6">
        <f>VLOOKUP(CI$43, CAMEO!$G$3:$J$9, 3, FALSE)</f>
        <v>0.1</v>
      </c>
      <c r="CJ59" s="6">
        <f>VLOOKUP(CJ$43, CAMEO!$G$3:$J$9, 3, FALSE)</f>
        <v>0.1</v>
      </c>
      <c r="CK59" s="6">
        <f>VLOOKUP(CK$43, CAMEO!$G$3:$J$9, 3, FALSE)</f>
        <v>0.1</v>
      </c>
      <c r="CL59" s="6">
        <f>VLOOKUP(CL$43, CAMEO!$G$3:$J$9, 3, FALSE)</f>
        <v>0.17</v>
      </c>
      <c r="CM59" s="6">
        <f>VLOOKUP(CM$43, CAMEO!$G$3:$J$9, 3, FALSE)</f>
        <v>0.17</v>
      </c>
      <c r="CN59" s="6">
        <f>VLOOKUP(CN$43, CAMEO!$G$3:$J$9, 3, FALSE)</f>
        <v>0.17</v>
      </c>
      <c r="CO59" s="6">
        <f>VLOOKUP(CO$43, CAMEO!$G$3:$J$9, 3, FALSE)</f>
        <v>0.1</v>
      </c>
      <c r="CP59" s="6">
        <f>VLOOKUP(CP$43, CAMEO!$G$3:$J$9, 3, FALSE)</f>
        <v>0.1</v>
      </c>
      <c r="CQ59" s="6">
        <f>VLOOKUP(CQ$43, CAMEO!$G$3:$J$9, 3, FALSE)</f>
        <v>0.1</v>
      </c>
      <c r="CR59" s="6">
        <f>VLOOKUP(CR$43, CAMEO!$G$3:$J$9, 3, FALSE)</f>
        <v>0.1</v>
      </c>
      <c r="CS59" s="6">
        <f>VLOOKUP(CS$43, CAMEO!$G$3:$J$9, 3, FALSE)</f>
        <v>0.1</v>
      </c>
      <c r="CT59" s="6">
        <f>VLOOKUP(CT$43, CAMEO!$G$3:$J$9, 3, FALSE)</f>
        <v>0.1</v>
      </c>
      <c r="CU59" s="6">
        <f>VLOOKUP(CU$43, CAMEO!$G$3:$J$9, 3, FALSE)</f>
        <v>0.1</v>
      </c>
      <c r="CV59" s="6">
        <f>VLOOKUP(CV$43, CAMEO!$G$3:$J$9, 3, FALSE)</f>
        <v>0.1</v>
      </c>
      <c r="CW59" s="6">
        <f>VLOOKUP(CW$43, CAMEO!$G$3:$J$9, 3, FALSE)</f>
        <v>0.1</v>
      </c>
      <c r="CX59" s="6">
        <f>VLOOKUP(CX$43, CAMEO!$G$3:$J$9, 3, FALSE)</f>
        <v>0.1</v>
      </c>
      <c r="CY59" s="6">
        <f>VLOOKUP(CY$43, CAMEO!$G$3:$J$9, 3, FALSE)</f>
        <v>0.1</v>
      </c>
      <c r="CZ59" s="6">
        <f>VLOOKUP(CZ$43, CAMEO!$G$3:$J$9, 3, FALSE)</f>
        <v>0.1</v>
      </c>
      <c r="DA59" s="6">
        <f>VLOOKUP(DA$43, CAMEO!$G$3:$J$9, 3, FALSE)</f>
        <v>0.1</v>
      </c>
      <c r="DB59" s="6">
        <f>VLOOKUP(DB$43, CAMEO!$G$3:$J$9, 3, FALSE)</f>
        <v>0.1</v>
      </c>
      <c r="DC59" s="6">
        <f>VLOOKUP(DC$43, CAMEO!$G$3:$J$9, 3, FALSE)</f>
        <v>0.1</v>
      </c>
      <c r="DD59" s="6">
        <f>VLOOKUP(DD$43, CAMEO!$G$3:$J$9, 3, FALSE)</f>
        <v>0.1</v>
      </c>
      <c r="DE59" s="6">
        <f>VLOOKUP(DE$43, CAMEO!$G$3:$J$9, 3, FALSE)</f>
        <v>0.1</v>
      </c>
      <c r="DF59" s="6">
        <f>VLOOKUP(DF$43, CAMEO!$G$3:$J$9, 3, FALSE)</f>
        <v>0.1</v>
      </c>
      <c r="DG59" s="6">
        <f>VLOOKUP(DG$43, CAMEO!$G$3:$J$9, 3, FALSE)</f>
        <v>0.1</v>
      </c>
      <c r="DH59" s="6">
        <f>VLOOKUP(DH$43, CAMEO!$G$3:$J$9, 3, FALSE)</f>
        <v>0.1</v>
      </c>
      <c r="DI59" s="6">
        <f>VLOOKUP(DI$43, CAMEO!$G$3:$J$9, 3, FALSE)</f>
        <v>0.1</v>
      </c>
      <c r="DJ59" s="6">
        <f>VLOOKUP(DJ$43, CAMEO!$G$3:$J$9, 3, FALSE)</f>
        <v>0.1</v>
      </c>
      <c r="DK59" s="6">
        <f>VLOOKUP(DK$43, CAMEO!$G$3:$J$9, 3, FALSE)</f>
        <v>0.1</v>
      </c>
      <c r="DL59" s="6">
        <f>VLOOKUP(DL$43, CAMEO!$G$3:$J$9, 3, FALSE)</f>
        <v>0.1</v>
      </c>
      <c r="DM59" s="6">
        <f>VLOOKUP(DM$43, CAMEO!$G$3:$J$9, 3, FALSE)</f>
        <v>0.1</v>
      </c>
      <c r="DN59" s="6">
        <f>VLOOKUP(DN$43, CAMEO!$G$3:$J$9, 3, FALSE)</f>
        <v>0.1</v>
      </c>
      <c r="DO59" s="6">
        <f>VLOOKUP(DO$43, CAMEO!$G$3:$J$9, 3, FALSE)</f>
        <v>0.1</v>
      </c>
      <c r="DP59" s="6">
        <f>VLOOKUP(DP$43, CAMEO!$G$3:$J$9, 3, FALSE)</f>
        <v>0.1</v>
      </c>
      <c r="DQ59" s="6">
        <f>VLOOKUP(DQ$43, CAMEO!$G$3:$J$9, 3, FALSE)</f>
        <v>0.1</v>
      </c>
      <c r="DR59" s="6">
        <f>VLOOKUP(DR$43, CAMEO!$G$3:$J$9, 3, FALSE)</f>
        <v>0.1</v>
      </c>
      <c r="DS59" s="6">
        <f>VLOOKUP(DS$43, CAMEO!$G$3:$J$9, 3, FALSE)</f>
        <v>0.1</v>
      </c>
      <c r="DT59" s="6">
        <f>VLOOKUP(DT$43, CAMEO!$G$3:$J$9, 3, FALSE)</f>
        <v>0.1</v>
      </c>
      <c r="DU59" s="6">
        <f>VLOOKUP(DU$43, CAMEO!$G$3:$J$9, 3, FALSE)</f>
        <v>0.1</v>
      </c>
      <c r="DV59" s="6">
        <f>VLOOKUP(DV$43, CAMEO!$G$3:$J$9, 3, FALSE)</f>
        <v>0.1</v>
      </c>
      <c r="DW59" s="6">
        <f>VLOOKUP(DW$43, CAMEO!$G$3:$J$9, 3, FALSE)</f>
        <v>0.1</v>
      </c>
      <c r="DX59" s="6">
        <f>VLOOKUP(DX$43, CAMEO!$G$3:$J$9, 3, FALSE)</f>
        <v>0.1</v>
      </c>
      <c r="DY59" s="6">
        <f>VLOOKUP(DY$43, CAMEO!$G$3:$J$9, 3, FALSE)</f>
        <v>0</v>
      </c>
      <c r="DZ59" s="6">
        <f>VLOOKUP(DZ$43, CAMEO!$G$3:$J$9, 3, FALSE)</f>
        <v>0</v>
      </c>
      <c r="EA59" s="6">
        <f>VLOOKUP(EA$43, CAMEO!$G$3:$J$9, 3, FALSE)</f>
        <v>0</v>
      </c>
      <c r="EB59" s="6">
        <f>VLOOKUP(EB$43, CAMEO!$G$3:$J$9, 3, FALSE)</f>
        <v>0</v>
      </c>
      <c r="EC59" s="6">
        <f>VLOOKUP(EC$43, CAMEO!$G$3:$J$9, 3, FALSE)</f>
        <v>0</v>
      </c>
      <c r="ED59" s="6">
        <f>VLOOKUP(ED$43, CAMEO!$G$3:$J$9, 3, FALSE)</f>
        <v>0</v>
      </c>
      <c r="EE59" s="6">
        <f>VLOOKUP(EE$43, CAMEO!$G$3:$J$9, 3, FALSE)</f>
        <v>0</v>
      </c>
      <c r="EF59" s="6">
        <f>VLOOKUP(EF$43, CAMEO!$G$3:$J$9, 3, FALSE)</f>
        <v>0</v>
      </c>
      <c r="EG59" s="6">
        <f>VLOOKUP(EG$43, CAMEO!$G$3:$J$9, 3, FALSE)</f>
        <v>0</v>
      </c>
      <c r="EH59" s="6">
        <f>VLOOKUP(EH$43, CAMEO!$G$3:$J$9, 3, FALSE)</f>
        <v>0</v>
      </c>
      <c r="EI59" s="6">
        <f>VLOOKUP(EI$43, CAMEO!$G$3:$J$9, 3, FALSE)</f>
        <v>0</v>
      </c>
      <c r="EJ59" s="6">
        <f>VLOOKUP(EJ$43, CAMEO!$G$3:$J$9, 3, FALSE)</f>
        <v>0</v>
      </c>
      <c r="EK59" s="6">
        <f>VLOOKUP(EK$43, CAMEO!$G$3:$J$9, 3, FALSE)</f>
        <v>0</v>
      </c>
      <c r="EL59" s="6">
        <f>VLOOKUP(EL$43, CAMEO!$G$3:$J$9, 3, FALSE)</f>
        <v>0</v>
      </c>
      <c r="EM59" s="6">
        <f>VLOOKUP(EM$43, CAMEO!$G$3:$J$9, 3, FALSE)</f>
        <v>0</v>
      </c>
      <c r="EN59" s="6">
        <f>VLOOKUP(EN$43, CAMEO!$G$3:$J$9, 3, FALSE)</f>
        <v>0</v>
      </c>
      <c r="EO59" s="6">
        <f>VLOOKUP(EO$43, CAMEO!$G$3:$J$9, 3, FALSE)</f>
        <v>0</v>
      </c>
      <c r="EP59" s="6">
        <f>VLOOKUP(EP$43, CAMEO!$G$3:$J$9, 3, FALSE)</f>
        <v>0</v>
      </c>
      <c r="EQ59" s="6">
        <f>VLOOKUP(EQ$43, CAMEO!$G$3:$J$9, 3, FALSE)</f>
        <v>0</v>
      </c>
      <c r="ER59" s="6">
        <f>VLOOKUP(ER$43, CAMEO!$G$3:$J$9, 3, FALSE)</f>
        <v>0</v>
      </c>
      <c r="ES59" s="6">
        <f>VLOOKUP(ES$43, CAMEO!$G$3:$J$9, 3, FALSE)</f>
        <v>0</v>
      </c>
      <c r="ET59" s="6">
        <f>VLOOKUP(ET$43, CAMEO!$G$3:$J$9, 3, FALSE)</f>
        <v>0</v>
      </c>
      <c r="EU59" s="6">
        <f>VLOOKUP(EU$43, CAMEO!$G$3:$J$9, 3, FALSE)</f>
        <v>0</v>
      </c>
      <c r="EV59" s="6">
        <f>VLOOKUP(EV$43, CAMEO!$G$3:$J$9, 3, FALSE)</f>
        <v>0</v>
      </c>
      <c r="EW59" s="6">
        <f>VLOOKUP(EW$43, CAMEO!$G$3:$J$9, 3, FALSE)</f>
        <v>0</v>
      </c>
      <c r="EX59" s="6">
        <f>VLOOKUP(EX$43, CAMEO!$G$3:$J$9, 3, FALSE)</f>
        <v>0</v>
      </c>
      <c r="EY59" s="6">
        <f>VLOOKUP(EY$43, CAMEO!$G$3:$J$9, 3, FALSE)</f>
        <v>0</v>
      </c>
      <c r="EZ59" s="6">
        <f>VLOOKUP(EZ$43, CAMEO!$G$3:$J$9, 3, FALSE)</f>
        <v>0</v>
      </c>
      <c r="FA59" s="6">
        <f>VLOOKUP(FA$43, CAMEO!$G$3:$J$9, 3, FALSE)</f>
        <v>0</v>
      </c>
      <c r="FB59" s="6">
        <f>VLOOKUP(FB$43, CAMEO!$G$3:$J$9, 3, FALSE)</f>
        <v>0</v>
      </c>
      <c r="FC59" s="6">
        <f>VLOOKUP(FC$43, CAMEO!$G$3:$J$9, 3, FALSE)</f>
        <v>0</v>
      </c>
      <c r="FD59" s="6">
        <f>VLOOKUP(FD$43, CAMEO!$G$3:$J$9, 3, FALSE)</f>
        <v>0</v>
      </c>
      <c r="FE59" s="6">
        <f>VLOOKUP(FE$43, CAMEO!$G$3:$J$9, 3, FALSE)</f>
        <v>0</v>
      </c>
      <c r="FF59" s="6">
        <f>VLOOKUP(FF$43, CAMEO!$G$3:$J$9, 3, FALSE)</f>
        <v>0</v>
      </c>
      <c r="FG59" s="6">
        <f>VLOOKUP(FG$43, CAMEO!$G$3:$J$9, 3, FALSE)</f>
        <v>0</v>
      </c>
      <c r="FH59" s="6">
        <f>VLOOKUP(FH$43, CAMEO!$G$3:$J$9, 3, FALSE)</f>
        <v>0</v>
      </c>
      <c r="FI59" s="6">
        <f>VLOOKUP(FI$43, CAMEO!$G$3:$J$9, 3, FALSE)</f>
        <v>0</v>
      </c>
      <c r="FJ59" s="6">
        <f>VLOOKUP(FJ$43, CAMEO!$G$3:$J$9, 3, FALSE)</f>
        <v>0</v>
      </c>
      <c r="FK59" s="6">
        <f>VLOOKUP(FK$43, CAMEO!$G$3:$J$9, 3, FALSE)</f>
        <v>0</v>
      </c>
      <c r="FL59" s="6">
        <f>VLOOKUP(FL$43, CAMEO!$G$3:$J$9, 3, FALSE)</f>
        <v>0</v>
      </c>
      <c r="FM59" s="6">
        <f>VLOOKUP(FM$43, CAMEO!$G$3:$J$9, 3, FALSE)</f>
        <v>0</v>
      </c>
      <c r="FN59" s="6">
        <f>VLOOKUP(FN$43, CAMEO!$G$3:$J$9, 3, FALSE)</f>
        <v>0</v>
      </c>
      <c r="FO59" s="6">
        <f>VLOOKUP(FO$43, CAMEO!$G$3:$J$9, 3, FALSE)</f>
        <v>0</v>
      </c>
      <c r="FP59" s="6">
        <f>VLOOKUP(FP$43, CAMEO!$G$3:$J$9, 3, FALSE)</f>
        <v>0</v>
      </c>
      <c r="FQ59" s="6">
        <f>VLOOKUP(FQ$43, CAMEO!$G$3:$J$9, 3, FALSE)</f>
        <v>0</v>
      </c>
      <c r="FR59" s="6">
        <f>VLOOKUP(FR$43, CAMEO!$G$3:$J$9, 3, FALSE)</f>
        <v>0</v>
      </c>
      <c r="FS59" s="6">
        <f>VLOOKUP(FS$43, CAMEO!$G$3:$J$9, 3, FALSE)</f>
        <v>0</v>
      </c>
      <c r="FT59" s="6">
        <f>VLOOKUP(FT$43, CAMEO!$G$3:$J$9, 3, FALSE)</f>
        <v>0</v>
      </c>
      <c r="FU59" s="6">
        <f>VLOOKUP(FU$43, CAMEO!$G$3:$J$9, 3, FALSE)</f>
        <v>0</v>
      </c>
      <c r="FV59" s="6">
        <f>VLOOKUP(FV$43, CAMEO!$G$3:$J$9, 3, FALSE)</f>
        <v>0</v>
      </c>
      <c r="FW59" s="6">
        <f>VLOOKUP(FW$43, CAMEO!$G$3:$J$9, 3, FALSE)</f>
        <v>0</v>
      </c>
      <c r="FX59" s="6">
        <f>VLOOKUP(FX$43, CAMEO!$G$3:$J$9, 3, FALSE)</f>
        <v>0</v>
      </c>
      <c r="FY59" s="6">
        <f>VLOOKUP(FY$43, CAMEO!$G$3:$J$9, 3, FALSE)</f>
        <v>0</v>
      </c>
      <c r="FZ59" s="6">
        <f>VLOOKUP(FZ$43, CAMEO!$G$3:$J$9, 3, FALSE)</f>
        <v>0</v>
      </c>
      <c r="GA59" s="6">
        <f>VLOOKUP(GA$43, CAMEO!$G$3:$J$9, 3, FALSE)</f>
        <v>0</v>
      </c>
      <c r="GB59" s="6">
        <f>VLOOKUP(GB$43, CAMEO!$G$3:$J$9, 3, FALSE)</f>
        <v>0</v>
      </c>
      <c r="GC59" s="6">
        <f>VLOOKUP(GC$43, CAMEO!$G$3:$J$9, 3, FALSE)</f>
        <v>0</v>
      </c>
      <c r="GD59" s="6">
        <f>VLOOKUP(GD$43, CAMEO!$G$3:$J$9, 3, FALSE)</f>
        <v>0</v>
      </c>
      <c r="GE59" s="6">
        <f>VLOOKUP(GE$43, CAMEO!$G$3:$J$9, 3, FALSE)</f>
        <v>0</v>
      </c>
      <c r="GF59" s="6">
        <f>VLOOKUP(GF$43, CAMEO!$G$3:$J$9, 3, FALSE)</f>
        <v>0</v>
      </c>
      <c r="GG59" s="6">
        <f>VLOOKUP(GG$43, CAMEO!$G$3:$J$9, 3, FALSE)</f>
        <v>0</v>
      </c>
      <c r="GH59" s="6">
        <f>VLOOKUP(GH$43, CAMEO!$G$3:$J$9, 3, FALSE)</f>
        <v>0</v>
      </c>
      <c r="GI59" s="6">
        <f>VLOOKUP(GI$43, CAMEO!$G$3:$J$9, 3, FALSE)</f>
        <v>0</v>
      </c>
      <c r="GJ59" s="6">
        <f>VLOOKUP(GJ$43, CAMEO!$G$3:$J$9, 3, FALSE)</f>
        <v>0</v>
      </c>
      <c r="GK59" s="6">
        <f>VLOOKUP(GK$43, CAMEO!$G$3:$J$9, 3, FALSE)</f>
        <v>0</v>
      </c>
      <c r="GL59" s="6">
        <f>VLOOKUP(GL$43, CAMEO!$G$3:$J$9, 3, FALSE)</f>
        <v>0</v>
      </c>
      <c r="GM59" s="6">
        <f>VLOOKUP(GM$43, CAMEO!$G$3:$J$9, 3, FALSE)</f>
        <v>0</v>
      </c>
      <c r="GN59" s="6">
        <f>VLOOKUP(GN$43, CAMEO!$G$3:$J$9, 3, FALSE)</f>
        <v>0</v>
      </c>
      <c r="GO59" s="6">
        <f>VLOOKUP(GO$43, CAMEO!$G$3:$J$9, 3, FALSE)</f>
        <v>0</v>
      </c>
      <c r="GP59" s="6">
        <f>VLOOKUP(GP$43, CAMEO!$G$3:$J$9, 3, FALSE)</f>
        <v>0</v>
      </c>
      <c r="GQ59" s="6">
        <f>VLOOKUP(GQ$43, CAMEO!$G$3:$J$9, 3, FALSE)</f>
        <v>0</v>
      </c>
      <c r="GR59" s="6">
        <f>VLOOKUP(GR$43, CAMEO!$G$3:$J$9, 3, FALSE)</f>
        <v>0</v>
      </c>
      <c r="GS59" s="6">
        <f>VLOOKUP(GS$43, CAMEO!$G$3:$J$9, 3, FALSE)</f>
        <v>0</v>
      </c>
      <c r="GT59" s="6">
        <f>VLOOKUP(GT$43, CAMEO!$G$3:$J$9, 3, FALSE)</f>
        <v>0</v>
      </c>
      <c r="GU59" s="6">
        <f>VLOOKUP(GU$43, CAMEO!$G$3:$J$9, 3, FALSE)</f>
        <v>0</v>
      </c>
      <c r="GV59" s="6">
        <f>VLOOKUP(GV$43, CAMEO!$G$3:$J$9, 3, FALSE)</f>
        <v>0</v>
      </c>
      <c r="GW59" s="6">
        <f>VLOOKUP(GW$43, CAMEO!$G$3:$J$9, 3, FALSE)</f>
        <v>0</v>
      </c>
      <c r="GX59" s="6">
        <f>VLOOKUP(GX$43, CAMEO!$G$3:$J$9, 3, FALSE)</f>
        <v>0</v>
      </c>
      <c r="GY59" s="6">
        <f>VLOOKUP(GY$43, CAMEO!$G$3:$J$9, 3, FALSE)</f>
        <v>0</v>
      </c>
      <c r="GZ59" s="6">
        <f>VLOOKUP(GZ$43, CAMEO!$G$3:$J$9, 3, FALSE)</f>
        <v>0</v>
      </c>
      <c r="HA59" s="6">
        <f>VLOOKUP(HA$43, CAMEO!$G$3:$J$9, 3, FALSE)</f>
        <v>0</v>
      </c>
      <c r="HB59" s="6">
        <f>VLOOKUP(HB$43, CAMEO!$G$3:$J$9, 3, FALSE)</f>
        <v>0</v>
      </c>
      <c r="HC59" s="6">
        <f>VLOOKUP(HC$43, CAMEO!$G$3:$J$9, 3, FALSE)</f>
        <v>0</v>
      </c>
      <c r="HD59" s="6">
        <f>VLOOKUP(HD$43, CAMEO!$G$3:$J$9, 3, FALSE)</f>
        <v>0</v>
      </c>
      <c r="HE59" s="6">
        <f>VLOOKUP(HE$43, CAMEO!$G$3:$J$9, 3, FALSE)</f>
        <v>0</v>
      </c>
      <c r="HF59" s="6">
        <f>VLOOKUP(HF$43, CAMEO!$G$3:$J$9, 3, FALSE)</f>
        <v>0</v>
      </c>
      <c r="HG59" s="6">
        <f>VLOOKUP(HG$43, CAMEO!$G$3:$J$9, 3, FALSE)</f>
        <v>0</v>
      </c>
      <c r="HH59" s="6">
        <f>VLOOKUP(HH$43, CAMEO!$G$3:$J$9, 3, FALSE)</f>
        <v>0</v>
      </c>
      <c r="HI59" s="6">
        <f>VLOOKUP(HI$43, CAMEO!$G$3:$J$9, 3, FALSE)</f>
        <v>0</v>
      </c>
      <c r="HJ59" s="6">
        <f>VLOOKUP(HJ$43, CAMEO!$G$3:$J$9, 3, FALSE)</f>
        <v>0</v>
      </c>
      <c r="HK59" s="6">
        <f>VLOOKUP(HK$43, CAMEO!$G$3:$J$9, 3, FALSE)</f>
        <v>0</v>
      </c>
      <c r="HL59" s="6">
        <f>VLOOKUP(HL$43, CAMEO!$G$3:$J$9, 3, FALSE)</f>
        <v>0</v>
      </c>
      <c r="HM59" s="6">
        <f>VLOOKUP(HM$43, CAMEO!$G$3:$J$9, 3, FALSE)</f>
        <v>0</v>
      </c>
      <c r="HN59" s="6">
        <f>VLOOKUP(HN$43, CAMEO!$G$3:$J$9, 3, FALSE)</f>
        <v>0</v>
      </c>
      <c r="HO59" s="6">
        <f>VLOOKUP(HO$43, CAMEO!$G$3:$J$9, 3, FALSE)</f>
        <v>0</v>
      </c>
      <c r="HP59" s="6">
        <f>VLOOKUP(HP$43, CAMEO!$G$3:$J$9, 3, FALSE)</f>
        <v>0</v>
      </c>
      <c r="HQ59" s="6">
        <f>VLOOKUP(HQ$43, CAMEO!$G$3:$J$9, 3, FALSE)</f>
        <v>0</v>
      </c>
      <c r="HR59" s="6">
        <f>VLOOKUP(HR$43, CAMEO!$G$3:$J$9, 3, FALSE)</f>
        <v>0</v>
      </c>
      <c r="HS59" s="6">
        <f>VLOOKUP(HS$43, CAMEO!$G$3:$J$9, 3, FALSE)</f>
        <v>0</v>
      </c>
      <c r="HT59" s="6">
        <f>VLOOKUP(HT$43, CAMEO!$G$3:$J$9, 3, FALSE)</f>
        <v>0</v>
      </c>
      <c r="HU59" s="6">
        <f>VLOOKUP(HU$43, CAMEO!$G$3:$J$9, 3, FALSE)</f>
        <v>0</v>
      </c>
      <c r="HV59" s="6">
        <f>VLOOKUP(HV$43, CAMEO!$G$3:$J$9, 3, FALSE)</f>
        <v>0</v>
      </c>
      <c r="HW59" s="6">
        <f>VLOOKUP(HW$43, CAMEO!$G$3:$J$9, 3, FALSE)</f>
        <v>0</v>
      </c>
      <c r="HX59" s="6">
        <f>VLOOKUP(HX$43, CAMEO!$G$3:$J$9, 3, FALSE)</f>
        <v>0</v>
      </c>
      <c r="HY59" s="6">
        <f>VLOOKUP(HY$43, CAMEO!$G$3:$J$9, 3, FALSE)</f>
        <v>0</v>
      </c>
      <c r="HZ59" s="6">
        <f>VLOOKUP(HZ$43, CAMEO!$G$3:$J$9, 3, FALSE)</f>
        <v>0</v>
      </c>
      <c r="IA59" s="6">
        <f>VLOOKUP(IA$43, CAMEO!$G$3:$J$9, 3, FALSE)</f>
        <v>0</v>
      </c>
      <c r="IB59" s="6">
        <f>VLOOKUP(IB$43, CAMEO!$G$3:$J$9, 3, FALSE)</f>
        <v>0</v>
      </c>
      <c r="IC59" s="6">
        <f>VLOOKUP(IC$43, CAMEO!$G$3:$J$9, 3, FALSE)</f>
        <v>0</v>
      </c>
      <c r="ID59" s="6">
        <f>VLOOKUP(ID$43, CAMEO!$G$3:$J$9, 3, FALSE)</f>
        <v>0</v>
      </c>
      <c r="IE59" s="6">
        <f>VLOOKUP(IE$43, CAMEO!$G$3:$J$9, 3, FALSE)</f>
        <v>0</v>
      </c>
      <c r="IF59" s="6">
        <f>VLOOKUP(IF$43, CAMEO!$G$3:$J$9, 3, FALSE)</f>
        <v>0</v>
      </c>
      <c r="IG59" s="6">
        <f>VLOOKUP(IG$43, CAMEO!$G$3:$J$9, 3, FALSE)</f>
        <v>0</v>
      </c>
      <c r="IH59" s="6">
        <f>VLOOKUP(IH$43, CAMEO!$G$3:$J$9, 3, FALSE)</f>
        <v>0</v>
      </c>
      <c r="II59" s="6">
        <f>VLOOKUP(II$43, CAMEO!$G$3:$J$9, 3, FALSE)</f>
        <v>0</v>
      </c>
      <c r="IJ59" s="6">
        <f>VLOOKUP(IJ$43, CAMEO!$G$3:$J$9, 3, FALSE)</f>
        <v>0</v>
      </c>
      <c r="IK59" s="6">
        <f>VLOOKUP(IK$43, CAMEO!$G$3:$J$9, 3, FALSE)</f>
        <v>0</v>
      </c>
      <c r="IL59" s="6">
        <f>VLOOKUP(IL$43, CAMEO!$G$3:$J$9, 3, FALSE)</f>
        <v>0</v>
      </c>
      <c r="IM59" s="6">
        <f>VLOOKUP(IM$43, CAMEO!$G$3:$J$9, 3, FALSE)</f>
        <v>0</v>
      </c>
      <c r="IN59" s="6">
        <f>VLOOKUP(IN$43, CAMEO!$G$3:$J$9, 3, FALSE)</f>
        <v>0</v>
      </c>
      <c r="IO59" s="6">
        <f>VLOOKUP(IO$43, CAMEO!$G$3:$J$9, 3, FALSE)</f>
        <v>0</v>
      </c>
      <c r="IP59" s="6">
        <f>VLOOKUP(IP$43, CAMEO!$G$3:$J$9, 3, FALSE)</f>
        <v>0</v>
      </c>
      <c r="IQ59" s="6">
        <f>VLOOKUP(IQ$43, CAMEO!$G$3:$J$9, 3, FALSE)</f>
        <v>0</v>
      </c>
      <c r="IR59" s="6">
        <f>VLOOKUP(IR$43, CAMEO!$G$3:$J$9, 3, FALSE)</f>
        <v>0</v>
      </c>
      <c r="IS59" s="6">
        <f>VLOOKUP(IS$43, CAMEO!$G$3:$J$9, 3, FALSE)</f>
        <v>0</v>
      </c>
      <c r="IT59" s="6">
        <f>VLOOKUP(IT$43, CAMEO!$G$3:$J$9, 3, FALSE)</f>
        <v>0</v>
      </c>
      <c r="IU59" s="6">
        <f>VLOOKUP(IU$43, CAMEO!$G$3:$J$9, 3, FALSE)</f>
        <v>0</v>
      </c>
      <c r="IV59" s="6">
        <f>VLOOKUP(IV$43, CAMEO!$G$3:$J$9, 3, FALSE)</f>
        <v>0</v>
      </c>
      <c r="IW59" s="6">
        <f>VLOOKUP(IW$43, CAMEO!$G$3:$J$9, 3, FALSE)</f>
        <v>0</v>
      </c>
      <c r="IX59" s="6">
        <f>VLOOKUP(IX$43, CAMEO!$G$3:$J$9, 3, FALSE)</f>
        <v>0</v>
      </c>
      <c r="IY59" s="6">
        <f>VLOOKUP(IY$43, CAMEO!$G$3:$J$9, 3, FALSE)</f>
        <v>0</v>
      </c>
      <c r="IZ59" s="6">
        <f>VLOOKUP(IZ$43, CAMEO!$G$3:$J$9, 3, FALSE)</f>
        <v>0</v>
      </c>
      <c r="JA59" s="6">
        <f>VLOOKUP(JA$43, CAMEO!$G$3:$J$9, 3, FALSE)</f>
        <v>0</v>
      </c>
      <c r="JB59" s="6">
        <f>VLOOKUP(JB$43, CAMEO!$G$3:$J$9, 3, FALSE)</f>
        <v>0</v>
      </c>
      <c r="JC59" s="6">
        <f>VLOOKUP(JC$43, CAMEO!$G$3:$J$9, 3, FALSE)</f>
        <v>0</v>
      </c>
      <c r="JD59" s="6">
        <f>VLOOKUP(JD$43, CAMEO!$G$3:$J$9, 3, FALSE)</f>
        <v>0</v>
      </c>
      <c r="JE59" s="6">
        <f>VLOOKUP(JE$43, CAMEO!$G$3:$J$9, 3, FALSE)</f>
        <v>0</v>
      </c>
      <c r="JF59" s="6">
        <f>VLOOKUP(JF$43, CAMEO!$G$3:$J$9, 3, FALSE)</f>
        <v>0</v>
      </c>
      <c r="JG59" s="6">
        <f>VLOOKUP(JG$43, CAMEO!$G$3:$J$9, 3, FALSE)</f>
        <v>0</v>
      </c>
      <c r="JH59" s="6">
        <f>VLOOKUP(JH$43, CAMEO!$G$3:$J$9, 3, FALSE)</f>
        <v>0</v>
      </c>
      <c r="JI59" s="6">
        <f>VLOOKUP(JI$43, CAMEO!$G$3:$J$9, 3, FALSE)</f>
        <v>0</v>
      </c>
      <c r="JJ59" s="6">
        <f>VLOOKUP(JJ$43, CAMEO!$G$3:$J$9, 3, FALSE)</f>
        <v>0</v>
      </c>
      <c r="JK59" s="6">
        <f>VLOOKUP(JK$43, CAMEO!$G$3:$J$9, 3, FALSE)</f>
        <v>0</v>
      </c>
      <c r="JL59" s="6">
        <f>VLOOKUP(JL$43, CAMEO!$G$3:$J$9, 3, FALSE)</f>
        <v>0</v>
      </c>
      <c r="JM59" s="6">
        <f>VLOOKUP(JM$43, CAMEO!$G$3:$J$9, 3, FALSE)</f>
        <v>0</v>
      </c>
      <c r="JN59" s="6">
        <f>VLOOKUP(JN$43, CAMEO!$G$3:$J$9, 3, FALSE)</f>
        <v>0</v>
      </c>
      <c r="JO59" s="6">
        <f>VLOOKUP(JO$43, CAMEO!$G$3:$J$9, 3, FALSE)</f>
        <v>0</v>
      </c>
      <c r="JP59" s="6">
        <f>VLOOKUP(JP$43, CAMEO!$G$3:$J$9, 3, FALSE)</f>
        <v>0</v>
      </c>
      <c r="JQ59" s="6">
        <f>VLOOKUP(JQ$43, CAMEO!$G$3:$J$9, 3, FALSE)</f>
        <v>0</v>
      </c>
      <c r="JR59" s="6">
        <f>VLOOKUP(JR$43, CAMEO!$G$3:$J$9, 3, FALSE)</f>
        <v>0</v>
      </c>
      <c r="JS59" s="6">
        <f>VLOOKUP(JS$43, CAMEO!$G$3:$J$9, 3, FALSE)</f>
        <v>0</v>
      </c>
      <c r="JT59" s="6">
        <f>VLOOKUP(JT$43, CAMEO!$G$3:$J$9, 3, FALSE)</f>
        <v>0</v>
      </c>
      <c r="JU59" s="6">
        <f>VLOOKUP(JU$43, CAMEO!$G$3:$J$9, 3, FALSE)</f>
        <v>0</v>
      </c>
      <c r="JV59" s="6">
        <f>VLOOKUP(JV$43, CAMEO!$G$3:$J$9, 3, FALSE)</f>
        <v>0</v>
      </c>
      <c r="JW59" s="6">
        <f>VLOOKUP(JW$43, CAMEO!$G$3:$J$9, 3, FALSE)</f>
        <v>0</v>
      </c>
      <c r="JX59" s="6">
        <f>VLOOKUP(JX$43, CAMEO!$G$3:$J$9, 3, FALSE)</f>
        <v>0</v>
      </c>
      <c r="JY59" s="6">
        <f>VLOOKUP(JY$43, CAMEO!$G$3:$J$9, 3, FALSE)</f>
        <v>0</v>
      </c>
      <c r="JZ59" s="6">
        <f>VLOOKUP(JZ$43, CAMEO!$G$3:$J$9, 3, FALSE)</f>
        <v>0</v>
      </c>
      <c r="KA59" s="6">
        <f>VLOOKUP(KA$43, CAMEO!$G$3:$J$9, 3, FALSE)</f>
        <v>0</v>
      </c>
      <c r="KB59" s="6">
        <f>VLOOKUP(KB$43, CAMEO!$G$3:$J$9, 3, FALSE)</f>
        <v>0</v>
      </c>
      <c r="KC59" s="6">
        <f>VLOOKUP(KC$43, CAMEO!$G$3:$J$9, 3, FALSE)</f>
        <v>0</v>
      </c>
      <c r="KD59" s="6">
        <f>VLOOKUP(KD$43, CAMEO!$G$3:$J$9, 3, FALSE)</f>
        <v>0</v>
      </c>
      <c r="KE59" s="6">
        <f>VLOOKUP(KE$43, CAMEO!$G$3:$J$9, 3, FALSE)</f>
        <v>0</v>
      </c>
      <c r="KF59" s="6">
        <f>VLOOKUP(KF$43, CAMEO!$G$3:$J$9, 3, FALSE)</f>
        <v>0.1</v>
      </c>
      <c r="KG59" s="6">
        <f>VLOOKUP(KG$43, CAMEO!$G$3:$J$9, 3, FALSE)</f>
        <v>0.1</v>
      </c>
      <c r="KH59" s="6">
        <f>VLOOKUP(KH$43, CAMEO!$G$3:$J$9, 3, FALSE)</f>
        <v>0.1</v>
      </c>
      <c r="KI59" s="6">
        <f>VLOOKUP(KI$43, CAMEO!$G$3:$J$9, 3, FALSE)</f>
        <v>0.1</v>
      </c>
      <c r="KJ59" s="6">
        <f>VLOOKUP(KJ$43, CAMEO!$G$3:$J$9, 3, FALSE)</f>
        <v>0.1</v>
      </c>
      <c r="KK59" s="6">
        <f>VLOOKUP(KK$43, CAMEO!$G$3:$J$9, 3, FALSE)</f>
        <v>0.1</v>
      </c>
      <c r="KL59" s="6">
        <f>VLOOKUP(KL$43, CAMEO!$G$3:$J$9, 3, FALSE)</f>
        <v>0.1</v>
      </c>
      <c r="KM59" s="6">
        <f>VLOOKUP(KM$43, CAMEO!$G$3:$J$9, 3, FALSE)</f>
        <v>0.1</v>
      </c>
      <c r="KN59" s="6">
        <f>VLOOKUP(KN$43, CAMEO!$G$3:$J$9, 3, FALSE)</f>
        <v>0.1</v>
      </c>
      <c r="KO59" s="6">
        <f>VLOOKUP(KO$43, CAMEO!$G$3:$J$9, 3, FALSE)</f>
        <v>0.1</v>
      </c>
      <c r="KP59" s="6">
        <f>VLOOKUP(KP$43, CAMEO!$G$3:$J$9, 3, FALSE)</f>
        <v>0.1</v>
      </c>
      <c r="KQ59" s="6">
        <f>VLOOKUP(KQ$43, CAMEO!$G$3:$J$9, 3, FALSE)</f>
        <v>0.1</v>
      </c>
      <c r="KR59" s="6">
        <f>VLOOKUP(KR$43, CAMEO!$G$3:$J$9, 3, FALSE)</f>
        <v>0.1</v>
      </c>
      <c r="KS59" s="6">
        <f>VLOOKUP(KS$43, CAMEO!$G$3:$J$9, 3, FALSE)</f>
        <v>0.1</v>
      </c>
      <c r="KT59" s="6">
        <f>VLOOKUP(KT$43, CAMEO!$G$3:$J$9, 3, FALSE)</f>
        <v>0.1</v>
      </c>
      <c r="KU59" s="6">
        <f>VLOOKUP(KU$43, CAMEO!$G$3:$J$9, 3, FALSE)</f>
        <v>0.1</v>
      </c>
      <c r="KV59" s="6">
        <f>VLOOKUP(KV$43, CAMEO!$G$3:$J$9, 3, FALSE)</f>
        <v>0.1</v>
      </c>
      <c r="KW59" s="6">
        <f>VLOOKUP(KW$43, CAMEO!$G$3:$J$9, 3, FALSE)</f>
        <v>0.1</v>
      </c>
      <c r="KX59" s="6">
        <f>VLOOKUP(KX$43, CAMEO!$G$3:$J$9, 3, FALSE)</f>
        <v>0.1</v>
      </c>
      <c r="KY59" s="6">
        <f>VLOOKUP(KY$43, CAMEO!$G$3:$J$9, 3, FALSE)</f>
        <v>0.1</v>
      </c>
      <c r="KZ59" s="6">
        <f>VLOOKUP(KZ$43, CAMEO!$G$3:$J$9, 3, FALSE)</f>
        <v>0.1</v>
      </c>
      <c r="LA59" s="6">
        <f>VLOOKUP(LA$43, CAMEO!$G$3:$J$9, 3, FALSE)</f>
        <v>0.1</v>
      </c>
      <c r="LB59" s="6">
        <f>VLOOKUP(LB$43, CAMEO!$G$3:$J$9, 3, FALSE)</f>
        <v>0.1</v>
      </c>
      <c r="LC59" s="6">
        <f>VLOOKUP(LC$43, CAMEO!$G$3:$J$9, 3, FALSE)</f>
        <v>0.1</v>
      </c>
      <c r="LD59" s="6">
        <f>VLOOKUP(LD$43, CAMEO!$G$3:$J$9, 3, FALSE)</f>
        <v>0.1</v>
      </c>
      <c r="LE59" s="6">
        <f>VLOOKUP(LE$43, CAMEO!$G$3:$J$9, 3, FALSE)</f>
        <v>0.1</v>
      </c>
      <c r="LF59" s="6">
        <f>VLOOKUP(LF$43, CAMEO!$G$3:$J$9, 3, FALSE)</f>
        <v>0.1</v>
      </c>
      <c r="LG59" s="6">
        <f>VLOOKUP(LG$43, CAMEO!$G$3:$J$9, 3, FALSE)</f>
        <v>0.1</v>
      </c>
      <c r="LH59" s="6">
        <f>VLOOKUP(LH$43, CAMEO!$G$3:$J$9, 3, FALSE)</f>
        <v>0.1</v>
      </c>
      <c r="LI59" s="6">
        <f>VLOOKUP(LI$43, CAMEO!$G$3:$J$9, 3, FALSE)</f>
        <v>0.1</v>
      </c>
      <c r="LJ59" s="6">
        <f>VLOOKUP(LJ$43, CAMEO!$G$3:$J$9, 3, FALSE)</f>
        <v>0.1</v>
      </c>
      <c r="LK59" s="6">
        <f>VLOOKUP(LK$43, CAMEO!$G$3:$J$9, 3, FALSE)</f>
        <v>0.1</v>
      </c>
      <c r="LL59" s="6">
        <f>VLOOKUP(LL$43, CAMEO!$G$3:$J$9, 3, FALSE)</f>
        <v>0.1</v>
      </c>
      <c r="LM59" s="6">
        <f>VLOOKUP(LM$43, CAMEO!$G$3:$J$9, 3, FALSE)</f>
        <v>0.1</v>
      </c>
      <c r="LN59" s="6">
        <f>VLOOKUP(LN$43, CAMEO!$G$3:$J$9, 3, FALSE)</f>
        <v>0.1</v>
      </c>
      <c r="LO59" s="6">
        <f>VLOOKUP(LO$43, CAMEO!$G$3:$J$9, 3, FALSE)</f>
        <v>0.1</v>
      </c>
      <c r="LP59" s="6">
        <f>VLOOKUP(LP$43, CAMEO!$G$3:$J$9, 3, FALSE)</f>
        <v>0.1</v>
      </c>
      <c r="LQ59" s="6">
        <f>VLOOKUP(LQ$43, CAMEO!$G$3:$J$9, 3, FALSE)</f>
        <v>0.1</v>
      </c>
      <c r="LR59" s="6">
        <f>VLOOKUP(LR$43, CAMEO!$G$3:$J$9, 3, FALSE)</f>
        <v>0.1</v>
      </c>
      <c r="LS59" s="6">
        <f>VLOOKUP(LS$43, CAMEO!$G$3:$J$9, 3, FALSE)</f>
        <v>0.1</v>
      </c>
      <c r="LT59" s="6">
        <f>VLOOKUP(LT$43, CAMEO!$G$3:$J$9, 3, FALSE)</f>
        <v>0.1</v>
      </c>
      <c r="LU59" s="6">
        <f>VLOOKUP(LU$43, CAMEO!$G$3:$J$9, 3, FALSE)</f>
        <v>0.1</v>
      </c>
      <c r="LV59" s="6">
        <f>VLOOKUP(LV$43, CAMEO!$G$3:$J$9, 3, FALSE)</f>
        <v>0.1</v>
      </c>
      <c r="LW59" s="6">
        <f>VLOOKUP(LW$43, CAMEO!$G$3:$J$9, 3, FALSE)</f>
        <v>0.1</v>
      </c>
      <c r="LX59" s="6">
        <f>VLOOKUP(LX$43, CAMEO!$G$3:$J$9, 3, FALSE)</f>
        <v>0.1</v>
      </c>
      <c r="LY59" s="6">
        <f>VLOOKUP(LY$43, CAMEO!$G$3:$J$9, 3, FALSE)</f>
        <v>0.1</v>
      </c>
      <c r="LZ59" s="6">
        <f>VLOOKUP(LZ$43, CAMEO!$G$3:$J$9, 3, FALSE)</f>
        <v>0.1</v>
      </c>
      <c r="MA59" s="6">
        <f>VLOOKUP(MA$43, CAMEO!$G$3:$J$9, 3, FALSE)</f>
        <v>0.1</v>
      </c>
      <c r="MB59" s="6">
        <f>VLOOKUP(MB$43, CAMEO!$G$3:$J$9, 3, FALSE)</f>
        <v>0.1</v>
      </c>
      <c r="MC59" s="6">
        <f>VLOOKUP(MC$43, CAMEO!$G$3:$J$9, 3, FALSE)</f>
        <v>0.1</v>
      </c>
      <c r="MD59" s="6">
        <f>VLOOKUP(MD$43, CAMEO!$G$3:$J$9, 3, FALSE)</f>
        <v>0.1</v>
      </c>
      <c r="ME59" s="6">
        <f>VLOOKUP(ME$43, CAMEO!$G$3:$J$9, 3, FALSE)</f>
        <v>0.1</v>
      </c>
      <c r="MF59" s="6">
        <f>VLOOKUP(MF$43, CAMEO!$G$3:$J$9, 3, FALSE)</f>
        <v>0.1</v>
      </c>
      <c r="MG59" s="6">
        <f>VLOOKUP(MG$43, CAMEO!$G$3:$J$9, 3, FALSE)</f>
        <v>0.1</v>
      </c>
      <c r="MH59" s="6">
        <f>VLOOKUP(MH$43, CAMEO!$G$3:$J$9, 3, FALSE)</f>
        <v>0.1</v>
      </c>
      <c r="MI59" s="6">
        <f>VLOOKUP(MI$43, CAMEO!$G$3:$J$9, 3, FALSE)</f>
        <v>0.1</v>
      </c>
      <c r="MJ59" s="6">
        <f>VLOOKUP(MJ$43, CAMEO!$G$3:$J$9, 3, FALSE)</f>
        <v>0.1</v>
      </c>
      <c r="MK59" s="6">
        <f>VLOOKUP(MK$43, CAMEO!$G$3:$J$9, 3, FALSE)</f>
        <v>0.1</v>
      </c>
      <c r="ML59" s="6">
        <f>VLOOKUP(ML$43, CAMEO!$G$3:$J$9, 3, FALSE)</f>
        <v>0.1</v>
      </c>
      <c r="MM59" s="6">
        <f>VLOOKUP(MM$43, CAMEO!$G$3:$J$9, 3, FALSE)</f>
        <v>0.1</v>
      </c>
      <c r="MN59" s="6">
        <f>VLOOKUP(MN$43, CAMEO!$G$3:$J$9, 3, FALSE)</f>
        <v>0.1</v>
      </c>
      <c r="MO59" s="6">
        <f>VLOOKUP(MO$43, CAMEO!$G$3:$J$9, 3, FALSE)</f>
        <v>0.1</v>
      </c>
      <c r="MP59" s="6">
        <f>VLOOKUP(MP$43, CAMEO!$G$3:$J$9, 3, FALSE)</f>
        <v>0.1</v>
      </c>
      <c r="MQ59" s="6">
        <f>VLOOKUP(MQ$43, CAMEO!$G$3:$J$9, 3, FALSE)</f>
        <v>0.1</v>
      </c>
      <c r="MR59" s="6">
        <f>VLOOKUP(MR$43, CAMEO!$G$3:$J$9, 3, FALSE)</f>
        <v>0.1</v>
      </c>
      <c r="MS59" s="6">
        <f>VLOOKUP(MS$43, CAMEO!$G$3:$J$9, 3, FALSE)</f>
        <v>0.1</v>
      </c>
      <c r="MT59" s="6">
        <f>VLOOKUP(MT$43, CAMEO!$G$3:$J$9, 3, FALSE)</f>
        <v>0.1</v>
      </c>
      <c r="MU59" s="6">
        <f>VLOOKUP(MU$43, CAMEO!$G$3:$J$9, 3, FALSE)</f>
        <v>0.1</v>
      </c>
      <c r="MV59" s="6">
        <f>VLOOKUP(MV$43, CAMEO!$G$3:$J$9, 3, FALSE)</f>
        <v>0.1</v>
      </c>
      <c r="MW59" s="6">
        <f>VLOOKUP(MW$43, CAMEO!$G$3:$J$9, 3, FALSE)</f>
        <v>0.1</v>
      </c>
      <c r="MX59" s="6">
        <f>VLOOKUP(MX$43, CAMEO!$G$3:$J$9, 3, FALSE)</f>
        <v>0.1</v>
      </c>
      <c r="MY59" s="6">
        <f>VLOOKUP(MY$43, CAMEO!$G$3:$J$9, 3, FALSE)</f>
        <v>0.1</v>
      </c>
      <c r="MZ59" s="6">
        <f>VLOOKUP(MZ$43, CAMEO!$G$3:$J$9, 3, FALSE)</f>
        <v>0.1</v>
      </c>
      <c r="NA59" s="6">
        <f>VLOOKUP(NA$43, CAMEO!$G$3:$J$9, 3, FALSE)</f>
        <v>0.1</v>
      </c>
      <c r="NB59" s="6">
        <f>VLOOKUP(NB$43, CAMEO!$G$3:$J$9, 3, FALSE)</f>
        <v>0.1</v>
      </c>
      <c r="NC59" s="6">
        <f>VLOOKUP(NC$43, CAMEO!$G$3:$J$9, 3, FALSE)</f>
        <v>0.1</v>
      </c>
      <c r="ND59" s="6">
        <f>VLOOKUP(ND$43, CAMEO!$G$3:$J$9, 3, FALSE)</f>
        <v>0.1</v>
      </c>
      <c r="NE59" s="6">
        <f>VLOOKUP(NE$43, CAMEO!$G$3:$J$9, 3, FALSE)</f>
        <v>0.1</v>
      </c>
      <c r="NF59" s="6">
        <f>VLOOKUP(NF$43, CAMEO!$G$3:$J$9, 3, FALSE)</f>
        <v>0.1</v>
      </c>
      <c r="NG59" s="6">
        <f>VLOOKUP(NG$43, CAMEO!$G$3:$J$9, 3, FALSE)</f>
        <v>0.1</v>
      </c>
      <c r="NH59" s="6">
        <f>VLOOKUP(NH$43, CAMEO!$G$3:$J$9, 3, FALSE)</f>
        <v>0.1</v>
      </c>
      <c r="NI59" s="6">
        <f>VLOOKUP(NI$43, CAMEO!$G$3:$J$9, 3, FALSE)</f>
        <v>0.1</v>
      </c>
      <c r="NJ59" s="6">
        <f>VLOOKUP(NJ$43, CAMEO!$G$3:$J$9, 3, FALSE)</f>
        <v>0.1</v>
      </c>
      <c r="NK59" s="6">
        <f>VLOOKUP(NK$43, CAMEO!$G$3:$J$9, 3, FALSE)</f>
        <v>0.1</v>
      </c>
      <c r="NL59" s="6">
        <f>VLOOKUP(NL$43, CAMEO!$G$3:$J$9, 3, FALSE)</f>
        <v>0.1</v>
      </c>
      <c r="NM59" s="6">
        <f>VLOOKUP(NM$43, CAMEO!$G$3:$J$9, 3, FALSE)</f>
        <v>0.1</v>
      </c>
      <c r="NN59" s="6">
        <f>VLOOKUP(NN$43, CAMEO!$G$3:$J$9, 3, FALSE)</f>
        <v>0.17</v>
      </c>
      <c r="NO59" s="6">
        <f>VLOOKUP(NO$43, CAMEO!$G$3:$J$9, 3, FALSE)</f>
        <v>0.17</v>
      </c>
      <c r="NP59" s="6">
        <f>VLOOKUP(NP$43, CAMEO!$G$3:$J$9, 3, FALSE)</f>
        <v>0.17</v>
      </c>
      <c r="NQ59" s="6">
        <f>VLOOKUP(NQ$43, CAMEO!$G$3:$J$9, 3, FALSE)</f>
        <v>0.1</v>
      </c>
      <c r="NR59" s="6">
        <f>VLOOKUP(NR$43, CAMEO!$G$3:$J$9, 3, FALSE)</f>
        <v>0.1</v>
      </c>
      <c r="NS59" s="6">
        <f>VLOOKUP(NS$43, CAMEO!$G$3:$J$9, 3, FALSE)</f>
        <v>0.1</v>
      </c>
      <c r="NT59" s="6">
        <f>VLOOKUP(NT$43, CAMEO!$G$3:$J$9, 3, FALSE)</f>
        <v>0.1</v>
      </c>
      <c r="NU59" s="6">
        <f>VLOOKUP(NU$43, CAMEO!$G$3:$J$9, 3, FALSE)</f>
        <v>0.1</v>
      </c>
      <c r="NV59" s="6">
        <f>VLOOKUP(NV$43, CAMEO!$G$3:$J$9, 3, FALSE)</f>
        <v>0.1</v>
      </c>
      <c r="NW59" s="6">
        <f>VLOOKUP(NW$43, CAMEO!$G$3:$J$9, 3, FALSE)</f>
        <v>0.1</v>
      </c>
      <c r="NX59" s="6">
        <f>VLOOKUP(NX$43, CAMEO!$G$3:$J$9, 3, FALSE)</f>
        <v>0.1</v>
      </c>
      <c r="NY59" s="6">
        <f>VLOOKUP(NY$43, CAMEO!$G$3:$J$9, 3, FALSE)</f>
        <v>0.1</v>
      </c>
      <c r="NZ59" s="6">
        <f>VLOOKUP(NZ$43, CAMEO!$G$3:$J$9, 3, FALSE)</f>
        <v>0.1</v>
      </c>
      <c r="OA59" s="6">
        <f>VLOOKUP(OA$43, CAMEO!$G$3:$J$9, 3, FALSE)</f>
        <v>0.1</v>
      </c>
      <c r="OB59" s="6">
        <f>VLOOKUP(OB$43, CAMEO!$G$3:$J$9, 3, FALSE)</f>
        <v>0.1</v>
      </c>
      <c r="OC59" s="6">
        <f>VLOOKUP(OC$43, CAMEO!$G$3:$J$9, 3, FALSE)</f>
        <v>0.1</v>
      </c>
      <c r="OD59" s="6">
        <f>VLOOKUP(OD$43, CAMEO!$G$3:$J$9, 3, FALSE)</f>
        <v>0.1</v>
      </c>
      <c r="OE59" s="6">
        <f>VLOOKUP(OE$43, CAMEO!$G$3:$J$9, 3, FALSE)</f>
        <v>0.1</v>
      </c>
      <c r="OF59" s="6">
        <f>VLOOKUP(OF$43, CAMEO!$G$3:$J$9, 3, FALSE)</f>
        <v>0.1</v>
      </c>
      <c r="OG59" s="6">
        <f>VLOOKUP(OG$43, CAMEO!$G$3:$J$9, 3, FALSE)</f>
        <v>0.1</v>
      </c>
      <c r="OH59" s="6">
        <f>VLOOKUP(OH$43, CAMEO!$G$3:$J$9, 3, FALSE)</f>
        <v>0.1</v>
      </c>
      <c r="OI59" s="6">
        <f>VLOOKUP(OI$43, CAMEO!$G$3:$J$9, 3, FALSE)</f>
        <v>0.1</v>
      </c>
      <c r="OJ59" s="6">
        <f>VLOOKUP(OJ$43, CAMEO!$G$3:$J$9, 3, FALSE)</f>
        <v>0.1</v>
      </c>
      <c r="OK59" s="6">
        <f>VLOOKUP(OK$43, CAMEO!$G$3:$J$9, 3, FALSE)</f>
        <v>0.1</v>
      </c>
      <c r="OL59" s="6">
        <f>VLOOKUP(OL$43, CAMEO!$G$3:$J$9, 3, FALSE)</f>
        <v>0.1</v>
      </c>
      <c r="OM59" s="6">
        <f>VLOOKUP(OM$43, CAMEO!$G$3:$J$9, 3, FALSE)</f>
        <v>0.1</v>
      </c>
      <c r="ON59" s="6">
        <f>VLOOKUP(ON$43, CAMEO!$G$3:$J$9, 3, FALSE)</f>
        <v>0.1</v>
      </c>
      <c r="OO59" s="6">
        <f>VLOOKUP(OO$43, CAMEO!$G$3:$J$9, 3, FALSE)</f>
        <v>0.1</v>
      </c>
      <c r="OP59" s="6">
        <f>VLOOKUP(OP$43, CAMEO!$G$3:$J$9, 3, FALSE)</f>
        <v>0.1</v>
      </c>
      <c r="OQ59" s="6">
        <f>VLOOKUP(OQ$43, CAMEO!$G$3:$J$9, 3, FALSE)</f>
        <v>0.1</v>
      </c>
      <c r="OR59" s="6">
        <f>VLOOKUP(OR$43, CAMEO!$G$3:$J$9, 3, FALSE)</f>
        <v>0.1</v>
      </c>
      <c r="OS59" s="6">
        <f>VLOOKUP(OS$43, CAMEO!$G$3:$J$9, 3, FALSE)</f>
        <v>0.1</v>
      </c>
      <c r="OT59" s="6">
        <f>VLOOKUP(OT$43, CAMEO!$G$3:$J$9, 3, FALSE)</f>
        <v>0.1</v>
      </c>
      <c r="OU59" s="6">
        <f>VLOOKUP(OU$43, CAMEO!$G$3:$J$9, 3, FALSE)</f>
        <v>0.1</v>
      </c>
      <c r="OV59" s="6">
        <f>VLOOKUP(OV$43, CAMEO!$G$3:$J$9, 3, FALSE)</f>
        <v>0.1</v>
      </c>
      <c r="OW59" s="6">
        <f>VLOOKUP(OW$43, CAMEO!$G$3:$J$9, 3, FALSE)</f>
        <v>0.1</v>
      </c>
      <c r="OX59" s="6">
        <f>VLOOKUP(OX$43, CAMEO!$G$3:$J$9, 3, FALSE)</f>
        <v>0.1</v>
      </c>
      <c r="OY59" s="6">
        <f>VLOOKUP(OY$43, CAMEO!$G$3:$J$9, 3, FALSE)</f>
        <v>0.1</v>
      </c>
      <c r="OZ59" s="6">
        <f>VLOOKUP(OZ$43, CAMEO!$G$3:$J$9, 3, FALSE)</f>
        <v>0.1</v>
      </c>
      <c r="PA59" s="6">
        <f>VLOOKUP(PA$43, CAMEO!$G$3:$J$9, 3, FALSE)</f>
        <v>0</v>
      </c>
      <c r="PB59" s="6">
        <f>VLOOKUP(PB$43, CAMEO!$G$3:$J$9, 3, FALSE)</f>
        <v>0</v>
      </c>
      <c r="PC59" s="6">
        <f>VLOOKUP(PC$43, CAMEO!$G$3:$J$9, 3, FALSE)</f>
        <v>0</v>
      </c>
      <c r="PD59" s="6">
        <f>VLOOKUP(PD$43, CAMEO!$G$3:$J$9, 3, FALSE)</f>
        <v>0</v>
      </c>
      <c r="PE59" s="6">
        <f>VLOOKUP(PE$43, CAMEO!$G$3:$J$9, 3, FALSE)</f>
        <v>0</v>
      </c>
      <c r="PF59" s="6">
        <f>VLOOKUP(PF$43, CAMEO!$G$3:$J$9, 3, FALSE)</f>
        <v>0</v>
      </c>
      <c r="PG59" s="6">
        <f>VLOOKUP(PG$43, CAMEO!$G$3:$J$9, 3, FALSE)</f>
        <v>0</v>
      </c>
      <c r="PH59" s="6">
        <f>VLOOKUP(PH$43, CAMEO!$G$3:$J$9, 3, FALSE)</f>
        <v>0</v>
      </c>
      <c r="PI59" s="6">
        <f>VLOOKUP(PI$43, CAMEO!$G$3:$J$9, 3, FALSE)</f>
        <v>0</v>
      </c>
      <c r="PJ59" s="6">
        <f>VLOOKUP(PJ$43, CAMEO!$G$3:$J$9, 3, FALSE)</f>
        <v>0</v>
      </c>
      <c r="PK59" s="6">
        <f>VLOOKUP(PK$43, CAMEO!$G$3:$J$9, 3, FALSE)</f>
        <v>0</v>
      </c>
      <c r="PL59" s="6">
        <f>VLOOKUP(PL$43, CAMEO!$G$3:$J$9, 3, FALSE)</f>
        <v>0</v>
      </c>
      <c r="PM59" s="6">
        <f>VLOOKUP(PM$43, CAMEO!$G$3:$J$9, 3, FALSE)</f>
        <v>0</v>
      </c>
      <c r="PN59" s="6">
        <f>VLOOKUP(PN$43, CAMEO!$G$3:$J$9, 3, FALSE)</f>
        <v>0</v>
      </c>
      <c r="PO59" s="6">
        <f>VLOOKUP(PO$43, CAMEO!$G$3:$J$9, 3, FALSE)</f>
        <v>0</v>
      </c>
      <c r="PP59" s="6">
        <f>VLOOKUP(PP$43, CAMEO!$G$3:$J$9, 3, FALSE)</f>
        <v>0</v>
      </c>
      <c r="PQ59" s="6">
        <f>VLOOKUP(PQ$43, CAMEO!$G$3:$J$9, 3, FALSE)</f>
        <v>0</v>
      </c>
      <c r="PR59" s="6">
        <f>VLOOKUP(PR$43, CAMEO!$G$3:$J$9, 3, FALSE)</f>
        <v>0</v>
      </c>
      <c r="PS59" s="6">
        <f>VLOOKUP(PS$43, CAMEO!$G$3:$J$9, 3, FALSE)</f>
        <v>0</v>
      </c>
      <c r="PT59" s="6">
        <f>VLOOKUP(PT$43, CAMEO!$G$3:$J$9, 3, FALSE)</f>
        <v>0.1</v>
      </c>
      <c r="PU59" s="6">
        <f>VLOOKUP(PU$43, CAMEO!$G$3:$J$9, 3, FALSE)</f>
        <v>0.1</v>
      </c>
      <c r="PV59" s="6">
        <f>VLOOKUP(PV$43, CAMEO!$G$3:$J$9, 3, FALSE)</f>
        <v>0.1</v>
      </c>
      <c r="PW59" s="6">
        <f>VLOOKUP(PW$43, CAMEO!$G$3:$J$9, 3, FALSE)</f>
        <v>0.1</v>
      </c>
      <c r="PX59" s="6">
        <f>VLOOKUP(PX$43, CAMEO!$G$3:$J$9, 3, FALSE)</f>
        <v>0.1</v>
      </c>
      <c r="PY59" s="6">
        <f>VLOOKUP(PY$43, CAMEO!$G$3:$J$9, 3, FALSE)</f>
        <v>0.1</v>
      </c>
      <c r="PZ59" s="6">
        <f>VLOOKUP(PZ$43, CAMEO!$G$3:$J$9, 3, FALSE)</f>
        <v>0.1</v>
      </c>
      <c r="QA59" s="6">
        <f>VLOOKUP(QA$43, CAMEO!$G$3:$J$9, 3, FALSE)</f>
        <v>0.1</v>
      </c>
      <c r="QB59" s="6">
        <f>VLOOKUP(QB$43, CAMEO!$G$3:$J$9, 3, FALSE)</f>
        <v>0.1</v>
      </c>
      <c r="QC59" s="6">
        <f>VLOOKUP(QC$43, CAMEO!$G$3:$J$9, 3, FALSE)</f>
        <v>0.1</v>
      </c>
      <c r="QD59" s="6">
        <f>VLOOKUP(QD$43, CAMEO!$G$3:$J$9, 3, FALSE)</f>
        <v>0.1</v>
      </c>
      <c r="QE59" s="6">
        <f>VLOOKUP(QE$43, CAMEO!$G$3:$J$9, 3, FALSE)</f>
        <v>0.1</v>
      </c>
      <c r="QF59" s="6">
        <f>VLOOKUP(QF$43, CAMEO!$G$3:$J$9, 3, FALSE)</f>
        <v>0.1</v>
      </c>
      <c r="QG59" s="6">
        <f>VLOOKUP(QG$43, CAMEO!$G$3:$J$9, 3, FALSE)</f>
        <v>0.1</v>
      </c>
      <c r="QH59" s="6">
        <f>VLOOKUP(QH$43, CAMEO!$G$3:$J$9, 3, FALSE)</f>
        <v>0.1</v>
      </c>
      <c r="QI59" s="6">
        <f>VLOOKUP(QI$43, CAMEO!$G$3:$J$9, 3, FALSE)</f>
        <v>0.1</v>
      </c>
      <c r="QJ59" s="6">
        <f>VLOOKUP(QJ$43, CAMEO!$G$3:$J$9, 3, FALSE)</f>
        <v>0.1</v>
      </c>
      <c r="QK59" s="6">
        <f>VLOOKUP(QK$43, CAMEO!$G$3:$J$9, 3, FALSE)</f>
        <v>0.1</v>
      </c>
      <c r="QL59" s="6">
        <f>VLOOKUP(QL$43, CAMEO!$G$3:$J$9, 3, FALSE)</f>
        <v>0.1</v>
      </c>
      <c r="QM59" s="6">
        <f>VLOOKUP(QM$43, CAMEO!$G$3:$J$9, 3, FALSE)</f>
        <v>0.1</v>
      </c>
      <c r="QN59" s="6">
        <f>VLOOKUP(QN$43, CAMEO!$G$3:$J$9, 3, FALSE)</f>
        <v>0.1</v>
      </c>
      <c r="QO59" s="6">
        <f>VLOOKUP(QO$43, CAMEO!$G$3:$J$9, 3, FALSE)</f>
        <v>0.1</v>
      </c>
      <c r="QP59" s="6">
        <f>VLOOKUP(QP$43, CAMEO!$G$3:$J$9, 3, FALSE)</f>
        <v>0.1</v>
      </c>
      <c r="QQ59" s="6">
        <f>VLOOKUP(QQ$43, CAMEO!$G$3:$J$9, 3, FALSE)</f>
        <v>0.1</v>
      </c>
      <c r="QR59" s="6">
        <f>VLOOKUP(QR$43, CAMEO!$G$3:$J$9, 3, FALSE)</f>
        <v>0.1</v>
      </c>
      <c r="QS59" s="6">
        <f>VLOOKUP(QS$43, CAMEO!$G$3:$J$9, 3, FALSE)</f>
        <v>0.1</v>
      </c>
      <c r="QT59" s="6">
        <f>VLOOKUP(QT$43, CAMEO!$G$3:$J$9, 3, FALSE)</f>
        <v>0.1</v>
      </c>
      <c r="QU59" s="6">
        <f>VLOOKUP(QU$43, CAMEO!$G$3:$J$9, 3, FALSE)</f>
        <v>0.1</v>
      </c>
      <c r="QV59" s="6">
        <f>VLOOKUP(QV$43, CAMEO!$G$3:$J$9, 3, FALSE)</f>
        <v>0.1</v>
      </c>
      <c r="QW59" s="6">
        <f>VLOOKUP(QW$43, CAMEO!$G$3:$J$9, 3, FALSE)</f>
        <v>0.1</v>
      </c>
      <c r="QX59" s="6">
        <f>VLOOKUP(QX$43, CAMEO!$G$3:$J$9, 3, FALSE)</f>
        <v>0.1</v>
      </c>
      <c r="QY59" s="6">
        <f>VLOOKUP(QY$43, CAMEO!$G$3:$J$9, 3, FALSE)</f>
        <v>0.1</v>
      </c>
      <c r="QZ59" s="6">
        <f>VLOOKUP(QZ$43, CAMEO!$G$3:$J$9, 3, FALSE)</f>
        <v>0.1</v>
      </c>
      <c r="RA59" s="6">
        <f>VLOOKUP(RA$43, CAMEO!$G$3:$J$9, 3, FALSE)</f>
        <v>0.1</v>
      </c>
      <c r="RB59" s="6">
        <f>VLOOKUP(RB$43, CAMEO!$G$3:$J$9, 3, FALSE)</f>
        <v>0.1</v>
      </c>
      <c r="RC59" s="6">
        <f>VLOOKUP(RC$43, CAMEO!$G$3:$J$9, 3, FALSE)</f>
        <v>0.1</v>
      </c>
      <c r="RD59" s="6">
        <f>VLOOKUP(RD$43, CAMEO!$G$3:$J$9, 3, FALSE)</f>
        <v>0.1</v>
      </c>
      <c r="RE59" s="6">
        <f>VLOOKUP(RE$43, CAMEO!$G$3:$J$9, 3, FALSE)</f>
        <v>0.1</v>
      </c>
      <c r="RF59" s="6">
        <f>VLOOKUP(RF$43, CAMEO!$G$3:$J$9, 3, FALSE)</f>
        <v>0.1</v>
      </c>
      <c r="RG59" s="6">
        <f>VLOOKUP(RG$43, CAMEO!$G$3:$J$9, 3, FALSE)</f>
        <v>0.1</v>
      </c>
      <c r="RH59" s="6">
        <f>VLOOKUP(RH$43, CAMEO!$G$3:$J$9, 3, FALSE)</f>
        <v>0.1</v>
      </c>
      <c r="RI59" s="6">
        <f>VLOOKUP(RI$43, CAMEO!$G$3:$J$9, 3, FALSE)</f>
        <v>0.1</v>
      </c>
      <c r="RJ59" s="6">
        <f>VLOOKUP(RJ$43, CAMEO!$G$3:$J$9, 3, FALSE)</f>
        <v>0.1</v>
      </c>
      <c r="RK59" s="6">
        <f>VLOOKUP(RK$43, CAMEO!$G$3:$J$9, 3, FALSE)</f>
        <v>0.1</v>
      </c>
      <c r="RL59" s="6">
        <f>VLOOKUP(RL$43, CAMEO!$G$3:$J$9, 3, FALSE)</f>
        <v>0.1</v>
      </c>
      <c r="RM59" s="6">
        <f>VLOOKUP(RM$43, CAMEO!$G$3:$J$9, 3, FALSE)</f>
        <v>0.1</v>
      </c>
      <c r="RN59" s="6">
        <f>VLOOKUP(RN$43, CAMEO!$G$3:$J$9, 3, FALSE)</f>
        <v>0.1</v>
      </c>
      <c r="RO59" s="6">
        <f>VLOOKUP(RO$43, CAMEO!$G$3:$J$9, 3, FALSE)</f>
        <v>0.1</v>
      </c>
      <c r="RP59" s="6">
        <f>VLOOKUP(RP$43, CAMEO!$G$3:$J$9, 3, FALSE)</f>
        <v>0.1</v>
      </c>
      <c r="RQ59" s="6">
        <f>VLOOKUP(RQ$43, CAMEO!$G$3:$J$9, 3, FALSE)</f>
        <v>0.1</v>
      </c>
      <c r="RR59" s="6">
        <f>VLOOKUP(RR$43, CAMEO!$G$3:$J$9, 3, FALSE)</f>
        <v>0.1</v>
      </c>
      <c r="RS59" s="6">
        <f>VLOOKUP(RS$43, CAMEO!$G$3:$J$9, 3, FALSE)</f>
        <v>0.1</v>
      </c>
      <c r="RT59" s="6">
        <f>VLOOKUP(RT$43, CAMEO!$G$3:$J$9, 3, FALSE)</f>
        <v>0.1</v>
      </c>
      <c r="RU59" s="6">
        <f>VLOOKUP(RU$43, CAMEO!$G$3:$J$9, 3, FALSE)</f>
        <v>0.1</v>
      </c>
      <c r="RV59" s="6">
        <f>VLOOKUP(RV$43, CAMEO!$G$3:$J$9, 3, FALSE)</f>
        <v>0.1</v>
      </c>
      <c r="RW59" s="6">
        <f>VLOOKUP(RW$43, CAMEO!$G$3:$J$9, 3, FALSE)</f>
        <v>0.1</v>
      </c>
      <c r="RX59" s="6">
        <f>VLOOKUP(RX$43, CAMEO!$G$3:$J$9, 3, FALSE)</f>
        <v>0.1</v>
      </c>
      <c r="RY59" s="6">
        <f>VLOOKUP(RY$43, CAMEO!$G$3:$J$9, 3, FALSE)</f>
        <v>0.1</v>
      </c>
      <c r="RZ59" s="6">
        <f>VLOOKUP(RZ$43, CAMEO!$G$3:$J$9, 3, FALSE)</f>
        <v>0.1</v>
      </c>
      <c r="SA59" s="6">
        <f>VLOOKUP(SA$43, CAMEO!$G$3:$J$9, 3, FALSE)</f>
        <v>0.1</v>
      </c>
      <c r="SB59" s="6">
        <f>VLOOKUP(SB$43, CAMEO!$G$3:$J$9, 3, FALSE)</f>
        <v>0.1</v>
      </c>
      <c r="SC59" s="6">
        <f>VLOOKUP(SC$43, CAMEO!$G$3:$J$9, 3, FALSE)</f>
        <v>0.1</v>
      </c>
      <c r="SD59" s="6">
        <f>VLOOKUP(SD$43, CAMEO!$G$3:$J$9, 3, FALSE)</f>
        <v>0.1</v>
      </c>
      <c r="SE59" s="6">
        <f>VLOOKUP(SE$43, CAMEO!$G$3:$J$9, 3, FALSE)</f>
        <v>0.1</v>
      </c>
      <c r="SF59" s="6">
        <f>VLOOKUP(SF$43, CAMEO!$G$3:$J$9, 3, FALSE)</f>
        <v>0.1</v>
      </c>
      <c r="SG59" s="6">
        <f>VLOOKUP(SG$43, CAMEO!$G$3:$J$9, 3, FALSE)</f>
        <v>0.1</v>
      </c>
      <c r="SH59" s="6">
        <f>VLOOKUP(SH$43, CAMEO!$G$3:$J$9, 3, FALSE)</f>
        <v>0.1</v>
      </c>
      <c r="SI59" s="6">
        <f>VLOOKUP(SI$43, CAMEO!$G$3:$J$9, 3, FALSE)</f>
        <v>0.1</v>
      </c>
      <c r="SJ59" s="6">
        <f>VLOOKUP(SJ$43, CAMEO!$G$3:$J$9, 3, FALSE)</f>
        <v>0.1</v>
      </c>
      <c r="SK59" s="6">
        <f>VLOOKUP(SK$43, CAMEO!$G$3:$J$9, 3, FALSE)</f>
        <v>0.1</v>
      </c>
      <c r="SL59" s="6">
        <f>VLOOKUP(SL$43, CAMEO!$G$3:$J$9, 3, FALSE)</f>
        <v>0.1</v>
      </c>
      <c r="SM59" s="6">
        <f>VLOOKUP(SM$43, CAMEO!$G$3:$J$9, 3, FALSE)</f>
        <v>0.1</v>
      </c>
      <c r="SN59" s="6">
        <f>VLOOKUP(SN$43, CAMEO!$G$3:$J$9, 3, FALSE)</f>
        <v>0.1</v>
      </c>
      <c r="SO59" s="6">
        <f>VLOOKUP(SO$43, CAMEO!$G$3:$J$9, 3, FALSE)</f>
        <v>0.1</v>
      </c>
      <c r="SP59" s="6">
        <f>VLOOKUP(SP$43, CAMEO!$G$3:$J$9, 3, FALSE)</f>
        <v>0.1</v>
      </c>
      <c r="SQ59" s="6">
        <f>VLOOKUP(SQ$43, CAMEO!$G$3:$J$9, 3, FALSE)</f>
        <v>0.1</v>
      </c>
      <c r="SR59" s="6">
        <f>VLOOKUP(SR$43, CAMEO!$G$3:$J$9, 3, FALSE)</f>
        <v>0.1</v>
      </c>
      <c r="SS59" s="6">
        <f>VLOOKUP(SS$43, CAMEO!$G$3:$J$9, 3, FALSE)</f>
        <v>0.1</v>
      </c>
      <c r="ST59" s="6">
        <f>VLOOKUP(ST$43, CAMEO!$G$3:$J$9, 3, FALSE)</f>
        <v>0.1</v>
      </c>
      <c r="SU59" s="6">
        <f>VLOOKUP(SU$43, CAMEO!$G$3:$J$9, 3, FALSE)</f>
        <v>0.1</v>
      </c>
      <c r="SV59" s="6">
        <f>VLOOKUP(SV$43, CAMEO!$G$3:$J$9, 3, FALSE)</f>
        <v>0.1</v>
      </c>
      <c r="SW59" s="6">
        <f>VLOOKUP(SW$43, CAMEO!$G$3:$J$9, 3, FALSE)</f>
        <v>0.1</v>
      </c>
      <c r="SX59" s="6">
        <f>VLOOKUP(SX$43, CAMEO!$G$3:$J$9, 3, FALSE)</f>
        <v>0.1</v>
      </c>
      <c r="SY59" s="6">
        <f>VLOOKUP(SY$43, CAMEO!$G$3:$J$9, 3, FALSE)</f>
        <v>0.1</v>
      </c>
      <c r="SZ59" s="6">
        <f>VLOOKUP(SZ$43, CAMEO!$G$3:$J$9, 3, FALSE)</f>
        <v>0.1</v>
      </c>
      <c r="TA59" s="6">
        <f>VLOOKUP(TA$43, CAMEO!$G$3:$J$9, 3, FALSE)</f>
        <v>0.1</v>
      </c>
      <c r="TB59" s="6">
        <f>VLOOKUP(TB$43, CAMEO!$G$3:$J$9, 3, FALSE)</f>
        <v>0.17</v>
      </c>
      <c r="TC59" s="6">
        <f>VLOOKUP(TC$43, CAMEO!$G$3:$J$9, 3, FALSE)</f>
        <v>0.17</v>
      </c>
      <c r="TD59" s="6">
        <f>VLOOKUP(TD$43, CAMEO!$G$3:$J$9, 3, FALSE)</f>
        <v>0.17</v>
      </c>
      <c r="TE59" s="6">
        <f>VLOOKUP(TE$43, CAMEO!$G$3:$J$9, 3, FALSE)</f>
        <v>0.1</v>
      </c>
      <c r="TF59" s="6">
        <f>VLOOKUP(TF$43, CAMEO!$G$3:$J$9, 3, FALSE)</f>
        <v>0.1</v>
      </c>
      <c r="TG59" s="6">
        <f>VLOOKUP(TG$43, CAMEO!$G$3:$J$9, 3, FALSE)</f>
        <v>0.1</v>
      </c>
      <c r="TH59" s="6">
        <f>VLOOKUP(TH$43, CAMEO!$G$3:$J$9, 3, FALSE)</f>
        <v>0.1</v>
      </c>
      <c r="TI59" s="6">
        <f>VLOOKUP(TI$43, CAMEO!$G$3:$J$9, 3, FALSE)</f>
        <v>0.1</v>
      </c>
      <c r="TJ59" s="6">
        <f>VLOOKUP(TJ$43, CAMEO!$G$3:$J$9, 3, FALSE)</f>
        <v>0.1</v>
      </c>
      <c r="TK59" s="6">
        <f>VLOOKUP(TK$43, CAMEO!$G$3:$J$9, 3, FALSE)</f>
        <v>0.1</v>
      </c>
      <c r="TL59" s="6">
        <f>VLOOKUP(TL$43, CAMEO!$G$3:$J$9, 3, FALSE)</f>
        <v>0.1</v>
      </c>
      <c r="TM59" s="6">
        <f>VLOOKUP(TM$43, CAMEO!$G$3:$J$9, 3, FALSE)</f>
        <v>0.1</v>
      </c>
      <c r="TN59" s="6">
        <f>VLOOKUP(TN$43, CAMEO!$G$3:$J$9, 3, FALSE)</f>
        <v>0.1</v>
      </c>
      <c r="TO59" s="6">
        <f>VLOOKUP(TO$43, CAMEO!$G$3:$J$9, 3, FALSE)</f>
        <v>0.1</v>
      </c>
      <c r="TP59" s="6">
        <f>VLOOKUP(TP$43, CAMEO!$G$3:$J$9, 3, FALSE)</f>
        <v>0.1</v>
      </c>
      <c r="TQ59" s="6">
        <f>VLOOKUP(TQ$43, CAMEO!$G$3:$J$9, 3, FALSE)</f>
        <v>0.1</v>
      </c>
      <c r="TR59" s="6">
        <f>VLOOKUP(TR$43, CAMEO!$G$3:$J$9, 3, FALSE)</f>
        <v>0.1</v>
      </c>
      <c r="TS59" s="6">
        <f>VLOOKUP(TS$43, CAMEO!$G$3:$J$9, 3, FALSE)</f>
        <v>0.1</v>
      </c>
      <c r="TT59" s="6">
        <f>VLOOKUP(TT$43, CAMEO!$G$3:$J$9, 3, FALSE)</f>
        <v>0.1</v>
      </c>
      <c r="TU59" s="6">
        <f>VLOOKUP(TU$43, CAMEO!$G$3:$J$9, 3, FALSE)</f>
        <v>0.1</v>
      </c>
      <c r="TV59" s="6">
        <f>VLOOKUP(TV$43, CAMEO!$G$3:$J$9, 3, FALSE)</f>
        <v>0.1</v>
      </c>
      <c r="TW59" s="6">
        <f>VLOOKUP(TW$43, CAMEO!$G$3:$J$9, 3, FALSE)</f>
        <v>0.1</v>
      </c>
      <c r="TX59" s="6">
        <f>VLOOKUP(TX$43, CAMEO!$G$3:$J$9, 3, FALSE)</f>
        <v>0.1</v>
      </c>
      <c r="TY59" s="6">
        <f>VLOOKUP(TY$43, CAMEO!$G$3:$J$9, 3, FALSE)</f>
        <v>0.1</v>
      </c>
      <c r="TZ59" s="6">
        <f>VLOOKUP(TZ$43, CAMEO!$G$3:$J$9, 3, FALSE)</f>
        <v>0.1</v>
      </c>
      <c r="UA59" s="6">
        <f>VLOOKUP(UA$43, CAMEO!$G$3:$J$9, 3, FALSE)</f>
        <v>0.1</v>
      </c>
      <c r="UB59" s="6">
        <f>VLOOKUP(UB$43, CAMEO!$G$3:$J$9, 3, FALSE)</f>
        <v>0.1</v>
      </c>
      <c r="UC59" s="6">
        <f>VLOOKUP(UC$43, CAMEO!$G$3:$J$9, 3, FALSE)</f>
        <v>0.1</v>
      </c>
      <c r="UD59" s="6">
        <f>VLOOKUP(UD$43, CAMEO!$G$3:$J$9, 3, FALSE)</f>
        <v>0.1</v>
      </c>
      <c r="UE59" s="6">
        <f>VLOOKUP(UE$43, CAMEO!$G$3:$J$9, 3, FALSE)</f>
        <v>0.1</v>
      </c>
      <c r="UF59" s="6">
        <f>VLOOKUP(UF$43, CAMEO!$G$3:$J$9, 3, FALSE)</f>
        <v>0.1</v>
      </c>
      <c r="UG59" s="6">
        <f>VLOOKUP(UG$43, CAMEO!$G$3:$J$9, 3, FALSE)</f>
        <v>0.1</v>
      </c>
      <c r="UH59" s="6">
        <f>VLOOKUP(UH$43, CAMEO!$G$3:$J$9, 3, FALSE)</f>
        <v>0.1</v>
      </c>
      <c r="UI59" s="6">
        <f>VLOOKUP(UI$43, CAMEO!$G$3:$J$9, 3, FALSE)</f>
        <v>0.1</v>
      </c>
      <c r="UJ59" s="6">
        <f>VLOOKUP(UJ$43, CAMEO!$G$3:$J$9, 3, FALSE)</f>
        <v>0.1</v>
      </c>
      <c r="UK59" s="6">
        <f>VLOOKUP(UK$43, CAMEO!$G$3:$J$9, 3, FALSE)</f>
        <v>0.1</v>
      </c>
      <c r="UL59" s="6">
        <f>VLOOKUP(UL$43, CAMEO!$G$3:$J$9, 3, FALSE)</f>
        <v>0.1</v>
      </c>
      <c r="UM59" s="6">
        <f>VLOOKUP(UM$43, CAMEO!$G$3:$J$9, 3, FALSE)</f>
        <v>0.1</v>
      </c>
      <c r="UN59" s="6">
        <f>VLOOKUP(UN$43, CAMEO!$G$3:$J$9, 3, FALSE)</f>
        <v>0.1</v>
      </c>
      <c r="UO59" s="6">
        <f>VLOOKUP(UO$43, CAMEO!$G$3:$J$9, 3, FALSE)</f>
        <v>0</v>
      </c>
      <c r="UP59" s="6">
        <f>VLOOKUP(UP$43, CAMEO!$G$3:$J$9, 3, FALSE)</f>
        <v>0</v>
      </c>
      <c r="UQ59" s="6">
        <f>VLOOKUP(UQ$43, CAMEO!$G$3:$J$9, 3, FALSE)</f>
        <v>0</v>
      </c>
      <c r="UR59" s="6">
        <f>VLOOKUP(UR$43, CAMEO!$G$3:$J$9, 3, FALSE)</f>
        <v>0</v>
      </c>
      <c r="US59" s="6">
        <f>VLOOKUP(US$43, CAMEO!$G$3:$J$9, 3, FALSE)</f>
        <v>0</v>
      </c>
      <c r="UT59" s="6">
        <f>VLOOKUP(UT$43, CAMEO!$G$3:$J$9, 3, FALSE)</f>
        <v>0</v>
      </c>
      <c r="UU59" s="6">
        <f>VLOOKUP(UU$43, CAMEO!$G$3:$J$9, 3, FALSE)</f>
        <v>0</v>
      </c>
      <c r="UV59" s="6">
        <f>VLOOKUP(UV$43, CAMEO!$G$3:$J$9, 3, FALSE)</f>
        <v>0</v>
      </c>
      <c r="UW59" s="6">
        <f>VLOOKUP(UW$43, CAMEO!$G$3:$J$9, 3, FALSE)</f>
        <v>0</v>
      </c>
      <c r="UX59" s="6">
        <f>VLOOKUP(UX$43, CAMEO!$G$3:$J$9, 3, FALSE)</f>
        <v>0</v>
      </c>
      <c r="UY59" s="6">
        <f>VLOOKUP(UY$43, CAMEO!$G$3:$J$9, 3, FALSE)</f>
        <v>0</v>
      </c>
      <c r="UZ59" s="6">
        <f>VLOOKUP(UZ$43, CAMEO!$G$3:$J$9, 3, FALSE)</f>
        <v>0</v>
      </c>
      <c r="VA59" s="6">
        <f>VLOOKUP(VA$43, CAMEO!$G$3:$J$9, 3, FALSE)</f>
        <v>0</v>
      </c>
      <c r="VB59" s="6">
        <f>VLOOKUP(VB$43, CAMEO!$G$3:$J$9, 3, FALSE)</f>
        <v>0</v>
      </c>
      <c r="VC59" s="6">
        <f>VLOOKUP(VC$43, CAMEO!$G$3:$J$9, 3, FALSE)</f>
        <v>0</v>
      </c>
      <c r="VD59" s="6">
        <f>VLOOKUP(VD$43, CAMEO!$G$3:$J$9, 3, FALSE)</f>
        <v>0</v>
      </c>
      <c r="VE59" s="6">
        <f>VLOOKUP(VE$43, CAMEO!$G$3:$J$9, 3, FALSE)</f>
        <v>0</v>
      </c>
      <c r="VF59" s="6">
        <f>VLOOKUP(VF$43, CAMEO!$G$3:$J$9, 3, FALSE)</f>
        <v>0</v>
      </c>
      <c r="VG59" s="6">
        <f>VLOOKUP(VG$43, CAMEO!$G$3:$J$9, 3, FALSE)</f>
        <v>0</v>
      </c>
      <c r="VH59" s="6">
        <f>VLOOKUP(VH$43, CAMEO!$G$3:$J$9, 3, FALSE)</f>
        <v>0.1</v>
      </c>
      <c r="VI59" s="6">
        <f>VLOOKUP(VI$43, CAMEO!$G$3:$J$9, 3, FALSE)</f>
        <v>0.1</v>
      </c>
      <c r="VJ59" s="6">
        <f>VLOOKUP(VJ$43, CAMEO!$G$3:$J$9, 3, FALSE)</f>
        <v>0.1</v>
      </c>
      <c r="VK59" s="6">
        <f>VLOOKUP(VK$43, CAMEO!$G$3:$J$9, 3, FALSE)</f>
        <v>0.1</v>
      </c>
      <c r="VL59" s="6">
        <f>VLOOKUP(VL$43, CAMEO!$G$3:$J$9, 3, FALSE)</f>
        <v>0.1</v>
      </c>
      <c r="VM59" s="6">
        <f>VLOOKUP(VM$43, CAMEO!$G$3:$J$9, 3, FALSE)</f>
        <v>0.1</v>
      </c>
      <c r="VN59" s="6">
        <f>VLOOKUP(VN$43, CAMEO!$G$3:$J$9, 3, FALSE)</f>
        <v>0.1</v>
      </c>
      <c r="VO59" s="6">
        <f>VLOOKUP(VO$43, CAMEO!$G$3:$J$9, 3, FALSE)</f>
        <v>0.1</v>
      </c>
      <c r="VP59" s="6">
        <f>VLOOKUP(VP$43, CAMEO!$G$3:$J$9, 3, FALSE)</f>
        <v>0.1</v>
      </c>
      <c r="VQ59" s="6">
        <f>VLOOKUP(VQ$43, CAMEO!$G$3:$J$9, 3, FALSE)</f>
        <v>0.1</v>
      </c>
      <c r="VR59" s="6">
        <f>VLOOKUP(VR$43, CAMEO!$G$3:$J$9, 3, FALSE)</f>
        <v>0.1</v>
      </c>
      <c r="VS59" s="6">
        <f>VLOOKUP(VS$43, CAMEO!$G$3:$J$9, 3, FALSE)</f>
        <v>0.1</v>
      </c>
      <c r="VT59" s="6">
        <f>VLOOKUP(VT$43, CAMEO!$G$3:$J$9, 3, FALSE)</f>
        <v>0.1</v>
      </c>
      <c r="VU59" s="6">
        <f>VLOOKUP(VU$43, CAMEO!$G$3:$J$9, 3, FALSE)</f>
        <v>0.1</v>
      </c>
      <c r="VV59" s="6">
        <f>VLOOKUP(VV$43, CAMEO!$G$3:$J$9, 3, FALSE)</f>
        <v>0.1</v>
      </c>
      <c r="VW59" s="6">
        <f>VLOOKUP(VW$43, CAMEO!$G$3:$J$9, 3, FALSE)</f>
        <v>0.1</v>
      </c>
      <c r="VX59" s="6">
        <f>VLOOKUP(VX$43, CAMEO!$G$3:$J$9, 3, FALSE)</f>
        <v>0.1</v>
      </c>
      <c r="VY59" s="6">
        <f>VLOOKUP(VY$43, CAMEO!$G$3:$J$9, 3, FALSE)</f>
        <v>0.1</v>
      </c>
      <c r="VZ59" s="6">
        <f>VLOOKUP(VZ$43, CAMEO!$G$3:$J$9, 3, FALSE)</f>
        <v>0.1</v>
      </c>
      <c r="WA59" s="6">
        <f>VLOOKUP(WA$43, CAMEO!$G$3:$J$9, 3, FALSE)</f>
        <v>0.1</v>
      </c>
      <c r="WB59" s="6">
        <f>VLOOKUP(WB$43, CAMEO!$G$3:$J$9, 3, FALSE)</f>
        <v>0.1</v>
      </c>
      <c r="WC59" s="6">
        <f>VLOOKUP(WC$43, CAMEO!$G$3:$J$9, 3, FALSE)</f>
        <v>0.1</v>
      </c>
      <c r="WD59" s="6">
        <f>VLOOKUP(WD$43, CAMEO!$G$3:$J$9, 3, FALSE)</f>
        <v>0.1</v>
      </c>
      <c r="WE59" s="6">
        <f>VLOOKUP(WE$43, CAMEO!$G$3:$J$9, 3, FALSE)</f>
        <v>0.1</v>
      </c>
      <c r="WF59" s="6">
        <f>VLOOKUP(WF$43, CAMEO!$G$3:$J$9, 3, FALSE)</f>
        <v>0.1</v>
      </c>
      <c r="WG59" s="6">
        <f>VLOOKUP(WG$43, CAMEO!$G$3:$J$9, 3, FALSE)</f>
        <v>0.1</v>
      </c>
      <c r="WH59" s="6">
        <f>VLOOKUP(WH$43, CAMEO!$G$3:$J$9, 3, FALSE)</f>
        <v>0.1</v>
      </c>
      <c r="WI59" s="6">
        <f>VLOOKUP(WI$43, CAMEO!$G$3:$J$9, 3, FALSE)</f>
        <v>0.1</v>
      </c>
      <c r="WJ59" s="6">
        <f>VLOOKUP(WJ$43, CAMEO!$G$3:$J$9, 3, FALSE)</f>
        <v>0.1</v>
      </c>
      <c r="WK59" s="6">
        <f>VLOOKUP(WK$43, CAMEO!$G$3:$J$9, 3, FALSE)</f>
        <v>0.1</v>
      </c>
      <c r="WL59" s="6">
        <f>VLOOKUP(WL$43, CAMEO!$G$3:$J$9, 3, FALSE)</f>
        <v>0.1</v>
      </c>
      <c r="WM59" s="6">
        <f>VLOOKUP(WM$43, CAMEO!$G$3:$J$9, 3, FALSE)</f>
        <v>0.1</v>
      </c>
      <c r="WN59" s="6">
        <f>VLOOKUP(WN$43, CAMEO!$G$3:$J$9, 3, FALSE)</f>
        <v>0.1</v>
      </c>
      <c r="WO59" s="6">
        <f>VLOOKUP(WO$43, CAMEO!$G$3:$J$9, 3, FALSE)</f>
        <v>0.1</v>
      </c>
      <c r="WP59" s="6">
        <f>VLOOKUP(WP$43, CAMEO!$G$3:$J$9, 3, FALSE)</f>
        <v>0.1</v>
      </c>
      <c r="WQ59" s="6">
        <f>VLOOKUP(WQ$43, CAMEO!$G$3:$J$9, 3, FALSE)</f>
        <v>0.1</v>
      </c>
      <c r="WR59" s="6">
        <f>VLOOKUP(WR$43, CAMEO!$G$3:$J$9, 3, FALSE)</f>
        <v>0.1</v>
      </c>
      <c r="WS59" s="6">
        <f>VLOOKUP(WS$43, CAMEO!$G$3:$J$9, 3, FALSE)</f>
        <v>0.1</v>
      </c>
      <c r="WT59" s="6">
        <f>VLOOKUP(WT$43, CAMEO!$G$3:$J$9, 3, FALSE)</f>
        <v>0.1</v>
      </c>
      <c r="WU59" s="6">
        <f>VLOOKUP(WU$43, CAMEO!$G$3:$J$9, 3, FALSE)</f>
        <v>0.1</v>
      </c>
      <c r="WV59" s="6">
        <f>VLOOKUP(WV$43, CAMEO!$G$3:$J$9, 3, FALSE)</f>
        <v>0.1</v>
      </c>
      <c r="WW59" s="6">
        <f>VLOOKUP(WW$43, CAMEO!$G$3:$J$9, 3, FALSE)</f>
        <v>0.1</v>
      </c>
      <c r="WX59" s="6">
        <f>VLOOKUP(WX$43, CAMEO!$G$3:$J$9, 3, FALSE)</f>
        <v>0.1</v>
      </c>
      <c r="WY59" s="6">
        <f>VLOOKUP(WY$43, CAMEO!$G$3:$J$9, 3, FALSE)</f>
        <v>0.1</v>
      </c>
      <c r="WZ59" s="6">
        <f>VLOOKUP(WZ$43, CAMEO!$G$3:$J$9, 3, FALSE)</f>
        <v>0.1</v>
      </c>
      <c r="XA59" s="6">
        <f>VLOOKUP(XA$43, CAMEO!$G$3:$J$9, 3, FALSE)</f>
        <v>0.1</v>
      </c>
      <c r="XB59" s="6">
        <f>VLOOKUP(XB$43, CAMEO!$G$3:$J$9, 3, FALSE)</f>
        <v>0.1</v>
      </c>
      <c r="XC59" s="6">
        <f>VLOOKUP(XC$43, CAMEO!$G$3:$J$9, 3, FALSE)</f>
        <v>0.1</v>
      </c>
      <c r="XD59" s="6">
        <f>VLOOKUP(XD$43, CAMEO!$G$3:$J$9, 3, FALSE)</f>
        <v>0.1</v>
      </c>
      <c r="XE59" s="6">
        <f>VLOOKUP(XE$43, CAMEO!$G$3:$J$9, 3, FALSE)</f>
        <v>0.1</v>
      </c>
      <c r="XF59" s="6">
        <f>VLOOKUP(XF$43, CAMEO!$G$3:$J$9, 3, FALSE)</f>
        <v>0.1</v>
      </c>
      <c r="XG59" s="6">
        <f>VLOOKUP(XG$43, CAMEO!$G$3:$J$9, 3, FALSE)</f>
        <v>0.1</v>
      </c>
      <c r="XH59" s="6">
        <f>VLOOKUP(XH$43, CAMEO!$G$3:$J$9, 3, FALSE)</f>
        <v>0.1</v>
      </c>
      <c r="XI59" s="6">
        <f>VLOOKUP(XI$43, CAMEO!$G$3:$J$9, 3, FALSE)</f>
        <v>0.1</v>
      </c>
      <c r="XJ59" s="6">
        <f>VLOOKUP(XJ$43, CAMEO!$G$3:$J$9, 3, FALSE)</f>
        <v>0.1</v>
      </c>
      <c r="XK59" s="6">
        <f>VLOOKUP(XK$43, CAMEO!$G$3:$J$9, 3, FALSE)</f>
        <v>0.1</v>
      </c>
      <c r="XL59" s="6">
        <f>VLOOKUP(XL$43, CAMEO!$G$3:$J$9, 3, FALSE)</f>
        <v>0.1</v>
      </c>
      <c r="XM59" s="6">
        <f>VLOOKUP(XM$43, CAMEO!$G$3:$J$9, 3, FALSE)</f>
        <v>0.1</v>
      </c>
      <c r="XN59" s="6">
        <f>VLOOKUP(XN$43, CAMEO!$G$3:$J$9, 3, FALSE)</f>
        <v>0.1</v>
      </c>
      <c r="XO59" s="6">
        <f>VLOOKUP(XO$43, CAMEO!$G$3:$J$9, 3, FALSE)</f>
        <v>0.1</v>
      </c>
      <c r="XP59" s="6">
        <f>VLOOKUP(XP$43, CAMEO!$G$3:$J$9, 3, FALSE)</f>
        <v>0.1</v>
      </c>
      <c r="XQ59" s="6">
        <f>VLOOKUP(XQ$43, CAMEO!$G$3:$J$9, 3, FALSE)</f>
        <v>0.1</v>
      </c>
      <c r="XR59" s="6">
        <f>VLOOKUP(XR$43, CAMEO!$G$3:$J$9, 3, FALSE)</f>
        <v>0.1</v>
      </c>
      <c r="XS59" s="6">
        <f>VLOOKUP(XS$43, CAMEO!$G$3:$J$9, 3, FALSE)</f>
        <v>0.1</v>
      </c>
      <c r="XT59" s="6">
        <f>VLOOKUP(XT$43, CAMEO!$G$3:$J$9, 3, FALSE)</f>
        <v>0.1</v>
      </c>
      <c r="XU59" s="6">
        <f>VLOOKUP(XU$43, CAMEO!$G$3:$J$9, 3, FALSE)</f>
        <v>0.1</v>
      </c>
      <c r="XV59" s="6">
        <f>VLOOKUP(XV$43, CAMEO!$G$3:$J$9, 3, FALSE)</f>
        <v>0.1</v>
      </c>
      <c r="XW59" s="6">
        <f>VLOOKUP(XW$43, CAMEO!$G$3:$J$9, 3, FALSE)</f>
        <v>0.1</v>
      </c>
      <c r="XX59" s="6">
        <f>VLOOKUP(XX$43, CAMEO!$G$3:$J$9, 3, FALSE)</f>
        <v>0.1</v>
      </c>
      <c r="XY59" s="6">
        <f>VLOOKUP(XY$43, CAMEO!$G$3:$J$9, 3, FALSE)</f>
        <v>0.1</v>
      </c>
      <c r="XZ59" s="6">
        <f>VLOOKUP(XZ$43, CAMEO!$G$3:$J$9, 3, FALSE)</f>
        <v>0.1</v>
      </c>
      <c r="YA59" s="6">
        <f>VLOOKUP(YA$43, CAMEO!$G$3:$J$9, 3, FALSE)</f>
        <v>0.1</v>
      </c>
      <c r="YB59" s="6">
        <f>VLOOKUP(YB$43, CAMEO!$G$3:$J$9, 3, FALSE)</f>
        <v>0.1</v>
      </c>
      <c r="YC59" s="6">
        <f>VLOOKUP(YC$43, CAMEO!$G$3:$J$9, 3, FALSE)</f>
        <v>0.1</v>
      </c>
      <c r="YD59" s="6">
        <f>VLOOKUP(YD$43, CAMEO!$G$3:$J$9, 3, FALSE)</f>
        <v>0.1</v>
      </c>
      <c r="YE59" s="6">
        <f>VLOOKUP(YE$43, CAMEO!$G$3:$J$9, 3, FALSE)</f>
        <v>0.1</v>
      </c>
      <c r="YF59" s="6">
        <f>VLOOKUP(YF$43, CAMEO!$G$3:$J$9, 3, FALSE)</f>
        <v>0.1</v>
      </c>
      <c r="YG59" s="6">
        <f>VLOOKUP(YG$43, CAMEO!$G$3:$J$9, 3, FALSE)</f>
        <v>0.1</v>
      </c>
      <c r="YH59" s="6">
        <f>VLOOKUP(YH$43, CAMEO!$G$3:$J$9, 3, FALSE)</f>
        <v>0.1</v>
      </c>
      <c r="YI59" s="6">
        <f>VLOOKUP(YI$43, CAMEO!$G$3:$J$9, 3, FALSE)</f>
        <v>0.1</v>
      </c>
      <c r="YJ59" s="6">
        <f>VLOOKUP(YJ$43, CAMEO!$G$3:$J$9, 3, FALSE)</f>
        <v>0.1</v>
      </c>
      <c r="YK59" s="6">
        <f>VLOOKUP(YK$43, CAMEO!$G$3:$J$9, 3, FALSE)</f>
        <v>0.1</v>
      </c>
      <c r="YL59" s="6">
        <f>VLOOKUP(YL$43, CAMEO!$G$3:$J$9, 3, FALSE)</f>
        <v>0.1</v>
      </c>
      <c r="YM59" s="6">
        <f>VLOOKUP(YM$43, CAMEO!$G$3:$J$9, 3, FALSE)</f>
        <v>0.1</v>
      </c>
      <c r="YN59" s="6">
        <f>VLOOKUP(YN$43, CAMEO!$G$3:$J$9, 3, FALSE)</f>
        <v>0.1</v>
      </c>
      <c r="YO59" s="6">
        <f>VLOOKUP(YO$43, CAMEO!$G$3:$J$9, 3, FALSE)</f>
        <v>0.1</v>
      </c>
      <c r="YP59" s="6">
        <f>VLOOKUP(YP$43, CAMEO!$G$3:$J$9, 3, FALSE)</f>
        <v>0.17</v>
      </c>
      <c r="YQ59" s="6">
        <f>VLOOKUP(YQ$43, CAMEO!$G$3:$J$9, 3, FALSE)</f>
        <v>0.17</v>
      </c>
      <c r="YR59" s="6">
        <f>VLOOKUP(YR$43, CAMEO!$G$3:$J$9, 3, FALSE)</f>
        <v>0.17</v>
      </c>
      <c r="YS59" s="6">
        <f>VLOOKUP(YS$43, CAMEO!$G$3:$J$9, 3, FALSE)</f>
        <v>0.1</v>
      </c>
      <c r="YT59" s="6">
        <f>VLOOKUP(YT$43, CAMEO!$G$3:$J$9, 3, FALSE)</f>
        <v>0.1</v>
      </c>
      <c r="YU59" s="6">
        <f>VLOOKUP(YU$43, CAMEO!$G$3:$J$9, 3, FALSE)</f>
        <v>0.1</v>
      </c>
      <c r="YV59" s="6">
        <f>VLOOKUP(YV$43, CAMEO!$G$3:$J$9, 3, FALSE)</f>
        <v>0.1</v>
      </c>
      <c r="YW59" s="6">
        <f>VLOOKUP(YW$43, CAMEO!$G$3:$J$9, 3, FALSE)</f>
        <v>0.1</v>
      </c>
      <c r="YX59" s="6">
        <f>VLOOKUP(YX$43, CAMEO!$G$3:$J$9, 3, FALSE)</f>
        <v>0.1</v>
      </c>
      <c r="YY59" s="6">
        <f>VLOOKUP(YY$43, CAMEO!$G$3:$J$9, 3, FALSE)</f>
        <v>0.1</v>
      </c>
      <c r="YZ59" s="6">
        <f>VLOOKUP(YZ$43, CAMEO!$G$3:$J$9, 3, FALSE)</f>
        <v>0.1</v>
      </c>
      <c r="ZA59" s="6">
        <f>VLOOKUP(ZA$43, CAMEO!$G$3:$J$9, 3, FALSE)</f>
        <v>0.1</v>
      </c>
      <c r="ZB59" s="6">
        <f>VLOOKUP(ZB$43, CAMEO!$G$3:$J$9, 3, FALSE)</f>
        <v>0.1</v>
      </c>
      <c r="ZC59" s="6">
        <f>VLOOKUP(ZC$43, CAMEO!$G$3:$J$9, 3, FALSE)</f>
        <v>0.1</v>
      </c>
      <c r="ZD59" s="6">
        <f>VLOOKUP(ZD$43, CAMEO!$G$3:$J$9, 3, FALSE)</f>
        <v>0.1</v>
      </c>
      <c r="ZE59" s="6">
        <f>VLOOKUP(ZE$43, CAMEO!$G$3:$J$9, 3, FALSE)</f>
        <v>0.1</v>
      </c>
      <c r="ZF59" s="6">
        <f>VLOOKUP(ZF$43, CAMEO!$G$3:$J$9, 3, FALSE)</f>
        <v>0.1</v>
      </c>
      <c r="ZG59" s="6">
        <f>VLOOKUP(ZG$43, CAMEO!$G$3:$J$9, 3, FALSE)</f>
        <v>0.1</v>
      </c>
      <c r="ZH59" s="6">
        <f>VLOOKUP(ZH$43, CAMEO!$G$3:$J$9, 3, FALSE)</f>
        <v>0.1</v>
      </c>
      <c r="ZI59" s="6">
        <f>VLOOKUP(ZI$43, CAMEO!$G$3:$J$9, 3, FALSE)</f>
        <v>0.1</v>
      </c>
      <c r="ZJ59" s="6">
        <f>VLOOKUP(ZJ$43, CAMEO!$G$3:$J$9, 3, FALSE)</f>
        <v>0.1</v>
      </c>
      <c r="ZK59" s="6">
        <f>VLOOKUP(ZK$43, CAMEO!$G$3:$J$9, 3, FALSE)</f>
        <v>0.1</v>
      </c>
      <c r="ZL59" s="6">
        <f>VLOOKUP(ZL$43, CAMEO!$G$3:$J$9, 3, FALSE)</f>
        <v>0.1</v>
      </c>
      <c r="ZM59" s="6">
        <f>VLOOKUP(ZM$43, CAMEO!$G$3:$J$9, 3, FALSE)</f>
        <v>0.1</v>
      </c>
      <c r="ZN59" s="6">
        <f>VLOOKUP(ZN$43, CAMEO!$G$3:$J$9, 3, FALSE)</f>
        <v>0.1</v>
      </c>
      <c r="ZO59" s="6">
        <f>VLOOKUP(ZO$43, CAMEO!$G$3:$J$9, 3, FALSE)</f>
        <v>0.1</v>
      </c>
      <c r="ZP59" s="6">
        <f>VLOOKUP(ZP$43, CAMEO!$G$3:$J$9, 3, FALSE)</f>
        <v>0.1</v>
      </c>
      <c r="ZQ59" s="6">
        <f>VLOOKUP(ZQ$43, CAMEO!$G$3:$J$9, 3, FALSE)</f>
        <v>0.1</v>
      </c>
      <c r="ZR59" s="6">
        <f>VLOOKUP(ZR$43, CAMEO!$G$3:$J$9, 3, FALSE)</f>
        <v>0.1</v>
      </c>
      <c r="ZS59" s="6">
        <f>VLOOKUP(ZS$43, CAMEO!$G$3:$J$9, 3, FALSE)</f>
        <v>0.1</v>
      </c>
      <c r="ZT59" s="6">
        <f>VLOOKUP(ZT$43, CAMEO!$G$3:$J$9, 3, FALSE)</f>
        <v>0.1</v>
      </c>
      <c r="ZU59" s="6">
        <f>VLOOKUP(ZU$43, CAMEO!$G$3:$J$9, 3, FALSE)</f>
        <v>0.1</v>
      </c>
      <c r="ZV59" s="6">
        <f>VLOOKUP(ZV$43, CAMEO!$G$3:$J$9, 3, FALSE)</f>
        <v>0.1</v>
      </c>
      <c r="ZW59" s="6">
        <f>VLOOKUP(ZW$43, CAMEO!$G$3:$J$9, 3, FALSE)</f>
        <v>0.1</v>
      </c>
      <c r="ZX59" s="6">
        <f>VLOOKUP(ZX$43, CAMEO!$G$3:$J$9, 3, FALSE)</f>
        <v>0.1</v>
      </c>
      <c r="ZY59" s="6">
        <f>VLOOKUP(ZY$43, CAMEO!$G$3:$J$9, 3, FALSE)</f>
        <v>0.1</v>
      </c>
      <c r="ZZ59" s="6">
        <f>VLOOKUP(ZZ$43, CAMEO!$G$3:$J$9, 3, FALSE)</f>
        <v>0.1</v>
      </c>
      <c r="AAA59" s="6">
        <f>VLOOKUP(AAA$43, CAMEO!$G$3:$J$9, 3, FALSE)</f>
        <v>0.1</v>
      </c>
      <c r="AAB59" s="6">
        <f>VLOOKUP(AAB$43, CAMEO!$G$3:$J$9, 3, FALSE)</f>
        <v>0.1</v>
      </c>
      <c r="AAC59" s="6">
        <f>VLOOKUP(AAC$43, CAMEO!$G$3:$J$9, 3, FALSE)</f>
        <v>0</v>
      </c>
      <c r="AAD59" s="6">
        <f>VLOOKUP(AAD$43, CAMEO!$G$3:$J$9, 3, FALSE)</f>
        <v>0</v>
      </c>
      <c r="AAE59" s="6">
        <f>VLOOKUP(AAE$43, CAMEO!$G$3:$J$9, 3, FALSE)</f>
        <v>0</v>
      </c>
      <c r="AAF59" s="6">
        <f>VLOOKUP(AAF$43, CAMEO!$G$3:$J$9, 3, FALSE)</f>
        <v>0</v>
      </c>
      <c r="AAG59" s="6">
        <f>VLOOKUP(AAG$43, CAMEO!$G$3:$J$9, 3, FALSE)</f>
        <v>0</v>
      </c>
      <c r="AAH59" s="6">
        <f>VLOOKUP(AAH$43, CAMEO!$G$3:$J$9, 3, FALSE)</f>
        <v>0</v>
      </c>
      <c r="AAI59" s="6">
        <f>VLOOKUP(AAI$43, CAMEO!$G$3:$J$9, 3, FALSE)</f>
        <v>0</v>
      </c>
      <c r="AAJ59" s="6">
        <f>VLOOKUP(AAJ$43, CAMEO!$G$3:$J$9, 3, FALSE)</f>
        <v>0</v>
      </c>
      <c r="AAK59" s="6">
        <f>VLOOKUP(AAK$43, CAMEO!$G$3:$J$9, 3, FALSE)</f>
        <v>0</v>
      </c>
      <c r="AAL59" s="6">
        <f>VLOOKUP(AAL$43, CAMEO!$G$3:$J$9, 3, FALSE)</f>
        <v>0</v>
      </c>
      <c r="AAM59" s="6">
        <f>VLOOKUP(AAM$43, CAMEO!$G$3:$J$9, 3, FALSE)</f>
        <v>0</v>
      </c>
      <c r="AAN59" s="6">
        <f>VLOOKUP(AAN$43, CAMEO!$G$3:$J$9, 3, FALSE)</f>
        <v>0</v>
      </c>
      <c r="AAO59" s="6">
        <f>VLOOKUP(AAO$43, CAMEO!$G$3:$J$9, 3, FALSE)</f>
        <v>0</v>
      </c>
      <c r="AAP59" s="6">
        <f>VLOOKUP(AAP$43, CAMEO!$G$3:$J$9, 3, FALSE)</f>
        <v>0</v>
      </c>
      <c r="AAQ59" s="6">
        <f>VLOOKUP(AAQ$43, CAMEO!$G$3:$J$9, 3, FALSE)</f>
        <v>0</v>
      </c>
      <c r="AAR59" s="6">
        <f>VLOOKUP(AAR$43, CAMEO!$G$3:$J$9, 3, FALSE)</f>
        <v>0</v>
      </c>
      <c r="AAS59" s="6">
        <f>VLOOKUP(AAS$43, CAMEO!$G$3:$J$9, 3, FALSE)</f>
        <v>0</v>
      </c>
      <c r="AAT59" s="6">
        <f>VLOOKUP(AAT$43, CAMEO!$G$3:$J$9, 3, FALSE)</f>
        <v>0</v>
      </c>
      <c r="AAU59" s="6">
        <f>VLOOKUP(AAU$43, CAMEO!$G$3:$J$9, 3, FALSE)</f>
        <v>0</v>
      </c>
      <c r="AAV59" s="6">
        <f>VLOOKUP(AAV$43, CAMEO!$G$3:$J$9, 3, FALSE)</f>
        <v>0.1</v>
      </c>
      <c r="AAW59" s="6">
        <f>VLOOKUP(AAW$43, CAMEO!$G$3:$J$9, 3, FALSE)</f>
        <v>0.1</v>
      </c>
      <c r="AAX59" s="6">
        <f>VLOOKUP(AAX$43, CAMEO!$G$3:$J$9, 3, FALSE)</f>
        <v>0.1</v>
      </c>
      <c r="AAY59" s="6">
        <f>VLOOKUP(AAY$43, CAMEO!$G$3:$J$9, 3, FALSE)</f>
        <v>0.1</v>
      </c>
      <c r="AAZ59" s="6">
        <f>VLOOKUP(AAZ$43, CAMEO!$G$3:$J$9, 3, FALSE)</f>
        <v>0.1</v>
      </c>
      <c r="ABA59" s="6">
        <f>VLOOKUP(ABA$43, CAMEO!$G$3:$J$9, 3, FALSE)</f>
        <v>0.1</v>
      </c>
      <c r="ABB59" s="6">
        <f>VLOOKUP(ABB$43, CAMEO!$G$3:$J$9, 3, FALSE)</f>
        <v>0.1</v>
      </c>
      <c r="ABC59" s="6">
        <f>VLOOKUP(ABC$43, CAMEO!$G$3:$J$9, 3, FALSE)</f>
        <v>0.1</v>
      </c>
      <c r="ABD59" s="6">
        <f>VLOOKUP(ABD$43, CAMEO!$G$3:$J$9, 3, FALSE)</f>
        <v>0.1</v>
      </c>
      <c r="ABE59" s="6">
        <f>VLOOKUP(ABE$43, CAMEO!$G$3:$J$9, 3, FALSE)</f>
        <v>0.1</v>
      </c>
      <c r="ABF59" s="6">
        <f>VLOOKUP(ABF$43, CAMEO!$G$3:$J$9, 3, FALSE)</f>
        <v>0.1</v>
      </c>
      <c r="ABG59" s="6">
        <f>VLOOKUP(ABG$43, CAMEO!$G$3:$J$9, 3, FALSE)</f>
        <v>0.1</v>
      </c>
      <c r="ABH59" s="6">
        <f>VLOOKUP(ABH$43, CAMEO!$G$3:$J$9, 3, FALSE)</f>
        <v>0.1</v>
      </c>
      <c r="ABI59" s="6">
        <f>VLOOKUP(ABI$43, CAMEO!$G$3:$J$9, 3, FALSE)</f>
        <v>0.1</v>
      </c>
      <c r="ABJ59" s="6">
        <f>VLOOKUP(ABJ$43, CAMEO!$G$3:$J$9, 3, FALSE)</f>
        <v>0.1</v>
      </c>
      <c r="ABK59" s="6">
        <f>VLOOKUP(ABK$43, CAMEO!$G$3:$J$9, 3, FALSE)</f>
        <v>0.1</v>
      </c>
      <c r="ABL59" s="6">
        <f>VLOOKUP(ABL$43, CAMEO!$G$3:$J$9, 3, FALSE)</f>
        <v>0.1</v>
      </c>
      <c r="ABM59" s="6">
        <f>VLOOKUP(ABM$43, CAMEO!$G$3:$J$9, 3, FALSE)</f>
        <v>0.1</v>
      </c>
      <c r="ABN59" s="6">
        <f>VLOOKUP(ABN$43, CAMEO!$G$3:$J$9, 3, FALSE)</f>
        <v>0.1</v>
      </c>
      <c r="ABO59" s="6">
        <f>VLOOKUP(ABO$43, CAMEO!$G$3:$J$9, 3, FALSE)</f>
        <v>0.1</v>
      </c>
      <c r="ABP59" s="6">
        <f>VLOOKUP(ABP$43, CAMEO!$G$3:$J$9, 3, FALSE)</f>
        <v>0.1</v>
      </c>
      <c r="ABQ59" s="6">
        <f>VLOOKUP(ABQ$43, CAMEO!$G$3:$J$9, 3, FALSE)</f>
        <v>0.1</v>
      </c>
      <c r="ABR59" s="6">
        <f>VLOOKUP(ABR$43, CAMEO!$G$3:$J$9, 3, FALSE)</f>
        <v>0.1</v>
      </c>
      <c r="ABS59" s="6">
        <f>VLOOKUP(ABS$43, CAMEO!$G$3:$J$9, 3, FALSE)</f>
        <v>0.1</v>
      </c>
      <c r="ABT59" s="6">
        <f>VLOOKUP(ABT$43, CAMEO!$G$3:$J$9, 3, FALSE)</f>
        <v>0.1</v>
      </c>
      <c r="ABU59" s="6">
        <f>VLOOKUP(ABU$43, CAMEO!$G$3:$J$9, 3, FALSE)</f>
        <v>0.1</v>
      </c>
      <c r="ABV59" s="6">
        <f>VLOOKUP(ABV$43, CAMEO!$G$3:$J$9, 3, FALSE)</f>
        <v>0.1</v>
      </c>
      <c r="ABW59" s="6">
        <f>VLOOKUP(ABW$43, CAMEO!$G$3:$J$9, 3, FALSE)</f>
        <v>0.1</v>
      </c>
      <c r="ABX59" s="6">
        <f>VLOOKUP(ABX$43, CAMEO!$G$3:$J$9, 3, FALSE)</f>
        <v>0.1</v>
      </c>
      <c r="ABY59" s="6">
        <f>VLOOKUP(ABY$43, CAMEO!$G$3:$J$9, 3, FALSE)</f>
        <v>0.1</v>
      </c>
      <c r="ABZ59" s="6">
        <f>VLOOKUP(ABZ$43, CAMEO!$G$3:$J$9, 3, FALSE)</f>
        <v>0.1</v>
      </c>
      <c r="ACA59" s="6">
        <f>VLOOKUP(ACA$43, CAMEO!$G$3:$J$9, 3, FALSE)</f>
        <v>0.1</v>
      </c>
      <c r="ACB59" s="6">
        <f>VLOOKUP(ACB$43, CAMEO!$G$3:$J$9, 3, FALSE)</f>
        <v>0.1</v>
      </c>
      <c r="ACC59" s="6">
        <f>VLOOKUP(ACC$43, CAMEO!$G$3:$J$9, 3, FALSE)</f>
        <v>0.1</v>
      </c>
      <c r="ACD59" s="6">
        <f>VLOOKUP(ACD$43, CAMEO!$G$3:$J$9, 3, FALSE)</f>
        <v>0.1</v>
      </c>
      <c r="ACE59" s="6">
        <f>VLOOKUP(ACE$43, CAMEO!$G$3:$J$9, 3, FALSE)</f>
        <v>0.1</v>
      </c>
      <c r="ACF59" s="6">
        <f>VLOOKUP(ACF$43, CAMEO!$G$3:$J$9, 3, FALSE)</f>
        <v>0.1</v>
      </c>
      <c r="ACG59" s="6">
        <f>VLOOKUP(ACG$43, CAMEO!$G$3:$J$9, 3, FALSE)</f>
        <v>0.1</v>
      </c>
      <c r="ACH59" s="6">
        <f>VLOOKUP(ACH$43, CAMEO!$G$3:$J$9, 3, FALSE)</f>
        <v>0.1</v>
      </c>
      <c r="ACI59" s="6">
        <f>VLOOKUP(ACI$43, CAMEO!$G$3:$J$9, 3, FALSE)</f>
        <v>0.1</v>
      </c>
      <c r="ACJ59" s="6">
        <f>VLOOKUP(ACJ$43, CAMEO!$G$3:$J$9, 3, FALSE)</f>
        <v>0.1</v>
      </c>
      <c r="ACK59" s="6">
        <f>VLOOKUP(ACK$43, CAMEO!$G$3:$J$9, 3, FALSE)</f>
        <v>0.1</v>
      </c>
      <c r="ACL59" s="6">
        <f>VLOOKUP(ACL$43, CAMEO!$G$3:$J$9, 3, FALSE)</f>
        <v>0.1</v>
      </c>
      <c r="ACM59" s="6">
        <f>VLOOKUP(ACM$43, CAMEO!$G$3:$J$9, 3, FALSE)</f>
        <v>0.1</v>
      </c>
      <c r="ACN59" s="6">
        <f>VLOOKUP(ACN$43, CAMEO!$G$3:$J$9, 3, FALSE)</f>
        <v>0.1</v>
      </c>
      <c r="ACO59" s="6">
        <f>VLOOKUP(ACO$43, CAMEO!$G$3:$J$9, 3, FALSE)</f>
        <v>0.1</v>
      </c>
      <c r="ACP59" s="6">
        <f>VLOOKUP(ACP$43, CAMEO!$G$3:$J$9, 3, FALSE)</f>
        <v>0.1</v>
      </c>
      <c r="ACQ59" s="6">
        <f>VLOOKUP(ACQ$43, CAMEO!$G$3:$J$9, 3, FALSE)</f>
        <v>0.1</v>
      </c>
      <c r="ACR59" s="6">
        <f>VLOOKUP(ACR$43, CAMEO!$G$3:$J$9, 3, FALSE)</f>
        <v>0.1</v>
      </c>
      <c r="ACS59" s="6">
        <f>VLOOKUP(ACS$43, CAMEO!$G$3:$J$9, 3, FALSE)</f>
        <v>0.1</v>
      </c>
      <c r="ACT59" s="6">
        <f>VLOOKUP(ACT$43, CAMEO!$G$3:$J$9, 3, FALSE)</f>
        <v>0.1</v>
      </c>
      <c r="ACU59" s="6">
        <f>VLOOKUP(ACU$43, CAMEO!$G$3:$J$9, 3, FALSE)</f>
        <v>0.1</v>
      </c>
      <c r="ACV59" s="6">
        <f>VLOOKUP(ACV$43, CAMEO!$G$3:$J$9, 3, FALSE)</f>
        <v>0.1</v>
      </c>
      <c r="ACW59" s="6">
        <f>VLOOKUP(ACW$43, CAMEO!$G$3:$J$9, 3, FALSE)</f>
        <v>0.1</v>
      </c>
      <c r="ACX59" s="6">
        <f>VLOOKUP(ACX$43, CAMEO!$G$3:$J$9, 3, FALSE)</f>
        <v>0.1</v>
      </c>
      <c r="ACY59" s="6">
        <f>VLOOKUP(ACY$43, CAMEO!$G$3:$J$9, 3, FALSE)</f>
        <v>0.1</v>
      </c>
      <c r="ACZ59" s="6">
        <f>VLOOKUP(ACZ$43, CAMEO!$G$3:$J$9, 3, FALSE)</f>
        <v>0.1</v>
      </c>
      <c r="ADA59" s="6">
        <f>VLOOKUP(ADA$43, CAMEO!$G$3:$J$9, 3, FALSE)</f>
        <v>0.1</v>
      </c>
      <c r="ADB59" s="6">
        <f>VLOOKUP(ADB$43, CAMEO!$G$3:$J$9, 3, FALSE)</f>
        <v>0.1</v>
      </c>
      <c r="ADC59" s="6">
        <f>VLOOKUP(ADC$43, CAMEO!$G$3:$J$9, 3, FALSE)</f>
        <v>0.1</v>
      </c>
      <c r="ADD59" s="6">
        <f>VLOOKUP(ADD$43, CAMEO!$G$3:$J$9, 3, FALSE)</f>
        <v>0.1</v>
      </c>
      <c r="ADE59" s="6">
        <f>VLOOKUP(ADE$43, CAMEO!$G$3:$J$9, 3, FALSE)</f>
        <v>0.1</v>
      </c>
      <c r="ADF59" s="6">
        <f>VLOOKUP(ADF$43, CAMEO!$G$3:$J$9, 3, FALSE)</f>
        <v>0.1</v>
      </c>
      <c r="ADG59" s="6">
        <f>VLOOKUP(ADG$43, CAMEO!$G$3:$J$9, 3, FALSE)</f>
        <v>0.1</v>
      </c>
      <c r="ADH59" s="6">
        <f>VLOOKUP(ADH$43, CAMEO!$G$3:$J$9, 3, FALSE)</f>
        <v>0.1</v>
      </c>
      <c r="ADI59" s="6">
        <f>VLOOKUP(ADI$43, CAMEO!$G$3:$J$9, 3, FALSE)</f>
        <v>0.1</v>
      </c>
      <c r="ADJ59" s="6">
        <f>VLOOKUP(ADJ$43, CAMEO!$G$3:$J$9, 3, FALSE)</f>
        <v>0.1</v>
      </c>
      <c r="ADK59" s="6">
        <f>VLOOKUP(ADK$43, CAMEO!$G$3:$J$9, 3, FALSE)</f>
        <v>0.1</v>
      </c>
      <c r="ADL59" s="6">
        <f>VLOOKUP(ADL$43, CAMEO!$G$3:$J$9, 3, FALSE)</f>
        <v>0.1</v>
      </c>
      <c r="ADM59" s="6">
        <f>VLOOKUP(ADM$43, CAMEO!$G$3:$J$9, 3, FALSE)</f>
        <v>0.1</v>
      </c>
      <c r="ADN59" s="6">
        <f>VLOOKUP(ADN$43, CAMEO!$G$3:$J$9, 3, FALSE)</f>
        <v>0.1</v>
      </c>
      <c r="ADO59" s="6">
        <f>VLOOKUP(ADO$43, CAMEO!$G$3:$J$9, 3, FALSE)</f>
        <v>0.1</v>
      </c>
      <c r="ADP59" s="6">
        <f>VLOOKUP(ADP$43, CAMEO!$G$3:$J$9, 3, FALSE)</f>
        <v>0.1</v>
      </c>
      <c r="ADQ59" s="6">
        <f>VLOOKUP(ADQ$43, CAMEO!$G$3:$J$9, 3, FALSE)</f>
        <v>0.1</v>
      </c>
      <c r="ADR59" s="6">
        <f>VLOOKUP(ADR$43, CAMEO!$G$3:$J$9, 3, FALSE)</f>
        <v>0.1</v>
      </c>
      <c r="ADS59" s="6">
        <f>VLOOKUP(ADS$43, CAMEO!$G$3:$J$9, 3, FALSE)</f>
        <v>0.1</v>
      </c>
      <c r="ADT59" s="6">
        <f>VLOOKUP(ADT$43, CAMEO!$G$3:$J$9, 3, FALSE)</f>
        <v>0.1</v>
      </c>
      <c r="ADU59" s="6">
        <f>VLOOKUP(ADU$43, CAMEO!$G$3:$J$9, 3, FALSE)</f>
        <v>0.1</v>
      </c>
      <c r="ADV59" s="6">
        <f>VLOOKUP(ADV$43, CAMEO!$G$3:$J$9, 3, FALSE)</f>
        <v>0.1</v>
      </c>
      <c r="ADW59" s="6">
        <f>VLOOKUP(ADW$43, CAMEO!$G$3:$J$9, 3, FALSE)</f>
        <v>0.1</v>
      </c>
      <c r="ADX59" s="6">
        <f>VLOOKUP(ADX$43, CAMEO!$G$3:$J$9, 3, FALSE)</f>
        <v>0.1</v>
      </c>
      <c r="ADY59" s="6">
        <f>VLOOKUP(ADY$43, CAMEO!$G$3:$J$9, 3, FALSE)</f>
        <v>0.1</v>
      </c>
      <c r="ADZ59" s="6">
        <f>VLOOKUP(ADZ$43, CAMEO!$G$3:$J$9, 3, FALSE)</f>
        <v>0.1</v>
      </c>
      <c r="AEA59" s="6">
        <f>VLOOKUP(AEA$43, CAMEO!$G$3:$J$9, 3, FALSE)</f>
        <v>0.1</v>
      </c>
      <c r="AEB59" s="6">
        <f>VLOOKUP(AEB$43, CAMEO!$G$3:$J$9, 3, FALSE)</f>
        <v>0.1</v>
      </c>
      <c r="AEC59" s="6">
        <f>VLOOKUP(AEC$43, CAMEO!$G$3:$J$9, 3, FALSE)</f>
        <v>0.1</v>
      </c>
      <c r="AED59" s="6">
        <f>VLOOKUP(AED$43, CAMEO!$G$3:$J$9, 3, FALSE)</f>
        <v>0.17</v>
      </c>
      <c r="AEE59" s="6">
        <f>VLOOKUP(AEE$43, CAMEO!$G$3:$J$9, 3, FALSE)</f>
        <v>0.17</v>
      </c>
      <c r="AEF59" s="6">
        <f>VLOOKUP(AEF$43, CAMEO!$G$3:$J$9, 3, FALSE)</f>
        <v>0.17</v>
      </c>
      <c r="AEG59" s="6">
        <f>VLOOKUP(AEG$43, CAMEO!$G$3:$J$9, 3, FALSE)</f>
        <v>0.1</v>
      </c>
      <c r="AEH59" s="6">
        <f>VLOOKUP(AEH$43, CAMEO!$G$3:$J$9, 3, FALSE)</f>
        <v>0.1</v>
      </c>
      <c r="AEI59" s="6">
        <f>VLOOKUP(AEI$43, CAMEO!$G$3:$J$9, 3, FALSE)</f>
        <v>0.1</v>
      </c>
      <c r="AEJ59" s="6">
        <f>VLOOKUP(AEJ$43, CAMEO!$G$3:$J$9, 3, FALSE)</f>
        <v>0.1</v>
      </c>
      <c r="AEK59" s="6">
        <f>VLOOKUP(AEK$43, CAMEO!$G$3:$J$9, 3, FALSE)</f>
        <v>0.1</v>
      </c>
      <c r="AEL59" s="6">
        <f>VLOOKUP(AEL$43, CAMEO!$G$3:$J$9, 3, FALSE)</f>
        <v>0.1</v>
      </c>
      <c r="AEM59" s="6">
        <f>VLOOKUP(AEM$43, CAMEO!$G$3:$J$9, 3, FALSE)</f>
        <v>0.1</v>
      </c>
      <c r="AEN59" s="6">
        <f>VLOOKUP(AEN$43, CAMEO!$G$3:$J$9, 3, FALSE)</f>
        <v>0.1</v>
      </c>
      <c r="AEO59" s="6">
        <f>VLOOKUP(AEO$43, CAMEO!$G$3:$J$9, 3, FALSE)</f>
        <v>0.1</v>
      </c>
      <c r="AEP59" s="6">
        <f>VLOOKUP(AEP$43, CAMEO!$G$3:$J$9, 3, FALSE)</f>
        <v>0.1</v>
      </c>
      <c r="AEQ59" s="6">
        <f>VLOOKUP(AEQ$43, CAMEO!$G$3:$J$9, 3, FALSE)</f>
        <v>0.1</v>
      </c>
      <c r="AER59" s="6">
        <f>VLOOKUP(AER$43, CAMEO!$G$3:$J$9, 3, FALSE)</f>
        <v>0.1</v>
      </c>
      <c r="AES59" s="6">
        <f>VLOOKUP(AES$43, CAMEO!$G$3:$J$9, 3, FALSE)</f>
        <v>0.1</v>
      </c>
      <c r="AET59" s="6">
        <f>VLOOKUP(AET$43, CAMEO!$G$3:$J$9, 3, FALSE)</f>
        <v>0.1</v>
      </c>
      <c r="AEU59" s="6">
        <f>VLOOKUP(AEU$43, CAMEO!$G$3:$J$9, 3, FALSE)</f>
        <v>0.1</v>
      </c>
      <c r="AEV59" s="6">
        <f>VLOOKUP(AEV$43, CAMEO!$G$3:$J$9, 3, FALSE)</f>
        <v>0.1</v>
      </c>
      <c r="AEW59" s="6">
        <f>VLOOKUP(AEW$43, CAMEO!$G$3:$J$9, 3, FALSE)</f>
        <v>0.1</v>
      </c>
      <c r="AEX59" s="6">
        <f>VLOOKUP(AEX$43, CAMEO!$G$3:$J$9, 3, FALSE)</f>
        <v>0.1</v>
      </c>
      <c r="AEY59" s="6">
        <f>VLOOKUP(AEY$43, CAMEO!$G$3:$J$9, 3, FALSE)</f>
        <v>0.1</v>
      </c>
      <c r="AEZ59" s="6">
        <f>VLOOKUP(AEZ$43, CAMEO!$G$3:$J$9, 3, FALSE)</f>
        <v>0.1</v>
      </c>
      <c r="AFA59" s="6">
        <f>VLOOKUP(AFA$43, CAMEO!$G$3:$J$9, 3, FALSE)</f>
        <v>0.1</v>
      </c>
      <c r="AFB59" s="6">
        <f>VLOOKUP(AFB$43, CAMEO!$G$3:$J$9, 3, FALSE)</f>
        <v>0.1</v>
      </c>
      <c r="AFC59" s="6">
        <f>VLOOKUP(AFC$43, CAMEO!$G$3:$J$9, 3, FALSE)</f>
        <v>0.1</v>
      </c>
      <c r="AFD59" s="6">
        <f>VLOOKUP(AFD$43, CAMEO!$G$3:$J$9, 3, FALSE)</f>
        <v>0.1</v>
      </c>
      <c r="AFE59" s="6">
        <f>VLOOKUP(AFE$43, CAMEO!$G$3:$J$9, 3, FALSE)</f>
        <v>0.1</v>
      </c>
      <c r="AFF59" s="6">
        <f>VLOOKUP(AFF$43, CAMEO!$G$3:$J$9, 3, FALSE)</f>
        <v>0.1</v>
      </c>
      <c r="AFG59" s="6">
        <f>VLOOKUP(AFG$43, CAMEO!$G$3:$J$9, 3, FALSE)</f>
        <v>0.1</v>
      </c>
      <c r="AFH59" s="6">
        <f>VLOOKUP(AFH$43, CAMEO!$G$3:$J$9, 3, FALSE)</f>
        <v>0.1</v>
      </c>
      <c r="AFI59" s="6">
        <f>VLOOKUP(AFI$43, CAMEO!$G$3:$J$9, 3, FALSE)</f>
        <v>0.1</v>
      </c>
      <c r="AFJ59" s="6">
        <f>VLOOKUP(AFJ$43, CAMEO!$G$3:$J$9, 3, FALSE)</f>
        <v>0.1</v>
      </c>
      <c r="AFK59" s="6">
        <f>VLOOKUP(AFK$43, CAMEO!$G$3:$J$9, 3, FALSE)</f>
        <v>0.1</v>
      </c>
      <c r="AFL59" s="6">
        <f>VLOOKUP(AFL$43, CAMEO!$G$3:$J$9, 3, FALSE)</f>
        <v>0.1</v>
      </c>
      <c r="AFM59" s="6">
        <f>VLOOKUP(AFM$43, CAMEO!$G$3:$J$9, 3, FALSE)</f>
        <v>0.1</v>
      </c>
      <c r="AFN59" s="6">
        <f>VLOOKUP(AFN$43, CAMEO!$G$3:$J$9, 3, FALSE)</f>
        <v>0.1</v>
      </c>
      <c r="AFO59" s="6">
        <f>VLOOKUP(AFO$43, CAMEO!$G$3:$J$9, 3, FALSE)</f>
        <v>0.1</v>
      </c>
      <c r="AFP59" s="6">
        <f>VLOOKUP(AFP$43, CAMEO!$G$3:$J$9, 3, FALSE)</f>
        <v>0.1</v>
      </c>
      <c r="AFQ59" s="6">
        <f>VLOOKUP(AFQ$43, CAMEO!$G$3:$J$9, 3, FALSE)</f>
        <v>0</v>
      </c>
      <c r="AFR59" s="6">
        <f>VLOOKUP(AFR$43, CAMEO!$G$3:$J$9, 3, FALSE)</f>
        <v>0</v>
      </c>
      <c r="AFS59" s="6">
        <f>VLOOKUP(AFS$43, CAMEO!$G$3:$J$9, 3, FALSE)</f>
        <v>0</v>
      </c>
      <c r="AFT59" s="6">
        <f>VLOOKUP(AFT$43, CAMEO!$G$3:$J$9, 3, FALSE)</f>
        <v>0</v>
      </c>
      <c r="AFU59" s="6">
        <f>VLOOKUP(AFU$43, CAMEO!$G$3:$J$9, 3, FALSE)</f>
        <v>0</v>
      </c>
      <c r="AFV59" s="6">
        <f>VLOOKUP(AFV$43, CAMEO!$G$3:$J$9, 3, FALSE)</f>
        <v>0</v>
      </c>
      <c r="AFW59" s="6">
        <f>VLOOKUP(AFW$43, CAMEO!$G$3:$J$9, 3, FALSE)</f>
        <v>0</v>
      </c>
      <c r="AFX59" s="6">
        <f>VLOOKUP(AFX$43, CAMEO!$G$3:$J$9, 3, FALSE)</f>
        <v>0</v>
      </c>
      <c r="AFY59" s="6">
        <f>VLOOKUP(AFY$43, CAMEO!$G$3:$J$9, 3, FALSE)</f>
        <v>0</v>
      </c>
      <c r="AFZ59" s="6">
        <f>VLOOKUP(AFZ$43, CAMEO!$G$3:$J$9, 3, FALSE)</f>
        <v>0</v>
      </c>
      <c r="AGA59" s="6">
        <f>VLOOKUP(AGA$43, CAMEO!$G$3:$J$9, 3, FALSE)</f>
        <v>0</v>
      </c>
      <c r="AGB59" s="6">
        <f>VLOOKUP(AGB$43, CAMEO!$G$3:$J$9, 3, FALSE)</f>
        <v>0</v>
      </c>
      <c r="AGC59" s="6">
        <f>VLOOKUP(AGC$43, CAMEO!$G$3:$J$9, 3, FALSE)</f>
        <v>0</v>
      </c>
      <c r="AGD59" s="6">
        <f>VLOOKUP(AGD$43, CAMEO!$G$3:$J$9, 3, FALSE)</f>
        <v>0</v>
      </c>
      <c r="AGE59" s="6">
        <f>VLOOKUP(AGE$43, CAMEO!$G$3:$J$9, 3, FALSE)</f>
        <v>0</v>
      </c>
      <c r="AGF59" s="6">
        <f>VLOOKUP(AGF$43, CAMEO!$G$3:$J$9, 3, FALSE)</f>
        <v>0</v>
      </c>
      <c r="AGG59" s="6">
        <f>VLOOKUP(AGG$43, CAMEO!$G$3:$J$9, 3, FALSE)</f>
        <v>0</v>
      </c>
      <c r="AGH59" s="6">
        <f>VLOOKUP(AGH$43, CAMEO!$G$3:$J$9, 3, FALSE)</f>
        <v>0</v>
      </c>
      <c r="AGI59" s="6">
        <f>VLOOKUP(AGI$43, CAMEO!$G$3:$J$9, 3, FALSE)</f>
        <v>0</v>
      </c>
      <c r="AGJ59" s="6">
        <f>VLOOKUP(AGJ$43, CAMEO!$G$3:$J$9, 3, FALSE)</f>
        <v>0.1</v>
      </c>
      <c r="AGK59" s="6">
        <f>VLOOKUP(AGK$43, CAMEO!$G$3:$J$9, 3, FALSE)</f>
        <v>0.1</v>
      </c>
      <c r="AGL59" s="6">
        <f>VLOOKUP(AGL$43, CAMEO!$G$3:$J$9, 3, FALSE)</f>
        <v>0.1</v>
      </c>
      <c r="AGM59" s="6">
        <f>VLOOKUP(AGM$43, CAMEO!$G$3:$J$9, 3, FALSE)</f>
        <v>0.1</v>
      </c>
      <c r="AGN59" s="6">
        <f>VLOOKUP(AGN$43, CAMEO!$G$3:$J$9, 3, FALSE)</f>
        <v>0.1</v>
      </c>
      <c r="AGO59" s="6">
        <f>VLOOKUP(AGO$43, CAMEO!$G$3:$J$9, 3, FALSE)</f>
        <v>0.1</v>
      </c>
      <c r="AGP59" s="6">
        <f>VLOOKUP(AGP$43, CAMEO!$G$3:$J$9, 3, FALSE)</f>
        <v>0.1</v>
      </c>
      <c r="AGQ59" s="6">
        <f>VLOOKUP(AGQ$43, CAMEO!$G$3:$J$9, 3, FALSE)</f>
        <v>0.1</v>
      </c>
      <c r="AGR59" s="6">
        <f>VLOOKUP(AGR$43, CAMEO!$G$3:$J$9, 3, FALSE)</f>
        <v>0.1</v>
      </c>
      <c r="AGS59" s="6">
        <f>VLOOKUP(AGS$43, CAMEO!$G$3:$J$9, 3, FALSE)</f>
        <v>0.1</v>
      </c>
      <c r="AGT59" s="6">
        <f>VLOOKUP(AGT$43, CAMEO!$G$3:$J$9, 3, FALSE)</f>
        <v>0.1</v>
      </c>
      <c r="AGU59" s="6">
        <f>VLOOKUP(AGU$43, CAMEO!$G$3:$J$9, 3, FALSE)</f>
        <v>0.1</v>
      </c>
      <c r="AGV59" s="6">
        <f>VLOOKUP(AGV$43, CAMEO!$G$3:$J$9, 3, FALSE)</f>
        <v>0.1</v>
      </c>
      <c r="AGW59" s="6">
        <f>VLOOKUP(AGW$43, CAMEO!$G$3:$J$9, 3, FALSE)</f>
        <v>0.1</v>
      </c>
      <c r="AGX59" s="6">
        <f>VLOOKUP(AGX$43, CAMEO!$G$3:$J$9, 3, FALSE)</f>
        <v>0.1</v>
      </c>
      <c r="AGY59" s="6">
        <f>VLOOKUP(AGY$43, CAMEO!$G$3:$J$9, 3, FALSE)</f>
        <v>0.1</v>
      </c>
      <c r="AGZ59" s="6">
        <f>VLOOKUP(AGZ$43, CAMEO!$G$3:$J$9, 3, FALSE)</f>
        <v>0.1</v>
      </c>
      <c r="AHA59" s="6">
        <f>VLOOKUP(AHA$43, CAMEO!$G$3:$J$9, 3, FALSE)</f>
        <v>0.1</v>
      </c>
      <c r="AHB59" s="6">
        <f>VLOOKUP(AHB$43, CAMEO!$G$3:$J$9, 3, FALSE)</f>
        <v>0.1</v>
      </c>
      <c r="AHC59" s="6">
        <f>VLOOKUP(AHC$43, CAMEO!$G$3:$J$9, 3, FALSE)</f>
        <v>0.1</v>
      </c>
      <c r="AHD59" s="6">
        <f>VLOOKUP(AHD$43, CAMEO!$G$3:$J$9, 3, FALSE)</f>
        <v>0.1</v>
      </c>
      <c r="AHE59" s="6">
        <f>VLOOKUP(AHE$43, CAMEO!$G$3:$J$9, 3, FALSE)</f>
        <v>0.1</v>
      </c>
      <c r="AHF59" s="6">
        <f>VLOOKUP(AHF$43, CAMEO!$G$3:$J$9, 3, FALSE)</f>
        <v>0.1</v>
      </c>
      <c r="AHG59" s="6">
        <f>VLOOKUP(AHG$43, CAMEO!$G$3:$J$9, 3, FALSE)</f>
        <v>0.1</v>
      </c>
      <c r="AHH59" s="6">
        <f>VLOOKUP(AHH$43, CAMEO!$G$3:$J$9, 3, FALSE)</f>
        <v>0.1</v>
      </c>
      <c r="AHI59" s="6">
        <f>VLOOKUP(AHI$43, CAMEO!$G$3:$J$9, 3, FALSE)</f>
        <v>0.1</v>
      </c>
      <c r="AHJ59" s="6">
        <f>VLOOKUP(AHJ$43, CAMEO!$G$3:$J$9, 3, FALSE)</f>
        <v>0.1</v>
      </c>
      <c r="AHK59" s="6">
        <f>VLOOKUP(AHK$43, CAMEO!$G$3:$J$9, 3, FALSE)</f>
        <v>0.1</v>
      </c>
      <c r="AHL59" s="6">
        <f>VLOOKUP(AHL$43, CAMEO!$G$3:$J$9, 3, FALSE)</f>
        <v>0.1</v>
      </c>
      <c r="AHM59" s="6">
        <f>VLOOKUP(AHM$43, CAMEO!$G$3:$J$9, 3, FALSE)</f>
        <v>0.1</v>
      </c>
      <c r="AHN59" s="6">
        <f>VLOOKUP(AHN$43, CAMEO!$G$3:$J$9, 3, FALSE)</f>
        <v>0.1</v>
      </c>
      <c r="AHO59" s="6">
        <f>VLOOKUP(AHO$43, CAMEO!$G$3:$J$9, 3, FALSE)</f>
        <v>0.1</v>
      </c>
      <c r="AHP59" s="6">
        <f>VLOOKUP(AHP$43, CAMEO!$G$3:$J$9, 3, FALSE)</f>
        <v>0.1</v>
      </c>
      <c r="AHQ59" s="6">
        <f>VLOOKUP(AHQ$43, CAMEO!$G$3:$J$9, 3, FALSE)</f>
        <v>0.1</v>
      </c>
      <c r="AHR59" s="6">
        <f>VLOOKUP(AHR$43, CAMEO!$G$3:$J$9, 3, FALSE)</f>
        <v>0.1</v>
      </c>
      <c r="AHS59" s="6">
        <f>VLOOKUP(AHS$43, CAMEO!$G$3:$J$9, 3, FALSE)</f>
        <v>0.1</v>
      </c>
      <c r="AHT59" s="6">
        <f>VLOOKUP(AHT$43, CAMEO!$G$3:$J$9, 3, FALSE)</f>
        <v>0.1</v>
      </c>
      <c r="AHU59" s="6">
        <f>VLOOKUP(AHU$43, CAMEO!$G$3:$J$9, 3, FALSE)</f>
        <v>0.1</v>
      </c>
      <c r="AHV59" s="6">
        <f>VLOOKUP(AHV$43, CAMEO!$G$3:$J$9, 3, FALSE)</f>
        <v>0.1</v>
      </c>
      <c r="AHW59" s="6">
        <f>VLOOKUP(AHW$43, CAMEO!$G$3:$J$9, 3, FALSE)</f>
        <v>0.1</v>
      </c>
      <c r="AHX59" s="6">
        <f>VLOOKUP(AHX$43, CAMEO!$G$3:$J$9, 3, FALSE)</f>
        <v>0.1</v>
      </c>
      <c r="AHY59" s="6">
        <f>VLOOKUP(AHY$43, CAMEO!$G$3:$J$9, 3, FALSE)</f>
        <v>0.1</v>
      </c>
      <c r="AHZ59" s="6">
        <f>VLOOKUP(AHZ$43, CAMEO!$G$3:$J$9, 3, FALSE)</f>
        <v>0.1</v>
      </c>
      <c r="AIA59" s="6">
        <f>VLOOKUP(AIA$43, CAMEO!$G$3:$J$9, 3, FALSE)</f>
        <v>0.1</v>
      </c>
      <c r="AIB59" s="6">
        <f>VLOOKUP(AIB$43, CAMEO!$G$3:$J$9, 3, FALSE)</f>
        <v>0.1</v>
      </c>
      <c r="AIC59" s="6">
        <f>VLOOKUP(AIC$43, CAMEO!$G$3:$J$9, 3, FALSE)</f>
        <v>0.1</v>
      </c>
      <c r="AID59" s="6">
        <f>VLOOKUP(AID$43, CAMEO!$G$3:$J$9, 3, FALSE)</f>
        <v>0.1</v>
      </c>
      <c r="AIE59" s="6">
        <f>VLOOKUP(AIE$43, CAMEO!$G$3:$J$9, 3, FALSE)</f>
        <v>0.1</v>
      </c>
      <c r="AIF59" s="6">
        <f>VLOOKUP(AIF$43, CAMEO!$G$3:$J$9, 3, FALSE)</f>
        <v>0.1</v>
      </c>
      <c r="AIG59" s="6">
        <f>VLOOKUP(AIG$43, CAMEO!$G$3:$J$9, 3, FALSE)</f>
        <v>0.1</v>
      </c>
      <c r="AIH59" s="6">
        <f>VLOOKUP(AIH$43, CAMEO!$G$3:$J$9, 3, FALSE)</f>
        <v>0.1</v>
      </c>
      <c r="AII59" s="6">
        <f>VLOOKUP(AII$43, CAMEO!$G$3:$J$9, 3, FALSE)</f>
        <v>0.1</v>
      </c>
      <c r="AIJ59" s="6">
        <f>VLOOKUP(AIJ$43, CAMEO!$G$3:$J$9, 3, FALSE)</f>
        <v>0.1</v>
      </c>
      <c r="AIK59" s="6">
        <f>VLOOKUP(AIK$43, CAMEO!$G$3:$J$9, 3, FALSE)</f>
        <v>0.1</v>
      </c>
      <c r="AIL59" s="6">
        <f>VLOOKUP(AIL$43, CAMEO!$G$3:$J$9, 3, FALSE)</f>
        <v>0.1</v>
      </c>
      <c r="AIM59" s="6">
        <f>VLOOKUP(AIM$43, CAMEO!$G$3:$J$9, 3, FALSE)</f>
        <v>0.1</v>
      </c>
      <c r="AIN59" s="6">
        <f>VLOOKUP(AIN$43, CAMEO!$G$3:$J$9, 3, FALSE)</f>
        <v>0.1</v>
      </c>
      <c r="AIO59" s="6">
        <f>VLOOKUP(AIO$43, CAMEO!$G$3:$J$9, 3, FALSE)</f>
        <v>0.1</v>
      </c>
      <c r="AIP59" s="6">
        <f>VLOOKUP(AIP$43, CAMEO!$G$3:$J$9, 3, FALSE)</f>
        <v>0.1</v>
      </c>
      <c r="AIQ59" s="6">
        <f>VLOOKUP(AIQ$43, CAMEO!$G$3:$J$9, 3, FALSE)</f>
        <v>0.1</v>
      </c>
      <c r="AIR59" s="6">
        <f>VLOOKUP(AIR$43, CAMEO!$G$3:$J$9, 3, FALSE)</f>
        <v>0.1</v>
      </c>
      <c r="AIS59" s="6">
        <f>VLOOKUP(AIS$43, CAMEO!$G$3:$J$9, 3, FALSE)</f>
        <v>0.1</v>
      </c>
      <c r="AIT59" s="6">
        <f>VLOOKUP(AIT$43, CAMEO!$G$3:$J$9, 3, FALSE)</f>
        <v>0.1</v>
      </c>
      <c r="AIU59" s="6">
        <f>VLOOKUP(AIU$43, CAMEO!$G$3:$J$9, 3, FALSE)</f>
        <v>0.1</v>
      </c>
      <c r="AIV59" s="6">
        <f>VLOOKUP(AIV$43, CAMEO!$G$3:$J$9, 3, FALSE)</f>
        <v>0.1</v>
      </c>
      <c r="AIW59" s="6">
        <f>VLOOKUP(AIW$43, CAMEO!$G$3:$J$9, 3, FALSE)</f>
        <v>0.1</v>
      </c>
      <c r="AIX59" s="6">
        <f>VLOOKUP(AIX$43, CAMEO!$G$3:$J$9, 3, FALSE)</f>
        <v>0.1</v>
      </c>
      <c r="AIY59" s="6">
        <f>VLOOKUP(AIY$43, CAMEO!$G$3:$J$9, 3, FALSE)</f>
        <v>0.1</v>
      </c>
      <c r="AIZ59" s="6">
        <f>VLOOKUP(AIZ$43, CAMEO!$G$3:$J$9, 3, FALSE)</f>
        <v>0.1</v>
      </c>
      <c r="AJA59" s="6">
        <f>VLOOKUP(AJA$43, CAMEO!$G$3:$J$9, 3, FALSE)</f>
        <v>0.1</v>
      </c>
      <c r="AJB59" s="6">
        <f>VLOOKUP(AJB$43, CAMEO!$G$3:$J$9, 3, FALSE)</f>
        <v>0.1</v>
      </c>
      <c r="AJC59" s="6">
        <f>VLOOKUP(AJC$43, CAMEO!$G$3:$J$9, 3, FALSE)</f>
        <v>0.1</v>
      </c>
      <c r="AJD59" s="6">
        <f>VLOOKUP(AJD$43, CAMEO!$G$3:$J$9, 3, FALSE)</f>
        <v>0.1</v>
      </c>
      <c r="AJE59" s="6">
        <f>VLOOKUP(AJE$43, CAMEO!$G$3:$J$9, 3, FALSE)</f>
        <v>0.1</v>
      </c>
      <c r="AJF59" s="6">
        <f>VLOOKUP(AJF$43, CAMEO!$G$3:$J$9, 3, FALSE)</f>
        <v>0.1</v>
      </c>
      <c r="AJG59" s="6">
        <f>VLOOKUP(AJG$43, CAMEO!$G$3:$J$9, 3, FALSE)</f>
        <v>0.1</v>
      </c>
      <c r="AJH59" s="6">
        <f>VLOOKUP(AJH$43, CAMEO!$G$3:$J$9, 3, FALSE)</f>
        <v>0.1</v>
      </c>
      <c r="AJI59" s="6">
        <f>VLOOKUP(AJI$43, CAMEO!$G$3:$J$9, 3, FALSE)</f>
        <v>0.1</v>
      </c>
      <c r="AJJ59" s="6">
        <f>VLOOKUP(AJJ$43, CAMEO!$G$3:$J$9, 3, FALSE)</f>
        <v>0.1</v>
      </c>
      <c r="AJK59" s="6">
        <f>VLOOKUP(AJK$43, CAMEO!$G$3:$J$9, 3, FALSE)</f>
        <v>0.1</v>
      </c>
      <c r="AJL59" s="6">
        <f>VLOOKUP(AJL$43, CAMEO!$G$3:$J$9, 3, FALSE)</f>
        <v>0.1</v>
      </c>
      <c r="AJM59" s="6">
        <f>VLOOKUP(AJM$43, CAMEO!$G$3:$J$9, 3, FALSE)</f>
        <v>0.1</v>
      </c>
      <c r="AJN59" s="6">
        <f>VLOOKUP(AJN$43, CAMEO!$G$3:$J$9, 3, FALSE)</f>
        <v>0.1</v>
      </c>
      <c r="AJO59" s="6">
        <f>VLOOKUP(AJO$43, CAMEO!$G$3:$J$9, 3, FALSE)</f>
        <v>0.1</v>
      </c>
      <c r="AJP59" s="6">
        <f>VLOOKUP(AJP$43, CAMEO!$G$3:$J$9, 3, FALSE)</f>
        <v>0.1</v>
      </c>
      <c r="AJQ59" s="6">
        <f>VLOOKUP(AJQ$43, CAMEO!$G$3:$J$9, 3, FALSE)</f>
        <v>0.1</v>
      </c>
      <c r="AJR59" s="6">
        <f>VLOOKUP(AJR$43, CAMEO!$G$3:$J$9, 3, FALSE)</f>
        <v>0.17</v>
      </c>
      <c r="AJS59" s="6">
        <f>VLOOKUP(AJS$43, CAMEO!$G$3:$J$9, 3, FALSE)</f>
        <v>0.17</v>
      </c>
      <c r="AJT59" s="6">
        <f>VLOOKUP(AJT$43, CAMEO!$G$3:$J$9, 3, FALSE)</f>
        <v>0.17</v>
      </c>
      <c r="AJU59" s="6">
        <f>VLOOKUP(AJU$43, CAMEO!$G$3:$J$9, 3, FALSE)</f>
        <v>0.1</v>
      </c>
      <c r="AJV59" s="6">
        <f>VLOOKUP(AJV$43, CAMEO!$G$3:$J$9, 3, FALSE)</f>
        <v>0.1</v>
      </c>
      <c r="AJW59" s="6">
        <f>VLOOKUP(AJW$43, CAMEO!$G$3:$J$9, 3, FALSE)</f>
        <v>0.1</v>
      </c>
      <c r="AJX59" s="6">
        <f>VLOOKUP(AJX$43, CAMEO!$G$3:$J$9, 3, FALSE)</f>
        <v>0.1</v>
      </c>
      <c r="AJY59" s="6">
        <f>VLOOKUP(AJY$43, CAMEO!$G$3:$J$9, 3, FALSE)</f>
        <v>0.1</v>
      </c>
      <c r="AJZ59" s="6">
        <f>VLOOKUP(AJZ$43, CAMEO!$G$3:$J$9, 3, FALSE)</f>
        <v>0.1</v>
      </c>
      <c r="AKA59" s="6">
        <f>VLOOKUP(AKA$43, CAMEO!$G$3:$J$9, 3, FALSE)</f>
        <v>0.1</v>
      </c>
      <c r="AKB59" s="6">
        <f>VLOOKUP(AKB$43, CAMEO!$G$3:$J$9, 3, FALSE)</f>
        <v>0.1</v>
      </c>
      <c r="AKC59" s="6">
        <f>VLOOKUP(AKC$43, CAMEO!$G$3:$J$9, 3, FALSE)</f>
        <v>0.1</v>
      </c>
      <c r="AKD59" s="6">
        <f>VLOOKUP(AKD$43, CAMEO!$G$3:$J$9, 3, FALSE)</f>
        <v>0.1</v>
      </c>
      <c r="AKE59" s="6">
        <f>VLOOKUP(AKE$43, CAMEO!$G$3:$J$9, 3, FALSE)</f>
        <v>0.1</v>
      </c>
      <c r="AKF59" s="6">
        <f>VLOOKUP(AKF$43, CAMEO!$G$3:$J$9, 3, FALSE)</f>
        <v>0.1</v>
      </c>
      <c r="AKG59" s="6">
        <f>VLOOKUP(AKG$43, CAMEO!$G$3:$J$9, 3, FALSE)</f>
        <v>0.1</v>
      </c>
      <c r="AKH59" s="6">
        <f>VLOOKUP(AKH$43, CAMEO!$G$3:$J$9, 3, FALSE)</f>
        <v>0.1</v>
      </c>
      <c r="AKI59" s="6">
        <f>VLOOKUP(AKI$43, CAMEO!$G$3:$J$9, 3, FALSE)</f>
        <v>0.1</v>
      </c>
      <c r="AKJ59" s="6">
        <f>VLOOKUP(AKJ$43, CAMEO!$G$3:$J$9, 3, FALSE)</f>
        <v>0.1</v>
      </c>
      <c r="AKK59" s="6">
        <f>VLOOKUP(AKK$43, CAMEO!$G$3:$J$9, 3, FALSE)</f>
        <v>0.1</v>
      </c>
      <c r="AKL59" s="6">
        <f>VLOOKUP(AKL$43, CAMEO!$G$3:$J$9, 3, FALSE)</f>
        <v>0.1</v>
      </c>
      <c r="AKM59" s="6">
        <f>VLOOKUP(AKM$43, CAMEO!$G$3:$J$9, 3, FALSE)</f>
        <v>0.1</v>
      </c>
      <c r="AKN59" s="6">
        <f>VLOOKUP(AKN$43, CAMEO!$G$3:$J$9, 3, FALSE)</f>
        <v>0.1</v>
      </c>
      <c r="AKO59" s="6">
        <f>VLOOKUP(AKO$43, CAMEO!$G$3:$J$9, 3, FALSE)</f>
        <v>0.1</v>
      </c>
      <c r="AKP59" s="6">
        <f>VLOOKUP(AKP$43, CAMEO!$G$3:$J$9, 3, FALSE)</f>
        <v>0.1</v>
      </c>
      <c r="AKQ59" s="6">
        <f>VLOOKUP(AKQ$43, CAMEO!$G$3:$J$9, 3, FALSE)</f>
        <v>0.1</v>
      </c>
      <c r="AKR59" s="6">
        <f>VLOOKUP(AKR$43, CAMEO!$G$3:$J$9, 3, FALSE)</f>
        <v>0.1</v>
      </c>
      <c r="AKS59" s="6">
        <f>VLOOKUP(AKS$43, CAMEO!$G$3:$J$9, 3, FALSE)</f>
        <v>0.1</v>
      </c>
      <c r="AKT59" s="6">
        <f>VLOOKUP(AKT$43, CAMEO!$G$3:$J$9, 3, FALSE)</f>
        <v>0.1</v>
      </c>
      <c r="AKU59" s="6">
        <f>VLOOKUP(AKU$43, CAMEO!$G$3:$J$9, 3, FALSE)</f>
        <v>0.1</v>
      </c>
      <c r="AKV59" s="6">
        <f>VLOOKUP(AKV$43, CAMEO!$G$3:$J$9, 3, FALSE)</f>
        <v>0.1</v>
      </c>
      <c r="AKW59" s="6">
        <f>VLOOKUP(AKW$43, CAMEO!$G$3:$J$9, 3, FALSE)</f>
        <v>0.1</v>
      </c>
      <c r="AKX59" s="6">
        <f>VLOOKUP(AKX$43, CAMEO!$G$3:$J$9, 3, FALSE)</f>
        <v>0.1</v>
      </c>
      <c r="AKY59" s="6">
        <f>VLOOKUP(AKY$43, CAMEO!$G$3:$J$9, 3, FALSE)</f>
        <v>0.1</v>
      </c>
      <c r="AKZ59" s="6">
        <f>VLOOKUP(AKZ$43, CAMEO!$G$3:$J$9, 3, FALSE)</f>
        <v>0.1</v>
      </c>
      <c r="ALA59" s="6">
        <f>VLOOKUP(ALA$43, CAMEO!$G$3:$J$9, 3, FALSE)</f>
        <v>0.1</v>
      </c>
      <c r="ALB59" s="6">
        <f>VLOOKUP(ALB$43, CAMEO!$G$3:$J$9, 3, FALSE)</f>
        <v>0.1</v>
      </c>
      <c r="ALC59" s="6">
        <f>VLOOKUP(ALC$43, CAMEO!$G$3:$J$9, 3, FALSE)</f>
        <v>0.1</v>
      </c>
      <c r="ALD59" s="6">
        <f>VLOOKUP(ALD$43, CAMEO!$G$3:$J$9, 3, FALSE)</f>
        <v>0.1</v>
      </c>
      <c r="ALE59" s="6">
        <f>VLOOKUP(ALE$43, CAMEO!$G$3:$J$9, 3, FALSE)</f>
        <v>0</v>
      </c>
      <c r="ALF59" s="6">
        <f>VLOOKUP(ALF$43, CAMEO!$G$3:$J$9, 3, FALSE)</f>
        <v>0</v>
      </c>
      <c r="ALG59" s="6">
        <f>VLOOKUP(ALG$43, CAMEO!$G$3:$J$9, 3, FALSE)</f>
        <v>0</v>
      </c>
      <c r="ALH59" s="6">
        <f>VLOOKUP(ALH$43, CAMEO!$G$3:$J$9, 3, FALSE)</f>
        <v>0</v>
      </c>
      <c r="ALI59" s="6">
        <f>VLOOKUP(ALI$43, CAMEO!$G$3:$J$9, 3, FALSE)</f>
        <v>0</v>
      </c>
      <c r="ALJ59" s="6">
        <f>VLOOKUP(ALJ$43, CAMEO!$G$3:$J$9, 3, FALSE)</f>
        <v>0</v>
      </c>
      <c r="ALK59" s="6">
        <f>VLOOKUP(ALK$43, CAMEO!$G$3:$J$9, 3, FALSE)</f>
        <v>0</v>
      </c>
      <c r="ALL59" s="6">
        <f>VLOOKUP(ALL$43, CAMEO!$G$3:$J$9, 3, FALSE)</f>
        <v>0</v>
      </c>
      <c r="ALM59" s="6">
        <f>VLOOKUP(ALM$43, CAMEO!$G$3:$J$9, 3, FALSE)</f>
        <v>0</v>
      </c>
      <c r="ALN59" s="6">
        <f>VLOOKUP(ALN$43, CAMEO!$G$3:$J$9, 3, FALSE)</f>
        <v>0</v>
      </c>
      <c r="ALO59" s="6">
        <f>VLOOKUP(ALO$43, CAMEO!$G$3:$J$9, 3, FALSE)</f>
        <v>0</v>
      </c>
      <c r="ALP59" s="6">
        <f>VLOOKUP(ALP$43, CAMEO!$G$3:$J$9, 3, FALSE)</f>
        <v>0</v>
      </c>
      <c r="ALQ59" s="6">
        <f>VLOOKUP(ALQ$43, CAMEO!$G$3:$J$9, 3, FALSE)</f>
        <v>0</v>
      </c>
      <c r="ALR59" s="6">
        <f>VLOOKUP(ALR$43, CAMEO!$G$3:$J$9, 3, FALSE)</f>
        <v>0</v>
      </c>
      <c r="ALS59" s="6">
        <f>VLOOKUP(ALS$43, CAMEO!$G$3:$J$9, 3, FALSE)</f>
        <v>0</v>
      </c>
      <c r="ALT59" s="6">
        <f>VLOOKUP(ALT$43, CAMEO!$G$3:$J$9, 3, FALSE)</f>
        <v>0</v>
      </c>
      <c r="ALU59" s="6">
        <f>VLOOKUP(ALU$43, CAMEO!$G$3:$J$9, 3, FALSE)</f>
        <v>0</v>
      </c>
      <c r="ALV59" s="6">
        <f>VLOOKUP(ALV$43, CAMEO!$G$3:$J$9, 3, FALSE)</f>
        <v>0</v>
      </c>
      <c r="ALW59" s="6">
        <f>VLOOKUP(ALW$43, CAMEO!$G$3:$J$9, 3, FALSE)</f>
        <v>0</v>
      </c>
    </row>
    <row r="60" spans="2:1011" outlineLevel="1" x14ac:dyDescent="0.25">
      <c r="C60" s="5" t="s">
        <v>68</v>
      </c>
      <c r="D60" s="6">
        <f>VLOOKUP(D$22, 'BANDE S'!$G$3:$J$4, 3, FALSE)+ 10</f>
        <v>11.138</v>
      </c>
      <c r="E60" s="6">
        <f>VLOOKUP(E$22, 'BANDE S'!$G$3:$J$4, 3, FALSE)+ 10</f>
        <v>11.138</v>
      </c>
      <c r="F60" s="6">
        <f>VLOOKUP(F$22, 'BANDE S'!$G$3:$J$4, 3, FALSE)+ 10</f>
        <v>11.138</v>
      </c>
      <c r="G60" s="6">
        <f>VLOOKUP(G$22, 'BANDE S'!$G$3:$J$4, 3, FALSE)+ 10</f>
        <v>11.138</v>
      </c>
      <c r="H60" s="6">
        <f>VLOOKUP(H$22, 'BANDE S'!$G$3:$J$4, 3, FALSE)+ 10</f>
        <v>11.138</v>
      </c>
      <c r="I60" s="6">
        <f>VLOOKUP(I$22, 'BANDE S'!$G$3:$J$4, 3, FALSE)+ 10</f>
        <v>11.138</v>
      </c>
      <c r="J60" s="6">
        <f>VLOOKUP(J$22, 'BANDE S'!$G$3:$J$4, 3, FALSE)+ 10</f>
        <v>20.158000000000001</v>
      </c>
      <c r="K60" s="6">
        <f>VLOOKUP(K$22, 'BANDE S'!$G$3:$J$4, 3, FALSE)+ 10</f>
        <v>20.158000000000001</v>
      </c>
      <c r="L60" s="6">
        <f>VLOOKUP(L$22, 'BANDE S'!$G$3:$J$4, 3, FALSE)+ 10</f>
        <v>20.158000000000001</v>
      </c>
      <c r="M60" s="6">
        <f>VLOOKUP(M$22, 'BANDE S'!$G$3:$J$4, 3, FALSE)+ 10</f>
        <v>20.158000000000001</v>
      </c>
      <c r="N60" s="6">
        <f>VLOOKUP(N$22, 'BANDE S'!$G$3:$J$4, 3, FALSE)+ 10</f>
        <v>11.138</v>
      </c>
      <c r="O60" s="6">
        <f>VLOOKUP(O$22, 'BANDE S'!$G$3:$J$4, 3, FALSE)+ 10</f>
        <v>11.138</v>
      </c>
      <c r="P60" s="6">
        <f>VLOOKUP(P$22, 'BANDE S'!$G$3:$J$4, 3, FALSE)+ 10</f>
        <v>11.138</v>
      </c>
      <c r="Q60" s="6">
        <f>VLOOKUP(Q$22, 'BANDE S'!$G$3:$J$4, 3, FALSE)+ 10</f>
        <v>11.138</v>
      </c>
      <c r="R60" s="6">
        <f>VLOOKUP(R$22, 'BANDE S'!$G$3:$J$4, 3, FALSE)+ 10</f>
        <v>11.138</v>
      </c>
      <c r="S60" s="6">
        <f>VLOOKUP(S$22, 'BANDE S'!$G$3:$J$4, 3, FALSE)+ 10</f>
        <v>11.138</v>
      </c>
      <c r="T60" s="6">
        <f>VLOOKUP(T$22, 'BANDE S'!$G$3:$J$4, 3, FALSE)+ 10</f>
        <v>11.138</v>
      </c>
      <c r="U60" s="6">
        <f>VLOOKUP(U$22, 'BANDE S'!$G$3:$J$4, 3, FALSE)+ 10</f>
        <v>11.138</v>
      </c>
      <c r="V60" s="6">
        <f>VLOOKUP(V$22, 'BANDE S'!$G$3:$J$4, 3, FALSE)+ 10</f>
        <v>11.138</v>
      </c>
      <c r="W60" s="6">
        <f>VLOOKUP(W$22, 'BANDE S'!$G$3:$J$4, 3, FALSE)+ 10</f>
        <v>11.138</v>
      </c>
      <c r="X60" s="6">
        <f>VLOOKUP(X$22, 'BANDE S'!$G$3:$J$4, 3, FALSE)+ 10</f>
        <v>11.138</v>
      </c>
      <c r="Y60" s="6">
        <f>VLOOKUP(Y$22, 'BANDE S'!$G$3:$J$4, 3, FALSE)+ 10</f>
        <v>11.138</v>
      </c>
      <c r="Z60" s="6">
        <f>VLOOKUP(Z$22, 'BANDE S'!$G$3:$J$4, 3, FALSE)+ 10</f>
        <v>11.138</v>
      </c>
      <c r="AA60" s="6">
        <f>VLOOKUP(AA$22, 'BANDE S'!$G$3:$J$4, 3, FALSE)+ 10</f>
        <v>11.138</v>
      </c>
      <c r="AB60" s="6">
        <f>VLOOKUP(AB$22, 'BANDE S'!$G$3:$J$4, 3, FALSE)+ 10</f>
        <v>11.138</v>
      </c>
      <c r="AC60" s="6">
        <f>VLOOKUP(AC$22, 'BANDE S'!$G$3:$J$4, 3, FALSE)+ 10</f>
        <v>11.138</v>
      </c>
      <c r="AD60" s="6">
        <f>VLOOKUP(AD$22, 'BANDE S'!$G$3:$J$4, 3, FALSE)+ 10</f>
        <v>11.138</v>
      </c>
      <c r="AE60" s="6">
        <f>VLOOKUP(AE$22, 'BANDE S'!$G$3:$J$4, 3, FALSE)+ 10</f>
        <v>11.138</v>
      </c>
      <c r="AF60" s="6">
        <f>VLOOKUP(AF$22, 'BANDE S'!$G$3:$J$4, 3, FALSE)+ 10</f>
        <v>11.138</v>
      </c>
      <c r="AG60" s="6">
        <f>VLOOKUP(AG$22, 'BANDE S'!$G$3:$J$4, 3, FALSE)+ 10</f>
        <v>11.138</v>
      </c>
      <c r="AH60" s="6">
        <f>VLOOKUP(AH$22, 'BANDE S'!$G$3:$J$4, 3, FALSE)+ 10</f>
        <v>11.138</v>
      </c>
      <c r="AI60" s="6">
        <f>VLOOKUP(AI$22, 'BANDE S'!$G$3:$J$4, 3, FALSE)+ 10</f>
        <v>11.138</v>
      </c>
      <c r="AJ60" s="6">
        <f>VLOOKUP(AJ$22, 'BANDE S'!$G$3:$J$4, 3, FALSE)+ 10</f>
        <v>11.138</v>
      </c>
      <c r="AK60" s="6">
        <f>VLOOKUP(AK$22, 'BANDE S'!$G$3:$J$4, 3, FALSE)+ 10</f>
        <v>11.138</v>
      </c>
      <c r="AL60" s="6">
        <f>VLOOKUP(AL$22, 'BANDE S'!$G$3:$J$4, 3, FALSE)+ 10</f>
        <v>11.138</v>
      </c>
      <c r="AM60" s="6">
        <f>VLOOKUP(AM$22, 'BANDE S'!$G$3:$J$4, 3, FALSE)+ 10</f>
        <v>11.138</v>
      </c>
      <c r="AN60" s="6">
        <f>VLOOKUP(AN$22, 'BANDE S'!$G$3:$J$4, 3, FALSE)+ 10</f>
        <v>11.138</v>
      </c>
      <c r="AO60" s="6">
        <f>VLOOKUP(AO$22, 'BANDE S'!$G$3:$J$4, 3, FALSE)+ 10</f>
        <v>11.138</v>
      </c>
      <c r="AP60" s="6">
        <f>VLOOKUP(AP$22, 'BANDE S'!$G$3:$J$4, 3, FALSE)+ 10</f>
        <v>11.138</v>
      </c>
      <c r="AQ60" s="6">
        <f>VLOOKUP(AQ$22, 'BANDE S'!$G$3:$J$4, 3, FALSE)+ 10</f>
        <v>11.138</v>
      </c>
      <c r="AR60" s="6">
        <f>VLOOKUP(AR$22, 'BANDE S'!$G$3:$J$4, 3, FALSE)+ 10</f>
        <v>11.138</v>
      </c>
      <c r="AS60" s="6">
        <f>VLOOKUP(AS$22, 'BANDE S'!$G$3:$J$4, 3, FALSE)+ 10</f>
        <v>11.138</v>
      </c>
      <c r="AT60" s="6">
        <f>VLOOKUP(AT$22, 'BANDE S'!$G$3:$J$4, 3, FALSE)+ 10</f>
        <v>11.138</v>
      </c>
      <c r="AU60" s="6">
        <f>VLOOKUP(AU$22, 'BANDE S'!$G$3:$J$4, 3, FALSE)+ 10</f>
        <v>11.138</v>
      </c>
      <c r="AV60" s="6">
        <f>VLOOKUP(AV$22, 'BANDE S'!$G$3:$J$4, 3, FALSE)+ 10</f>
        <v>11.138</v>
      </c>
      <c r="AW60" s="6">
        <f>VLOOKUP(AW$22, 'BANDE S'!$G$3:$J$4, 3, FALSE)+ 10</f>
        <v>11.138</v>
      </c>
      <c r="AX60" s="6">
        <f>VLOOKUP(AX$22, 'BANDE S'!$G$3:$J$4, 3, FALSE)+ 10</f>
        <v>11.138</v>
      </c>
      <c r="AY60" s="6">
        <f>VLOOKUP(AY$22, 'BANDE S'!$G$3:$J$4, 3, FALSE)+ 10</f>
        <v>11.138</v>
      </c>
      <c r="AZ60" s="6">
        <f>VLOOKUP(AZ$22, 'BANDE S'!$G$3:$J$4, 3, FALSE)+ 10</f>
        <v>11.138</v>
      </c>
      <c r="BA60" s="6">
        <f>VLOOKUP(BA$22, 'BANDE S'!$G$3:$J$4, 3, FALSE)+ 10</f>
        <v>11.138</v>
      </c>
      <c r="BB60" s="6">
        <f>VLOOKUP(BB$22, 'BANDE S'!$G$3:$J$4, 3, FALSE)+ 10</f>
        <v>11.138</v>
      </c>
      <c r="BC60" s="6">
        <f>VLOOKUP(BC$22, 'BANDE S'!$G$3:$J$4, 3, FALSE)+ 10</f>
        <v>11.138</v>
      </c>
      <c r="BD60" s="6">
        <f>VLOOKUP(BD$22, 'BANDE S'!$G$3:$J$4, 3, FALSE)+ 10</f>
        <v>11.138</v>
      </c>
      <c r="BE60" s="6">
        <f>VLOOKUP(BE$22, 'BANDE S'!$G$3:$J$4, 3, FALSE)+ 10</f>
        <v>11.138</v>
      </c>
      <c r="BF60" s="6">
        <f>VLOOKUP(BF$22, 'BANDE S'!$G$3:$J$4, 3, FALSE)+ 10</f>
        <v>11.138</v>
      </c>
      <c r="BG60" s="6">
        <f>VLOOKUP(BG$22, 'BANDE S'!$G$3:$J$4, 3, FALSE)+ 10</f>
        <v>11.138</v>
      </c>
      <c r="BH60" s="6">
        <f>VLOOKUP(BH$22, 'BANDE S'!$G$3:$J$4, 3, FALSE)+ 10</f>
        <v>11.138</v>
      </c>
      <c r="BI60" s="6">
        <f>VLOOKUP(BI$22, 'BANDE S'!$G$3:$J$4, 3, FALSE)+ 10</f>
        <v>11.138</v>
      </c>
      <c r="BJ60" s="6">
        <f>VLOOKUP(BJ$22, 'BANDE S'!$G$3:$J$4, 3, FALSE)+ 10</f>
        <v>11.138</v>
      </c>
      <c r="BK60" s="6">
        <f>VLOOKUP(BK$22, 'BANDE S'!$G$3:$J$4, 3, FALSE)+ 10</f>
        <v>11.138</v>
      </c>
      <c r="BL60" s="6">
        <f>VLOOKUP(BL$22, 'BANDE S'!$G$3:$J$4, 3, FALSE)+ 10</f>
        <v>11.138</v>
      </c>
      <c r="BM60" s="6">
        <f>VLOOKUP(BM$22, 'BANDE S'!$G$3:$J$4, 3, FALSE)+ 10</f>
        <v>11.138</v>
      </c>
      <c r="BN60" s="6">
        <f>VLOOKUP(BN$22, 'BANDE S'!$G$3:$J$4, 3, FALSE)+ 10</f>
        <v>11.138</v>
      </c>
      <c r="BO60" s="6">
        <f>VLOOKUP(BO$22, 'BANDE S'!$G$3:$J$4, 3, FALSE)+ 10</f>
        <v>11.138</v>
      </c>
      <c r="BP60" s="6">
        <f>VLOOKUP(BP$22, 'BANDE S'!$G$3:$J$4, 3, FALSE)+ 10</f>
        <v>11.138</v>
      </c>
      <c r="BQ60" s="6">
        <f>VLOOKUP(BQ$22, 'BANDE S'!$G$3:$J$4, 3, FALSE)+ 10</f>
        <v>11.138</v>
      </c>
      <c r="BR60" s="6">
        <f>VLOOKUP(BR$22, 'BANDE S'!$G$3:$J$4, 3, FALSE)+ 10</f>
        <v>11.138</v>
      </c>
      <c r="BS60" s="6">
        <f>VLOOKUP(BS$22, 'BANDE S'!$G$3:$J$4, 3, FALSE)+ 10</f>
        <v>11.138</v>
      </c>
      <c r="BT60" s="6">
        <f>VLOOKUP(BT$22, 'BANDE S'!$G$3:$J$4, 3, FALSE)+ 10</f>
        <v>11.138</v>
      </c>
      <c r="BU60" s="6">
        <f>VLOOKUP(BU$22, 'BANDE S'!$G$3:$J$4, 3, FALSE)+ 10</f>
        <v>11.138</v>
      </c>
      <c r="BV60" s="6">
        <f>VLOOKUP(BV$22, 'BANDE S'!$G$3:$J$4, 3, FALSE)+ 10</f>
        <v>11.138</v>
      </c>
      <c r="BW60" s="6">
        <f>VLOOKUP(BW$22, 'BANDE S'!$G$3:$J$4, 3, FALSE)+ 10</f>
        <v>11.138</v>
      </c>
      <c r="BX60" s="6">
        <f>VLOOKUP(BX$22, 'BANDE S'!$G$3:$J$4, 3, FALSE)+ 10</f>
        <v>11.138</v>
      </c>
      <c r="BY60" s="6">
        <f>VLOOKUP(BY$22, 'BANDE S'!$G$3:$J$4, 3, FALSE)+ 10</f>
        <v>20.158000000000001</v>
      </c>
      <c r="BZ60" s="6">
        <f>VLOOKUP(BZ$22, 'BANDE S'!$G$3:$J$4, 3, FALSE)+ 10</f>
        <v>20.158000000000001</v>
      </c>
      <c r="CA60" s="6">
        <f>VLOOKUP(CA$22, 'BANDE S'!$G$3:$J$4, 3, FALSE)+ 10</f>
        <v>20.158000000000001</v>
      </c>
      <c r="CB60" s="6">
        <f>VLOOKUP(CB$22, 'BANDE S'!$G$3:$J$4, 3, FALSE)+ 10</f>
        <v>11.138</v>
      </c>
      <c r="CC60" s="6">
        <f>VLOOKUP(CC$22, 'BANDE S'!$G$3:$J$4, 3, FALSE)+ 10</f>
        <v>11.138</v>
      </c>
      <c r="CD60" s="6">
        <f>VLOOKUP(CD$22, 'BANDE S'!$G$3:$J$4, 3, FALSE)+ 10</f>
        <v>11.138</v>
      </c>
      <c r="CE60" s="6">
        <f>VLOOKUP(CE$22, 'BANDE S'!$G$3:$J$4, 3, FALSE)+ 10</f>
        <v>11.138</v>
      </c>
      <c r="CF60" s="6">
        <f>VLOOKUP(CF$22, 'BANDE S'!$G$3:$J$4, 3, FALSE)+ 10</f>
        <v>11.138</v>
      </c>
      <c r="CG60" s="6">
        <f>VLOOKUP(CG$22, 'BANDE S'!$G$3:$J$4, 3, FALSE)+ 10</f>
        <v>11.138</v>
      </c>
      <c r="CH60" s="6">
        <f>VLOOKUP(CH$22, 'BANDE S'!$G$3:$J$4, 3, FALSE)+ 10</f>
        <v>11.138</v>
      </c>
      <c r="CI60" s="6">
        <f>VLOOKUP(CI$22, 'BANDE S'!$G$3:$J$4, 3, FALSE)+ 10</f>
        <v>11.138</v>
      </c>
      <c r="CJ60" s="6">
        <f>VLOOKUP(CJ$22, 'BANDE S'!$G$3:$J$4, 3, FALSE)+ 10</f>
        <v>11.138</v>
      </c>
      <c r="CK60" s="6">
        <f>VLOOKUP(CK$22, 'BANDE S'!$G$3:$J$4, 3, FALSE)+ 10</f>
        <v>11.138</v>
      </c>
      <c r="CL60" s="6">
        <f>VLOOKUP(CL$22, 'BANDE S'!$G$3:$J$4, 3, FALSE)+ 10</f>
        <v>11.138</v>
      </c>
      <c r="CM60" s="6">
        <f>VLOOKUP(CM$22, 'BANDE S'!$G$3:$J$4, 3, FALSE)+ 10</f>
        <v>11.138</v>
      </c>
      <c r="CN60" s="6">
        <f>VLOOKUP(CN$22, 'BANDE S'!$G$3:$J$4, 3, FALSE)+ 10</f>
        <v>11.138</v>
      </c>
      <c r="CO60" s="6">
        <f>VLOOKUP(CO$22, 'BANDE S'!$G$3:$J$4, 3, FALSE)+ 10</f>
        <v>11.138</v>
      </c>
      <c r="CP60" s="6">
        <f>VLOOKUP(CP$22, 'BANDE S'!$G$3:$J$4, 3, FALSE)+ 10</f>
        <v>11.138</v>
      </c>
      <c r="CQ60" s="6">
        <f>VLOOKUP(CQ$22, 'BANDE S'!$G$3:$J$4, 3, FALSE)+ 10</f>
        <v>11.138</v>
      </c>
      <c r="CR60" s="6">
        <f>VLOOKUP(CR$22, 'BANDE S'!$G$3:$J$4, 3, FALSE)+ 10</f>
        <v>11.138</v>
      </c>
      <c r="CS60" s="6">
        <f>VLOOKUP(CS$22, 'BANDE S'!$G$3:$J$4, 3, FALSE)+ 10</f>
        <v>11.138</v>
      </c>
      <c r="CT60" s="6">
        <f>VLOOKUP(CT$22, 'BANDE S'!$G$3:$J$4, 3, FALSE)+ 10</f>
        <v>11.138</v>
      </c>
      <c r="CU60" s="6">
        <f>VLOOKUP(CU$22, 'BANDE S'!$G$3:$J$4, 3, FALSE)+ 10</f>
        <v>11.138</v>
      </c>
      <c r="CV60" s="6">
        <f>VLOOKUP(CV$22, 'BANDE S'!$G$3:$J$4, 3, FALSE)+ 10</f>
        <v>11.138</v>
      </c>
      <c r="CW60" s="6">
        <f>VLOOKUP(CW$22, 'BANDE S'!$G$3:$J$4, 3, FALSE)+ 10</f>
        <v>11.138</v>
      </c>
      <c r="CX60" s="6">
        <f>VLOOKUP(CX$22, 'BANDE S'!$G$3:$J$4, 3, FALSE)+ 10</f>
        <v>11.138</v>
      </c>
      <c r="CY60" s="6">
        <f>VLOOKUP(CY$22, 'BANDE S'!$G$3:$J$4, 3, FALSE)+ 10</f>
        <v>11.138</v>
      </c>
      <c r="CZ60" s="6">
        <f>VLOOKUP(CZ$22, 'BANDE S'!$G$3:$J$4, 3, FALSE)+ 10</f>
        <v>11.138</v>
      </c>
      <c r="DA60" s="6">
        <f>VLOOKUP(DA$22, 'BANDE S'!$G$3:$J$4, 3, FALSE)+ 10</f>
        <v>11.138</v>
      </c>
      <c r="DB60" s="6">
        <f>VLOOKUP(DB$22, 'BANDE S'!$G$3:$J$4, 3, FALSE)+ 10</f>
        <v>11.138</v>
      </c>
      <c r="DC60" s="6">
        <f>VLOOKUP(DC$22, 'BANDE S'!$G$3:$J$4, 3, FALSE)+ 10</f>
        <v>11.138</v>
      </c>
      <c r="DD60" s="6">
        <f>VLOOKUP(DD$22, 'BANDE S'!$G$3:$J$4, 3, FALSE)+ 10</f>
        <v>11.138</v>
      </c>
      <c r="DE60" s="6">
        <f>VLOOKUP(DE$22, 'BANDE S'!$G$3:$J$4, 3, FALSE)+ 10</f>
        <v>11.138</v>
      </c>
      <c r="DF60" s="6">
        <f>VLOOKUP(DF$22, 'BANDE S'!$G$3:$J$4, 3, FALSE)+ 10</f>
        <v>11.138</v>
      </c>
      <c r="DG60" s="6">
        <f>VLOOKUP(DG$22, 'BANDE S'!$G$3:$J$4, 3, FALSE)+ 10</f>
        <v>11.138</v>
      </c>
      <c r="DH60" s="6">
        <f>VLOOKUP(DH$22, 'BANDE S'!$G$3:$J$4, 3, FALSE)+ 10</f>
        <v>11.138</v>
      </c>
      <c r="DI60" s="6">
        <f>VLOOKUP(DI$22, 'BANDE S'!$G$3:$J$4, 3, FALSE)+ 10</f>
        <v>11.138</v>
      </c>
      <c r="DJ60" s="6">
        <f>VLOOKUP(DJ$22, 'BANDE S'!$G$3:$J$4, 3, FALSE)+ 10</f>
        <v>11.138</v>
      </c>
      <c r="DK60" s="6">
        <f>VLOOKUP(DK$22, 'BANDE S'!$G$3:$J$4, 3, FALSE)+ 10</f>
        <v>11.138</v>
      </c>
      <c r="DL60" s="6">
        <f>VLOOKUP(DL$22, 'BANDE S'!$G$3:$J$4, 3, FALSE)+ 10</f>
        <v>11.138</v>
      </c>
      <c r="DM60" s="6">
        <f>VLOOKUP(DM$22, 'BANDE S'!$G$3:$J$4, 3, FALSE)+ 10</f>
        <v>11.138</v>
      </c>
      <c r="DN60" s="6">
        <f>VLOOKUP(DN$22, 'BANDE S'!$G$3:$J$4, 3, FALSE)+ 10</f>
        <v>11.138</v>
      </c>
      <c r="DO60" s="6">
        <f>VLOOKUP(DO$22, 'BANDE S'!$G$3:$J$4, 3, FALSE)+ 10</f>
        <v>11.138</v>
      </c>
      <c r="DP60" s="6">
        <f>VLOOKUP(DP$22, 'BANDE S'!$G$3:$J$4, 3, FALSE)+ 10</f>
        <v>11.138</v>
      </c>
      <c r="DQ60" s="6">
        <f>VLOOKUP(DQ$22, 'BANDE S'!$G$3:$J$4, 3, FALSE)+ 10</f>
        <v>11.138</v>
      </c>
      <c r="DR60" s="6">
        <f>VLOOKUP(DR$22, 'BANDE S'!$G$3:$J$4, 3, FALSE)+ 10</f>
        <v>11.138</v>
      </c>
      <c r="DS60" s="6">
        <f>VLOOKUP(DS$22, 'BANDE S'!$G$3:$J$4, 3, FALSE)+ 10</f>
        <v>11.138</v>
      </c>
      <c r="DT60" s="6">
        <f>VLOOKUP(DT$22, 'BANDE S'!$G$3:$J$4, 3, FALSE)+ 10</f>
        <v>11.138</v>
      </c>
      <c r="DU60" s="6">
        <f>VLOOKUP(DU$22, 'BANDE S'!$G$3:$J$4, 3, FALSE)+ 10</f>
        <v>11.138</v>
      </c>
      <c r="DV60" s="6">
        <f>VLOOKUP(DV$22, 'BANDE S'!$G$3:$J$4, 3, FALSE)+ 10</f>
        <v>11.138</v>
      </c>
      <c r="DW60" s="6">
        <f>VLOOKUP(DW$22, 'BANDE S'!$G$3:$J$4, 3, FALSE)+ 10</f>
        <v>11.138</v>
      </c>
      <c r="DX60" s="6">
        <f>VLOOKUP(DX$22, 'BANDE S'!$G$3:$J$4, 3, FALSE)+ 10</f>
        <v>11.138</v>
      </c>
      <c r="DY60" s="6">
        <f>VLOOKUP(DY$22, 'BANDE S'!$G$3:$J$4, 3, FALSE)+ 10</f>
        <v>11.138</v>
      </c>
      <c r="DZ60" s="6">
        <f>VLOOKUP(DZ$22, 'BANDE S'!$G$3:$J$4, 3, FALSE)+ 10</f>
        <v>11.138</v>
      </c>
      <c r="EA60" s="6">
        <f>VLOOKUP(EA$22, 'BANDE S'!$G$3:$J$4, 3, FALSE)+ 10</f>
        <v>11.138</v>
      </c>
      <c r="EB60" s="6">
        <f>VLOOKUP(EB$22, 'BANDE S'!$G$3:$J$4, 3, FALSE)+ 10</f>
        <v>11.138</v>
      </c>
      <c r="EC60" s="6">
        <f>VLOOKUP(EC$22, 'BANDE S'!$G$3:$J$4, 3, FALSE)+ 10</f>
        <v>11.138</v>
      </c>
      <c r="ED60" s="6">
        <f>VLOOKUP(ED$22, 'BANDE S'!$G$3:$J$4, 3, FALSE)+ 10</f>
        <v>11.138</v>
      </c>
      <c r="EE60" s="6">
        <f>VLOOKUP(EE$22, 'BANDE S'!$G$3:$J$4, 3, FALSE)+ 10</f>
        <v>11.138</v>
      </c>
      <c r="EF60" s="6">
        <f>VLOOKUP(EF$22, 'BANDE S'!$G$3:$J$4, 3, FALSE)+ 10</f>
        <v>11.138</v>
      </c>
      <c r="EG60" s="6">
        <f>VLOOKUP(EG$22, 'BANDE S'!$G$3:$J$4, 3, FALSE)+ 10</f>
        <v>11.138</v>
      </c>
      <c r="EH60" s="6">
        <f>VLOOKUP(EH$22, 'BANDE S'!$G$3:$J$4, 3, FALSE)+ 10</f>
        <v>11.138</v>
      </c>
      <c r="EI60" s="6">
        <f>VLOOKUP(EI$22, 'BANDE S'!$G$3:$J$4, 3, FALSE)+ 10</f>
        <v>11.138</v>
      </c>
      <c r="EJ60" s="6">
        <f>VLOOKUP(EJ$22, 'BANDE S'!$G$3:$J$4, 3, FALSE)+ 10</f>
        <v>11.138</v>
      </c>
      <c r="EK60" s="6">
        <f>VLOOKUP(EK$22, 'BANDE S'!$G$3:$J$4, 3, FALSE)+ 10</f>
        <v>11.138</v>
      </c>
      <c r="EL60" s="6">
        <f>VLOOKUP(EL$22, 'BANDE S'!$G$3:$J$4, 3, FALSE)+ 10</f>
        <v>11.138</v>
      </c>
      <c r="EM60" s="6">
        <f>VLOOKUP(EM$22, 'BANDE S'!$G$3:$J$4, 3, FALSE)+ 10</f>
        <v>11.138</v>
      </c>
      <c r="EN60" s="6">
        <f>VLOOKUP(EN$22, 'BANDE S'!$G$3:$J$4, 3, FALSE)+ 10</f>
        <v>11.138</v>
      </c>
      <c r="EO60" s="6">
        <f>VLOOKUP(EO$22, 'BANDE S'!$G$3:$J$4, 3, FALSE)+ 10</f>
        <v>11.138</v>
      </c>
      <c r="EP60" s="6">
        <f>VLOOKUP(EP$22, 'BANDE S'!$G$3:$J$4, 3, FALSE)+ 10</f>
        <v>11.138</v>
      </c>
      <c r="EQ60" s="6">
        <f>VLOOKUP(EQ$22, 'BANDE S'!$G$3:$J$4, 3, FALSE)+ 10</f>
        <v>11.138</v>
      </c>
      <c r="ER60" s="6">
        <f>VLOOKUP(ER$22, 'BANDE S'!$G$3:$J$4, 3, FALSE)+ 10</f>
        <v>11.138</v>
      </c>
      <c r="ES60" s="6">
        <f>VLOOKUP(ES$22, 'BANDE S'!$G$3:$J$4, 3, FALSE)+ 10</f>
        <v>11.138</v>
      </c>
      <c r="ET60" s="6">
        <f>VLOOKUP(ET$22, 'BANDE S'!$G$3:$J$4, 3, FALSE)+ 10</f>
        <v>11.138</v>
      </c>
      <c r="EU60" s="6">
        <f>VLOOKUP(EU$22, 'BANDE S'!$G$3:$J$4, 3, FALSE)+ 10</f>
        <v>11.138</v>
      </c>
      <c r="EV60" s="6">
        <f>VLOOKUP(EV$22, 'BANDE S'!$G$3:$J$4, 3, FALSE)+ 10</f>
        <v>11.138</v>
      </c>
      <c r="EW60" s="6">
        <f>VLOOKUP(EW$22, 'BANDE S'!$G$3:$J$4, 3, FALSE)+ 10</f>
        <v>11.138</v>
      </c>
      <c r="EX60" s="6">
        <f>VLOOKUP(EX$22, 'BANDE S'!$G$3:$J$4, 3, FALSE)+ 10</f>
        <v>11.138</v>
      </c>
      <c r="EY60" s="6">
        <f>VLOOKUP(EY$22, 'BANDE S'!$G$3:$J$4, 3, FALSE)+ 10</f>
        <v>11.138</v>
      </c>
      <c r="EZ60" s="6">
        <f>VLOOKUP(EZ$22, 'BANDE S'!$G$3:$J$4, 3, FALSE)+ 10</f>
        <v>11.138</v>
      </c>
      <c r="FA60" s="6">
        <f>VLOOKUP(FA$22, 'BANDE S'!$G$3:$J$4, 3, FALSE)+ 10</f>
        <v>11.138</v>
      </c>
      <c r="FB60" s="6">
        <f>VLOOKUP(FB$22, 'BANDE S'!$G$3:$J$4, 3, FALSE)+ 10</f>
        <v>11.138</v>
      </c>
      <c r="FC60" s="6">
        <f>VLOOKUP(FC$22, 'BANDE S'!$G$3:$J$4, 3, FALSE)+ 10</f>
        <v>11.138</v>
      </c>
      <c r="FD60" s="6">
        <f>VLOOKUP(FD$22, 'BANDE S'!$G$3:$J$4, 3, FALSE)+ 10</f>
        <v>11.138</v>
      </c>
      <c r="FE60" s="6">
        <f>VLOOKUP(FE$22, 'BANDE S'!$G$3:$J$4, 3, FALSE)+ 10</f>
        <v>11.138</v>
      </c>
      <c r="FF60" s="6">
        <f>VLOOKUP(FF$22, 'BANDE S'!$G$3:$J$4, 3, FALSE)+ 10</f>
        <v>11.138</v>
      </c>
      <c r="FG60" s="6">
        <f>VLOOKUP(FG$22, 'BANDE S'!$G$3:$J$4, 3, FALSE)+ 10</f>
        <v>11.138</v>
      </c>
      <c r="FH60" s="6">
        <f>VLOOKUP(FH$22, 'BANDE S'!$G$3:$J$4, 3, FALSE)+ 10</f>
        <v>11.138</v>
      </c>
      <c r="FI60" s="6">
        <f>VLOOKUP(FI$22, 'BANDE S'!$G$3:$J$4, 3, FALSE)+ 10</f>
        <v>11.138</v>
      </c>
      <c r="FJ60" s="6">
        <f>VLOOKUP(FJ$22, 'BANDE S'!$G$3:$J$4, 3, FALSE)+ 10</f>
        <v>11.138</v>
      </c>
      <c r="FK60" s="6">
        <f>VLOOKUP(FK$22, 'BANDE S'!$G$3:$J$4, 3, FALSE)+ 10</f>
        <v>11.138</v>
      </c>
      <c r="FL60" s="6">
        <f>VLOOKUP(FL$22, 'BANDE S'!$G$3:$J$4, 3, FALSE)+ 10</f>
        <v>11.138</v>
      </c>
      <c r="FM60" s="6">
        <f>VLOOKUP(FM$22, 'BANDE S'!$G$3:$J$4, 3, FALSE)+ 10</f>
        <v>11.138</v>
      </c>
      <c r="FN60" s="6">
        <f>VLOOKUP(FN$22, 'BANDE S'!$G$3:$J$4, 3, FALSE)+ 10</f>
        <v>11.138</v>
      </c>
      <c r="FO60" s="6">
        <f>VLOOKUP(FO$22, 'BANDE S'!$G$3:$J$4, 3, FALSE)+ 10</f>
        <v>11.138</v>
      </c>
      <c r="FP60" s="6">
        <f>VLOOKUP(FP$22, 'BANDE S'!$G$3:$J$4, 3, FALSE)+ 10</f>
        <v>11.138</v>
      </c>
      <c r="FQ60" s="6">
        <f>VLOOKUP(FQ$22, 'BANDE S'!$G$3:$J$4, 3, FALSE)+ 10</f>
        <v>11.138</v>
      </c>
      <c r="FR60" s="6">
        <f>VLOOKUP(FR$22, 'BANDE S'!$G$3:$J$4, 3, FALSE)+ 10</f>
        <v>11.138</v>
      </c>
      <c r="FS60" s="6">
        <f>VLOOKUP(FS$22, 'BANDE S'!$G$3:$J$4, 3, FALSE)+ 10</f>
        <v>11.138</v>
      </c>
      <c r="FT60" s="6">
        <f>VLOOKUP(FT$22, 'BANDE S'!$G$3:$J$4, 3, FALSE)+ 10</f>
        <v>11.138</v>
      </c>
      <c r="FU60" s="6">
        <f>VLOOKUP(FU$22, 'BANDE S'!$G$3:$J$4, 3, FALSE)+ 10</f>
        <v>11.138</v>
      </c>
      <c r="FV60" s="6">
        <f>VLOOKUP(FV$22, 'BANDE S'!$G$3:$J$4, 3, FALSE)+ 10</f>
        <v>11.138</v>
      </c>
      <c r="FW60" s="6">
        <f>VLOOKUP(FW$22, 'BANDE S'!$G$3:$J$4, 3, FALSE)+ 10</f>
        <v>11.138</v>
      </c>
      <c r="FX60" s="6">
        <f>VLOOKUP(FX$22, 'BANDE S'!$G$3:$J$4, 3, FALSE)+ 10</f>
        <v>11.138</v>
      </c>
      <c r="FY60" s="6">
        <f>VLOOKUP(FY$22, 'BANDE S'!$G$3:$J$4, 3, FALSE)+ 10</f>
        <v>11.138</v>
      </c>
      <c r="FZ60" s="6">
        <f>VLOOKUP(FZ$22, 'BANDE S'!$G$3:$J$4, 3, FALSE)+ 10</f>
        <v>11.138</v>
      </c>
      <c r="GA60" s="6">
        <f>VLOOKUP(GA$22, 'BANDE S'!$G$3:$J$4, 3, FALSE)+ 10</f>
        <v>11.138</v>
      </c>
      <c r="GB60" s="6">
        <f>VLOOKUP(GB$22, 'BANDE S'!$G$3:$J$4, 3, FALSE)+ 10</f>
        <v>11.138</v>
      </c>
      <c r="GC60" s="6">
        <f>VLOOKUP(GC$22, 'BANDE S'!$G$3:$J$4, 3, FALSE)+ 10</f>
        <v>11.138</v>
      </c>
      <c r="GD60" s="6">
        <f>VLOOKUP(GD$22, 'BANDE S'!$G$3:$J$4, 3, FALSE)+ 10</f>
        <v>11.138</v>
      </c>
      <c r="GE60" s="6">
        <f>VLOOKUP(GE$22, 'BANDE S'!$G$3:$J$4, 3, FALSE)+ 10</f>
        <v>11.138</v>
      </c>
      <c r="GF60" s="6">
        <f>VLOOKUP(GF$22, 'BANDE S'!$G$3:$J$4, 3, FALSE)+ 10</f>
        <v>11.138</v>
      </c>
      <c r="GG60" s="6">
        <f>VLOOKUP(GG$22, 'BANDE S'!$G$3:$J$4, 3, FALSE)+ 10</f>
        <v>11.138</v>
      </c>
      <c r="GH60" s="6">
        <f>VLOOKUP(GH$22, 'BANDE S'!$G$3:$J$4, 3, FALSE)+ 10</f>
        <v>11.138</v>
      </c>
      <c r="GI60" s="6">
        <f>VLOOKUP(GI$22, 'BANDE S'!$G$3:$J$4, 3, FALSE)+ 10</f>
        <v>11.138</v>
      </c>
      <c r="GJ60" s="6">
        <f>VLOOKUP(GJ$22, 'BANDE S'!$G$3:$J$4, 3, FALSE)+ 10</f>
        <v>11.138</v>
      </c>
      <c r="GK60" s="6">
        <f>VLOOKUP(GK$22, 'BANDE S'!$G$3:$J$4, 3, FALSE)+ 10</f>
        <v>11.138</v>
      </c>
      <c r="GL60" s="6">
        <f>VLOOKUP(GL$22, 'BANDE S'!$G$3:$J$4, 3, FALSE)+ 10</f>
        <v>11.138</v>
      </c>
      <c r="GM60" s="6">
        <f>VLOOKUP(GM$22, 'BANDE S'!$G$3:$J$4, 3, FALSE)+ 10</f>
        <v>11.138</v>
      </c>
      <c r="GN60" s="6">
        <f>VLOOKUP(GN$22, 'BANDE S'!$G$3:$J$4, 3, FALSE)+ 10</f>
        <v>20.158000000000001</v>
      </c>
      <c r="GO60" s="6">
        <f>VLOOKUP(GO$22, 'BANDE S'!$G$3:$J$4, 3, FALSE)+ 10</f>
        <v>20.158000000000001</v>
      </c>
      <c r="GP60" s="6">
        <f>VLOOKUP(GP$22, 'BANDE S'!$G$3:$J$4, 3, FALSE)+ 10</f>
        <v>20.158000000000001</v>
      </c>
      <c r="GQ60" s="6">
        <f>VLOOKUP(GQ$22, 'BANDE S'!$G$3:$J$4, 3, FALSE)+ 10</f>
        <v>11.138</v>
      </c>
      <c r="GR60" s="6">
        <f>VLOOKUP(GR$22, 'BANDE S'!$G$3:$J$4, 3, FALSE)+ 10</f>
        <v>11.138</v>
      </c>
      <c r="GS60" s="6">
        <f>VLOOKUP(GS$22, 'BANDE S'!$G$3:$J$4, 3, FALSE)+ 10</f>
        <v>11.138</v>
      </c>
      <c r="GT60" s="6">
        <f>VLOOKUP(GT$22, 'BANDE S'!$G$3:$J$4, 3, FALSE)+ 10</f>
        <v>11.138</v>
      </c>
      <c r="GU60" s="6">
        <f>VLOOKUP(GU$22, 'BANDE S'!$G$3:$J$4, 3, FALSE)+ 10</f>
        <v>11.138</v>
      </c>
      <c r="GV60" s="6">
        <f>VLOOKUP(GV$22, 'BANDE S'!$G$3:$J$4, 3, FALSE)+ 10</f>
        <v>11.138</v>
      </c>
      <c r="GW60" s="6">
        <f>VLOOKUP(GW$22, 'BANDE S'!$G$3:$J$4, 3, FALSE)+ 10</f>
        <v>11.138</v>
      </c>
      <c r="GX60" s="6">
        <f>VLOOKUP(GX$22, 'BANDE S'!$G$3:$J$4, 3, FALSE)+ 10</f>
        <v>11.138</v>
      </c>
      <c r="GY60" s="6">
        <f>VLOOKUP(GY$22, 'BANDE S'!$G$3:$J$4, 3, FALSE)+ 10</f>
        <v>11.138</v>
      </c>
      <c r="GZ60" s="6">
        <f>VLOOKUP(GZ$22, 'BANDE S'!$G$3:$J$4, 3, FALSE)+ 10</f>
        <v>11.138</v>
      </c>
      <c r="HA60" s="6">
        <f>VLOOKUP(HA$22, 'BANDE S'!$G$3:$J$4, 3, FALSE)+ 10</f>
        <v>11.138</v>
      </c>
      <c r="HB60" s="6">
        <f>VLOOKUP(HB$22, 'BANDE S'!$G$3:$J$4, 3, FALSE)+ 10</f>
        <v>11.138</v>
      </c>
      <c r="HC60" s="6">
        <f>VLOOKUP(HC$22, 'BANDE S'!$G$3:$J$4, 3, FALSE)+ 10</f>
        <v>11.138</v>
      </c>
      <c r="HD60" s="6">
        <f>VLOOKUP(HD$22, 'BANDE S'!$G$3:$J$4, 3, FALSE)+ 10</f>
        <v>11.138</v>
      </c>
      <c r="HE60" s="6">
        <f>VLOOKUP(HE$22, 'BANDE S'!$G$3:$J$4, 3, FALSE)+ 10</f>
        <v>11.138</v>
      </c>
      <c r="HF60" s="6">
        <f>VLOOKUP(HF$22, 'BANDE S'!$G$3:$J$4, 3, FALSE)+ 10</f>
        <v>11.138</v>
      </c>
      <c r="HG60" s="6">
        <f>VLOOKUP(HG$22, 'BANDE S'!$G$3:$J$4, 3, FALSE)+ 10</f>
        <v>11.138</v>
      </c>
      <c r="HH60" s="6">
        <f>VLOOKUP(HH$22, 'BANDE S'!$G$3:$J$4, 3, FALSE)+ 10</f>
        <v>11.138</v>
      </c>
      <c r="HI60" s="6">
        <f>VLOOKUP(HI$22, 'BANDE S'!$G$3:$J$4, 3, FALSE)+ 10</f>
        <v>11.138</v>
      </c>
      <c r="HJ60" s="6">
        <f>VLOOKUP(HJ$22, 'BANDE S'!$G$3:$J$4, 3, FALSE)+ 10</f>
        <v>11.138</v>
      </c>
      <c r="HK60" s="6">
        <f>VLOOKUP(HK$22, 'BANDE S'!$G$3:$J$4, 3, FALSE)+ 10</f>
        <v>11.138</v>
      </c>
      <c r="HL60" s="6">
        <f>VLOOKUP(HL$22, 'BANDE S'!$G$3:$J$4, 3, FALSE)+ 10</f>
        <v>11.138</v>
      </c>
      <c r="HM60" s="6">
        <f>VLOOKUP(HM$22, 'BANDE S'!$G$3:$J$4, 3, FALSE)+ 10</f>
        <v>11.138</v>
      </c>
      <c r="HN60" s="6">
        <f>VLOOKUP(HN$22, 'BANDE S'!$G$3:$J$4, 3, FALSE)+ 10</f>
        <v>11.138</v>
      </c>
      <c r="HO60" s="6">
        <f>VLOOKUP(HO$22, 'BANDE S'!$G$3:$J$4, 3, FALSE)+ 10</f>
        <v>11.138</v>
      </c>
      <c r="HP60" s="6">
        <f>VLOOKUP(HP$22, 'BANDE S'!$G$3:$J$4, 3, FALSE)+ 10</f>
        <v>11.138</v>
      </c>
      <c r="HQ60" s="6">
        <f>VLOOKUP(HQ$22, 'BANDE S'!$G$3:$J$4, 3, FALSE)+ 10</f>
        <v>11.138</v>
      </c>
      <c r="HR60" s="6">
        <f>VLOOKUP(HR$22, 'BANDE S'!$G$3:$J$4, 3, FALSE)+ 10</f>
        <v>11.138</v>
      </c>
      <c r="HS60" s="6">
        <f>VLOOKUP(HS$22, 'BANDE S'!$G$3:$J$4, 3, FALSE)+ 10</f>
        <v>11.138</v>
      </c>
      <c r="HT60" s="6">
        <f>VLOOKUP(HT$22, 'BANDE S'!$G$3:$J$4, 3, FALSE)+ 10</f>
        <v>11.138</v>
      </c>
      <c r="HU60" s="6">
        <f>VLOOKUP(HU$22, 'BANDE S'!$G$3:$J$4, 3, FALSE)+ 10</f>
        <v>11.138</v>
      </c>
      <c r="HV60" s="6">
        <f>VLOOKUP(HV$22, 'BANDE S'!$G$3:$J$4, 3, FALSE)+ 10</f>
        <v>11.138</v>
      </c>
      <c r="HW60" s="6">
        <f>VLOOKUP(HW$22, 'BANDE S'!$G$3:$J$4, 3, FALSE)+ 10</f>
        <v>11.138</v>
      </c>
      <c r="HX60" s="6">
        <f>VLOOKUP(HX$22, 'BANDE S'!$G$3:$J$4, 3, FALSE)+ 10</f>
        <v>11.138</v>
      </c>
      <c r="HY60" s="6">
        <f>VLOOKUP(HY$22, 'BANDE S'!$G$3:$J$4, 3, FALSE)+ 10</f>
        <v>11.138</v>
      </c>
      <c r="HZ60" s="6">
        <f>VLOOKUP(HZ$22, 'BANDE S'!$G$3:$J$4, 3, FALSE)+ 10</f>
        <v>11.138</v>
      </c>
      <c r="IA60" s="6">
        <f>VLOOKUP(IA$22, 'BANDE S'!$G$3:$J$4, 3, FALSE)+ 10</f>
        <v>11.138</v>
      </c>
      <c r="IB60" s="6">
        <f>VLOOKUP(IB$22, 'BANDE S'!$G$3:$J$4, 3, FALSE)+ 10</f>
        <v>11.138</v>
      </c>
      <c r="IC60" s="6">
        <f>VLOOKUP(IC$22, 'BANDE S'!$G$3:$J$4, 3, FALSE)+ 10</f>
        <v>11.138</v>
      </c>
      <c r="ID60" s="6">
        <f>VLOOKUP(ID$22, 'BANDE S'!$G$3:$J$4, 3, FALSE)+ 10</f>
        <v>11.138</v>
      </c>
      <c r="IE60" s="6">
        <f>VLOOKUP(IE$22, 'BANDE S'!$G$3:$J$4, 3, FALSE)+ 10</f>
        <v>11.138</v>
      </c>
      <c r="IF60" s="6">
        <f>VLOOKUP(IF$22, 'BANDE S'!$G$3:$J$4, 3, FALSE)+ 10</f>
        <v>11.138</v>
      </c>
      <c r="IG60" s="6">
        <f>VLOOKUP(IG$22, 'BANDE S'!$G$3:$J$4, 3, FALSE)+ 10</f>
        <v>11.138</v>
      </c>
      <c r="IH60" s="6">
        <f>VLOOKUP(IH$22, 'BANDE S'!$G$3:$J$4, 3, FALSE)+ 10</f>
        <v>11.138</v>
      </c>
      <c r="II60" s="6">
        <f>VLOOKUP(II$22, 'BANDE S'!$G$3:$J$4, 3, FALSE)+ 10</f>
        <v>11.138</v>
      </c>
      <c r="IJ60" s="6">
        <f>VLOOKUP(IJ$22, 'BANDE S'!$G$3:$J$4, 3, FALSE)+ 10</f>
        <v>11.138</v>
      </c>
      <c r="IK60" s="6">
        <f>VLOOKUP(IK$22, 'BANDE S'!$G$3:$J$4, 3, FALSE)+ 10</f>
        <v>11.138</v>
      </c>
      <c r="IL60" s="6">
        <f>VLOOKUP(IL$22, 'BANDE S'!$G$3:$J$4, 3, FALSE)+ 10</f>
        <v>11.138</v>
      </c>
      <c r="IM60" s="6">
        <f>VLOOKUP(IM$22, 'BANDE S'!$G$3:$J$4, 3, FALSE)+ 10</f>
        <v>11.138</v>
      </c>
      <c r="IN60" s="6">
        <f>VLOOKUP(IN$22, 'BANDE S'!$G$3:$J$4, 3, FALSE)+ 10</f>
        <v>11.138</v>
      </c>
      <c r="IO60" s="6">
        <f>VLOOKUP(IO$22, 'BANDE S'!$G$3:$J$4, 3, FALSE)+ 10</f>
        <v>11.138</v>
      </c>
      <c r="IP60" s="6">
        <f>VLOOKUP(IP$22, 'BANDE S'!$G$3:$J$4, 3, FALSE)+ 10</f>
        <v>11.138</v>
      </c>
      <c r="IQ60" s="6">
        <f>VLOOKUP(IQ$22, 'BANDE S'!$G$3:$J$4, 3, FALSE)+ 10</f>
        <v>11.138</v>
      </c>
      <c r="IR60" s="6">
        <f>VLOOKUP(IR$22, 'BANDE S'!$G$3:$J$4, 3, FALSE)+ 10</f>
        <v>11.138</v>
      </c>
      <c r="IS60" s="6">
        <f>VLOOKUP(IS$22, 'BANDE S'!$G$3:$J$4, 3, FALSE)+ 10</f>
        <v>11.138</v>
      </c>
      <c r="IT60" s="6">
        <f>VLOOKUP(IT$22, 'BANDE S'!$G$3:$J$4, 3, FALSE)+ 10</f>
        <v>11.138</v>
      </c>
      <c r="IU60" s="6">
        <f>VLOOKUP(IU$22, 'BANDE S'!$G$3:$J$4, 3, FALSE)+ 10</f>
        <v>11.138</v>
      </c>
      <c r="IV60" s="6">
        <f>VLOOKUP(IV$22, 'BANDE S'!$G$3:$J$4, 3, FALSE)+ 10</f>
        <v>11.138</v>
      </c>
      <c r="IW60" s="6">
        <f>VLOOKUP(IW$22, 'BANDE S'!$G$3:$J$4, 3, FALSE)+ 10</f>
        <v>11.138</v>
      </c>
      <c r="IX60" s="6">
        <f>VLOOKUP(IX$22, 'BANDE S'!$G$3:$J$4, 3, FALSE)+ 10</f>
        <v>11.138</v>
      </c>
      <c r="IY60" s="6">
        <f>VLOOKUP(IY$22, 'BANDE S'!$G$3:$J$4, 3, FALSE)+ 10</f>
        <v>11.138</v>
      </c>
      <c r="IZ60" s="6">
        <f>VLOOKUP(IZ$22, 'BANDE S'!$G$3:$J$4, 3, FALSE)+ 10</f>
        <v>11.138</v>
      </c>
      <c r="JA60" s="6">
        <f>VLOOKUP(JA$22, 'BANDE S'!$G$3:$J$4, 3, FALSE)+ 10</f>
        <v>11.138</v>
      </c>
      <c r="JB60" s="6">
        <f>VLOOKUP(JB$22, 'BANDE S'!$G$3:$J$4, 3, FALSE)+ 10</f>
        <v>11.138</v>
      </c>
      <c r="JC60" s="6">
        <f>VLOOKUP(JC$22, 'BANDE S'!$G$3:$J$4, 3, FALSE)+ 10</f>
        <v>11.138</v>
      </c>
      <c r="JD60" s="6">
        <f>VLOOKUP(JD$22, 'BANDE S'!$G$3:$J$4, 3, FALSE)+ 10</f>
        <v>11.138</v>
      </c>
      <c r="JE60" s="6">
        <f>VLOOKUP(JE$22, 'BANDE S'!$G$3:$J$4, 3, FALSE)+ 10</f>
        <v>11.138</v>
      </c>
      <c r="JF60" s="6">
        <f>VLOOKUP(JF$22, 'BANDE S'!$G$3:$J$4, 3, FALSE)+ 10</f>
        <v>11.138</v>
      </c>
      <c r="JG60" s="6">
        <f>VLOOKUP(JG$22, 'BANDE S'!$G$3:$J$4, 3, FALSE)+ 10</f>
        <v>11.138</v>
      </c>
      <c r="JH60" s="6">
        <f>VLOOKUP(JH$22, 'BANDE S'!$G$3:$J$4, 3, FALSE)+ 10</f>
        <v>11.138</v>
      </c>
      <c r="JI60" s="6">
        <f>VLOOKUP(JI$22, 'BANDE S'!$G$3:$J$4, 3, FALSE)+ 10</f>
        <v>11.138</v>
      </c>
      <c r="JJ60" s="6">
        <f>VLOOKUP(JJ$22, 'BANDE S'!$G$3:$J$4, 3, FALSE)+ 10</f>
        <v>11.138</v>
      </c>
      <c r="JK60" s="6">
        <f>VLOOKUP(JK$22, 'BANDE S'!$G$3:$J$4, 3, FALSE)+ 10</f>
        <v>11.138</v>
      </c>
      <c r="JL60" s="6">
        <f>VLOOKUP(JL$22, 'BANDE S'!$G$3:$J$4, 3, FALSE)+ 10</f>
        <v>11.138</v>
      </c>
      <c r="JM60" s="6">
        <f>VLOOKUP(JM$22, 'BANDE S'!$G$3:$J$4, 3, FALSE)+ 10</f>
        <v>11.138</v>
      </c>
      <c r="JN60" s="6">
        <f>VLOOKUP(JN$22, 'BANDE S'!$G$3:$J$4, 3, FALSE)+ 10</f>
        <v>11.138</v>
      </c>
      <c r="JO60" s="6">
        <f>VLOOKUP(JO$22, 'BANDE S'!$G$3:$J$4, 3, FALSE)+ 10</f>
        <v>11.138</v>
      </c>
      <c r="JP60" s="6">
        <f>VLOOKUP(JP$22, 'BANDE S'!$G$3:$J$4, 3, FALSE)+ 10</f>
        <v>11.138</v>
      </c>
      <c r="JQ60" s="6">
        <f>VLOOKUP(JQ$22, 'BANDE S'!$G$3:$J$4, 3, FALSE)+ 10</f>
        <v>11.138</v>
      </c>
      <c r="JR60" s="6">
        <f>VLOOKUP(JR$22, 'BANDE S'!$G$3:$J$4, 3, FALSE)+ 10</f>
        <v>20.158000000000001</v>
      </c>
      <c r="JS60" s="6">
        <f>VLOOKUP(JS$22, 'BANDE S'!$G$3:$J$4, 3, FALSE)+ 10</f>
        <v>20.158000000000001</v>
      </c>
      <c r="JT60" s="6">
        <f>VLOOKUP(JT$22, 'BANDE S'!$G$3:$J$4, 3, FALSE)+ 10</f>
        <v>20.158000000000001</v>
      </c>
      <c r="JU60" s="6">
        <f>VLOOKUP(JU$22, 'BANDE S'!$G$3:$J$4, 3, FALSE)+ 10</f>
        <v>11.138</v>
      </c>
      <c r="JV60" s="6">
        <f>VLOOKUP(JV$22, 'BANDE S'!$G$3:$J$4, 3, FALSE)+ 10</f>
        <v>11.138</v>
      </c>
      <c r="JW60" s="6">
        <f>VLOOKUP(JW$22, 'BANDE S'!$G$3:$J$4, 3, FALSE)+ 10</f>
        <v>11.138</v>
      </c>
      <c r="JX60" s="6">
        <f>VLOOKUP(JX$22, 'BANDE S'!$G$3:$J$4, 3, FALSE)+ 10</f>
        <v>11.138</v>
      </c>
      <c r="JY60" s="6">
        <f>VLOOKUP(JY$22, 'BANDE S'!$G$3:$J$4, 3, FALSE)+ 10</f>
        <v>11.138</v>
      </c>
      <c r="JZ60" s="6">
        <f>VLOOKUP(JZ$22, 'BANDE S'!$G$3:$J$4, 3, FALSE)+ 10</f>
        <v>11.138</v>
      </c>
      <c r="KA60" s="6">
        <f>VLOOKUP(KA$22, 'BANDE S'!$G$3:$J$4, 3, FALSE)+ 10</f>
        <v>11.138</v>
      </c>
      <c r="KB60" s="6">
        <f>VLOOKUP(KB$22, 'BANDE S'!$G$3:$J$4, 3, FALSE)+ 10</f>
        <v>11.138</v>
      </c>
      <c r="KC60" s="6">
        <f>VLOOKUP(KC$22, 'BANDE S'!$G$3:$J$4, 3, FALSE)+ 10</f>
        <v>11.138</v>
      </c>
      <c r="KD60" s="6">
        <f>VLOOKUP(KD$22, 'BANDE S'!$G$3:$J$4, 3, FALSE)+ 10</f>
        <v>11.138</v>
      </c>
      <c r="KE60" s="6">
        <f>VLOOKUP(KE$22, 'BANDE S'!$G$3:$J$4, 3, FALSE)+ 10</f>
        <v>11.138</v>
      </c>
      <c r="KF60" s="6">
        <f>VLOOKUP(KF$22, 'BANDE S'!$G$3:$J$4, 3, FALSE)+ 10</f>
        <v>11.138</v>
      </c>
      <c r="KG60" s="6">
        <f>VLOOKUP(KG$22, 'BANDE S'!$G$3:$J$4, 3, FALSE)+ 10</f>
        <v>11.138</v>
      </c>
      <c r="KH60" s="6">
        <f>VLOOKUP(KH$22, 'BANDE S'!$G$3:$J$4, 3, FALSE)+ 10</f>
        <v>11.138</v>
      </c>
      <c r="KI60" s="6">
        <f>VLOOKUP(KI$22, 'BANDE S'!$G$3:$J$4, 3, FALSE)+ 10</f>
        <v>11.138</v>
      </c>
      <c r="KJ60" s="6">
        <f>VLOOKUP(KJ$22, 'BANDE S'!$G$3:$J$4, 3, FALSE)+ 10</f>
        <v>11.138</v>
      </c>
      <c r="KK60" s="6">
        <f>VLOOKUP(KK$22, 'BANDE S'!$G$3:$J$4, 3, FALSE)+ 10</f>
        <v>11.138</v>
      </c>
      <c r="KL60" s="6">
        <f>VLOOKUP(KL$22, 'BANDE S'!$G$3:$J$4, 3, FALSE)+ 10</f>
        <v>11.138</v>
      </c>
      <c r="KM60" s="6">
        <f>VLOOKUP(KM$22, 'BANDE S'!$G$3:$J$4, 3, FALSE)+ 10</f>
        <v>11.138</v>
      </c>
      <c r="KN60" s="6">
        <f>VLOOKUP(KN$22, 'BANDE S'!$G$3:$J$4, 3, FALSE)+ 10</f>
        <v>11.138</v>
      </c>
      <c r="KO60" s="6">
        <f>VLOOKUP(KO$22, 'BANDE S'!$G$3:$J$4, 3, FALSE)+ 10</f>
        <v>11.138</v>
      </c>
      <c r="KP60" s="6">
        <f>VLOOKUP(KP$22, 'BANDE S'!$G$3:$J$4, 3, FALSE)+ 10</f>
        <v>11.138</v>
      </c>
      <c r="KQ60" s="6">
        <f>VLOOKUP(KQ$22, 'BANDE S'!$G$3:$J$4, 3, FALSE)+ 10</f>
        <v>11.138</v>
      </c>
      <c r="KR60" s="6">
        <f>VLOOKUP(KR$22, 'BANDE S'!$G$3:$J$4, 3, FALSE)+ 10</f>
        <v>11.138</v>
      </c>
      <c r="KS60" s="6">
        <f>VLOOKUP(KS$22, 'BANDE S'!$G$3:$J$4, 3, FALSE)+ 10</f>
        <v>11.138</v>
      </c>
      <c r="KT60" s="6">
        <f>VLOOKUP(KT$22, 'BANDE S'!$G$3:$J$4, 3, FALSE)+ 10</f>
        <v>11.138</v>
      </c>
      <c r="KU60" s="6">
        <f>VLOOKUP(KU$22, 'BANDE S'!$G$3:$J$4, 3, FALSE)+ 10</f>
        <v>11.138</v>
      </c>
      <c r="KV60" s="6">
        <f>VLOOKUP(KV$22, 'BANDE S'!$G$3:$J$4, 3, FALSE)+ 10</f>
        <v>11.138</v>
      </c>
      <c r="KW60" s="6">
        <f>VLOOKUP(KW$22, 'BANDE S'!$G$3:$J$4, 3, FALSE)+ 10</f>
        <v>11.138</v>
      </c>
      <c r="KX60" s="6">
        <f>VLOOKUP(KX$22, 'BANDE S'!$G$3:$J$4, 3, FALSE)+ 10</f>
        <v>11.138</v>
      </c>
      <c r="KY60" s="6">
        <f>VLOOKUP(KY$22, 'BANDE S'!$G$3:$J$4, 3, FALSE)+ 10</f>
        <v>11.138</v>
      </c>
      <c r="KZ60" s="6">
        <f>VLOOKUP(KZ$22, 'BANDE S'!$G$3:$J$4, 3, FALSE)+ 10</f>
        <v>11.138</v>
      </c>
      <c r="LA60" s="6">
        <f>VLOOKUP(LA$22, 'BANDE S'!$G$3:$J$4, 3, FALSE)+ 10</f>
        <v>11.138</v>
      </c>
      <c r="LB60" s="6">
        <f>VLOOKUP(LB$22, 'BANDE S'!$G$3:$J$4, 3, FALSE)+ 10</f>
        <v>11.138</v>
      </c>
      <c r="LC60" s="6">
        <f>VLOOKUP(LC$22, 'BANDE S'!$G$3:$J$4, 3, FALSE)+ 10</f>
        <v>11.138</v>
      </c>
      <c r="LD60" s="6">
        <f>VLOOKUP(LD$22, 'BANDE S'!$G$3:$J$4, 3, FALSE)+ 10</f>
        <v>11.138</v>
      </c>
      <c r="LE60" s="6">
        <f>VLOOKUP(LE$22, 'BANDE S'!$G$3:$J$4, 3, FALSE)+ 10</f>
        <v>11.138</v>
      </c>
      <c r="LF60" s="6">
        <f>VLOOKUP(LF$22, 'BANDE S'!$G$3:$J$4, 3, FALSE)+ 10</f>
        <v>11.138</v>
      </c>
      <c r="LG60" s="6">
        <f>VLOOKUP(LG$22, 'BANDE S'!$G$3:$J$4, 3, FALSE)+ 10</f>
        <v>11.138</v>
      </c>
      <c r="LH60" s="6">
        <f>VLOOKUP(LH$22, 'BANDE S'!$G$3:$J$4, 3, FALSE)+ 10</f>
        <v>11.138</v>
      </c>
      <c r="LI60" s="6">
        <f>VLOOKUP(LI$22, 'BANDE S'!$G$3:$J$4, 3, FALSE)+ 10</f>
        <v>11.138</v>
      </c>
      <c r="LJ60" s="6">
        <f>VLOOKUP(LJ$22, 'BANDE S'!$G$3:$J$4, 3, FALSE)+ 10</f>
        <v>11.138</v>
      </c>
      <c r="LK60" s="6">
        <f>VLOOKUP(LK$22, 'BANDE S'!$G$3:$J$4, 3, FALSE)+ 10</f>
        <v>11.138</v>
      </c>
      <c r="LL60" s="6">
        <f>VLOOKUP(LL$22, 'BANDE S'!$G$3:$J$4, 3, FALSE)+ 10</f>
        <v>11.138</v>
      </c>
      <c r="LM60" s="6">
        <f>VLOOKUP(LM$22, 'BANDE S'!$G$3:$J$4, 3, FALSE)+ 10</f>
        <v>11.138</v>
      </c>
      <c r="LN60" s="6">
        <f>VLOOKUP(LN$22, 'BANDE S'!$G$3:$J$4, 3, FALSE)+ 10</f>
        <v>11.138</v>
      </c>
      <c r="LO60" s="6">
        <f>VLOOKUP(LO$22, 'BANDE S'!$G$3:$J$4, 3, FALSE)+ 10</f>
        <v>11.138</v>
      </c>
      <c r="LP60" s="6">
        <f>VLOOKUP(LP$22, 'BANDE S'!$G$3:$J$4, 3, FALSE)+ 10</f>
        <v>11.138</v>
      </c>
      <c r="LQ60" s="6">
        <f>VLOOKUP(LQ$22, 'BANDE S'!$G$3:$J$4, 3, FALSE)+ 10</f>
        <v>11.138</v>
      </c>
      <c r="LR60" s="6">
        <f>VLOOKUP(LR$22, 'BANDE S'!$G$3:$J$4, 3, FALSE)+ 10</f>
        <v>11.138</v>
      </c>
      <c r="LS60" s="6">
        <f>VLOOKUP(LS$22, 'BANDE S'!$G$3:$J$4, 3, FALSE)+ 10</f>
        <v>11.138</v>
      </c>
      <c r="LT60" s="6">
        <f>VLOOKUP(LT$22, 'BANDE S'!$G$3:$J$4, 3, FALSE)+ 10</f>
        <v>11.138</v>
      </c>
      <c r="LU60" s="6">
        <f>VLOOKUP(LU$22, 'BANDE S'!$G$3:$J$4, 3, FALSE)+ 10</f>
        <v>11.138</v>
      </c>
      <c r="LV60" s="6">
        <f>VLOOKUP(LV$22, 'BANDE S'!$G$3:$J$4, 3, FALSE)+ 10</f>
        <v>11.138</v>
      </c>
      <c r="LW60" s="6">
        <f>VLOOKUP(LW$22, 'BANDE S'!$G$3:$J$4, 3, FALSE)+ 10</f>
        <v>11.138</v>
      </c>
      <c r="LX60" s="6">
        <f>VLOOKUP(LX$22, 'BANDE S'!$G$3:$J$4, 3, FALSE)+ 10</f>
        <v>11.138</v>
      </c>
      <c r="LY60" s="6">
        <f>VLOOKUP(LY$22, 'BANDE S'!$G$3:$J$4, 3, FALSE)+ 10</f>
        <v>11.138</v>
      </c>
      <c r="LZ60" s="6">
        <f>VLOOKUP(LZ$22, 'BANDE S'!$G$3:$J$4, 3, FALSE)+ 10</f>
        <v>11.138</v>
      </c>
      <c r="MA60" s="6">
        <f>VLOOKUP(MA$22, 'BANDE S'!$G$3:$J$4, 3, FALSE)+ 10</f>
        <v>11.138</v>
      </c>
      <c r="MB60" s="6">
        <f>VLOOKUP(MB$22, 'BANDE S'!$G$3:$J$4, 3, FALSE)+ 10</f>
        <v>20.158000000000001</v>
      </c>
      <c r="MC60" s="6">
        <f>VLOOKUP(MC$22, 'BANDE S'!$G$3:$J$4, 3, FALSE)+ 10</f>
        <v>20.158000000000001</v>
      </c>
      <c r="MD60" s="6">
        <f>VLOOKUP(MD$22, 'BANDE S'!$G$3:$J$4, 3, FALSE)+ 10</f>
        <v>20.158000000000001</v>
      </c>
      <c r="ME60" s="6">
        <f>VLOOKUP(ME$22, 'BANDE S'!$G$3:$J$4, 3, FALSE)+ 10</f>
        <v>11.138</v>
      </c>
      <c r="MF60" s="6">
        <f>VLOOKUP(MF$22, 'BANDE S'!$G$3:$J$4, 3, FALSE)+ 10</f>
        <v>11.138</v>
      </c>
      <c r="MG60" s="6">
        <f>VLOOKUP(MG$22, 'BANDE S'!$G$3:$J$4, 3, FALSE)+ 10</f>
        <v>11.138</v>
      </c>
      <c r="MH60" s="6">
        <f>VLOOKUP(MH$22, 'BANDE S'!$G$3:$J$4, 3, FALSE)+ 10</f>
        <v>11.138</v>
      </c>
      <c r="MI60" s="6">
        <f>VLOOKUP(MI$22, 'BANDE S'!$G$3:$J$4, 3, FALSE)+ 10</f>
        <v>11.138</v>
      </c>
      <c r="MJ60" s="6">
        <f>VLOOKUP(MJ$22, 'BANDE S'!$G$3:$J$4, 3, FALSE)+ 10</f>
        <v>11.138</v>
      </c>
      <c r="MK60" s="6">
        <f>VLOOKUP(MK$22, 'BANDE S'!$G$3:$J$4, 3, FALSE)+ 10</f>
        <v>11.138</v>
      </c>
      <c r="ML60" s="6">
        <f>VLOOKUP(ML$22, 'BANDE S'!$G$3:$J$4, 3, FALSE)+ 10</f>
        <v>11.138</v>
      </c>
      <c r="MM60" s="6">
        <f>VLOOKUP(MM$22, 'BANDE S'!$G$3:$J$4, 3, FALSE)+ 10</f>
        <v>11.138</v>
      </c>
      <c r="MN60" s="6">
        <f>VLOOKUP(MN$22, 'BANDE S'!$G$3:$J$4, 3, FALSE)+ 10</f>
        <v>11.138</v>
      </c>
      <c r="MO60" s="6">
        <f>VLOOKUP(MO$22, 'BANDE S'!$G$3:$J$4, 3, FALSE)+ 10</f>
        <v>11.138</v>
      </c>
      <c r="MP60" s="6">
        <f>VLOOKUP(MP$22, 'BANDE S'!$G$3:$J$4, 3, FALSE)+ 10</f>
        <v>11.138</v>
      </c>
      <c r="MQ60" s="6">
        <f>VLOOKUP(MQ$22, 'BANDE S'!$G$3:$J$4, 3, FALSE)+ 10</f>
        <v>11.138</v>
      </c>
      <c r="MR60" s="6">
        <f>VLOOKUP(MR$22, 'BANDE S'!$G$3:$J$4, 3, FALSE)+ 10</f>
        <v>11.138</v>
      </c>
      <c r="MS60" s="6">
        <f>VLOOKUP(MS$22, 'BANDE S'!$G$3:$J$4, 3, FALSE)+ 10</f>
        <v>11.138</v>
      </c>
      <c r="MT60" s="6">
        <f>VLOOKUP(MT$22, 'BANDE S'!$G$3:$J$4, 3, FALSE)+ 10</f>
        <v>11.138</v>
      </c>
      <c r="MU60" s="6">
        <f>VLOOKUP(MU$22, 'BANDE S'!$G$3:$J$4, 3, FALSE)+ 10</f>
        <v>11.138</v>
      </c>
      <c r="MV60" s="6">
        <f>VLOOKUP(MV$22, 'BANDE S'!$G$3:$J$4, 3, FALSE)+ 10</f>
        <v>11.138</v>
      </c>
      <c r="MW60" s="6">
        <f>VLOOKUP(MW$22, 'BANDE S'!$G$3:$J$4, 3, FALSE)+ 10</f>
        <v>11.138</v>
      </c>
      <c r="MX60" s="6">
        <f>VLOOKUP(MX$22, 'BANDE S'!$G$3:$J$4, 3, FALSE)+ 10</f>
        <v>11.138</v>
      </c>
      <c r="MY60" s="6">
        <f>VLOOKUP(MY$22, 'BANDE S'!$G$3:$J$4, 3, FALSE)+ 10</f>
        <v>11.138</v>
      </c>
      <c r="MZ60" s="6">
        <f>VLOOKUP(MZ$22, 'BANDE S'!$G$3:$J$4, 3, FALSE)+ 10</f>
        <v>11.138</v>
      </c>
      <c r="NA60" s="6">
        <f>VLOOKUP(NA$22, 'BANDE S'!$G$3:$J$4, 3, FALSE)+ 10</f>
        <v>11.138</v>
      </c>
      <c r="NB60" s="6">
        <f>VLOOKUP(NB$22, 'BANDE S'!$G$3:$J$4, 3, FALSE)+ 10</f>
        <v>11.138</v>
      </c>
      <c r="NC60" s="6">
        <f>VLOOKUP(NC$22, 'BANDE S'!$G$3:$J$4, 3, FALSE)+ 10</f>
        <v>11.138</v>
      </c>
      <c r="ND60" s="6">
        <f>VLOOKUP(ND$22, 'BANDE S'!$G$3:$J$4, 3, FALSE)+ 10</f>
        <v>11.138</v>
      </c>
      <c r="NE60" s="6">
        <f>VLOOKUP(NE$22, 'BANDE S'!$G$3:$J$4, 3, FALSE)+ 10</f>
        <v>11.138</v>
      </c>
      <c r="NF60" s="6">
        <f>VLOOKUP(NF$22, 'BANDE S'!$G$3:$J$4, 3, FALSE)+ 10</f>
        <v>11.138</v>
      </c>
      <c r="NG60" s="6">
        <f>VLOOKUP(NG$22, 'BANDE S'!$G$3:$J$4, 3, FALSE)+ 10</f>
        <v>11.138</v>
      </c>
      <c r="NH60" s="6">
        <f>VLOOKUP(NH$22, 'BANDE S'!$G$3:$J$4, 3, FALSE)+ 10</f>
        <v>11.138</v>
      </c>
      <c r="NI60" s="6">
        <f>VLOOKUP(NI$22, 'BANDE S'!$G$3:$J$4, 3, FALSE)+ 10</f>
        <v>11.138</v>
      </c>
      <c r="NJ60" s="6">
        <f>VLOOKUP(NJ$22, 'BANDE S'!$G$3:$J$4, 3, FALSE)+ 10</f>
        <v>11.138</v>
      </c>
      <c r="NK60" s="6">
        <f>VLOOKUP(NK$22, 'BANDE S'!$G$3:$J$4, 3, FALSE)+ 10</f>
        <v>11.138</v>
      </c>
      <c r="NL60" s="6">
        <f>VLOOKUP(NL$22, 'BANDE S'!$G$3:$J$4, 3, FALSE)+ 10</f>
        <v>11.138</v>
      </c>
      <c r="NM60" s="6">
        <f>VLOOKUP(NM$22, 'BANDE S'!$G$3:$J$4, 3, FALSE)+ 10</f>
        <v>11.138</v>
      </c>
      <c r="NN60" s="6">
        <f>VLOOKUP(NN$22, 'BANDE S'!$G$3:$J$4, 3, FALSE)+ 10</f>
        <v>11.138</v>
      </c>
      <c r="NO60" s="6">
        <f>VLOOKUP(NO$22, 'BANDE S'!$G$3:$J$4, 3, FALSE)+ 10</f>
        <v>11.138</v>
      </c>
      <c r="NP60" s="6">
        <f>VLOOKUP(NP$22, 'BANDE S'!$G$3:$J$4, 3, FALSE)+ 10</f>
        <v>11.138</v>
      </c>
      <c r="NQ60" s="6">
        <f>VLOOKUP(NQ$22, 'BANDE S'!$G$3:$J$4, 3, FALSE)+ 10</f>
        <v>11.138</v>
      </c>
      <c r="NR60" s="6">
        <f>VLOOKUP(NR$22, 'BANDE S'!$G$3:$J$4, 3, FALSE)+ 10</f>
        <v>11.138</v>
      </c>
      <c r="NS60" s="6">
        <f>VLOOKUP(NS$22, 'BANDE S'!$G$3:$J$4, 3, FALSE)+ 10</f>
        <v>11.138</v>
      </c>
      <c r="NT60" s="6">
        <f>VLOOKUP(NT$22, 'BANDE S'!$G$3:$J$4, 3, FALSE)+ 10</f>
        <v>11.138</v>
      </c>
      <c r="NU60" s="6">
        <f>VLOOKUP(NU$22, 'BANDE S'!$G$3:$J$4, 3, FALSE)+ 10</f>
        <v>11.138</v>
      </c>
      <c r="NV60" s="6">
        <f>VLOOKUP(NV$22, 'BANDE S'!$G$3:$J$4, 3, FALSE)+ 10</f>
        <v>11.138</v>
      </c>
      <c r="NW60" s="6">
        <f>VLOOKUP(NW$22, 'BANDE S'!$G$3:$J$4, 3, FALSE)+ 10</f>
        <v>11.138</v>
      </c>
      <c r="NX60" s="6">
        <f>VLOOKUP(NX$22, 'BANDE S'!$G$3:$J$4, 3, FALSE)+ 10</f>
        <v>11.138</v>
      </c>
      <c r="NY60" s="6">
        <f>VLOOKUP(NY$22, 'BANDE S'!$G$3:$J$4, 3, FALSE)+ 10</f>
        <v>11.138</v>
      </c>
      <c r="NZ60" s="6">
        <f>VLOOKUP(NZ$22, 'BANDE S'!$G$3:$J$4, 3, FALSE)+ 10</f>
        <v>11.138</v>
      </c>
      <c r="OA60" s="6">
        <f>VLOOKUP(OA$22, 'BANDE S'!$G$3:$J$4, 3, FALSE)+ 10</f>
        <v>11.138</v>
      </c>
      <c r="OB60" s="6">
        <f>VLOOKUP(OB$22, 'BANDE S'!$G$3:$J$4, 3, FALSE)+ 10</f>
        <v>11.138</v>
      </c>
      <c r="OC60" s="6">
        <f>VLOOKUP(OC$22, 'BANDE S'!$G$3:$J$4, 3, FALSE)+ 10</f>
        <v>11.138</v>
      </c>
      <c r="OD60" s="6">
        <f>VLOOKUP(OD$22, 'BANDE S'!$G$3:$J$4, 3, FALSE)+ 10</f>
        <v>11.138</v>
      </c>
      <c r="OE60" s="6">
        <f>VLOOKUP(OE$22, 'BANDE S'!$G$3:$J$4, 3, FALSE)+ 10</f>
        <v>11.138</v>
      </c>
      <c r="OF60" s="6">
        <f>VLOOKUP(OF$22, 'BANDE S'!$G$3:$J$4, 3, FALSE)+ 10</f>
        <v>11.138</v>
      </c>
      <c r="OG60" s="6">
        <f>VLOOKUP(OG$22, 'BANDE S'!$G$3:$J$4, 3, FALSE)+ 10</f>
        <v>11.138</v>
      </c>
      <c r="OH60" s="6">
        <f>VLOOKUP(OH$22, 'BANDE S'!$G$3:$J$4, 3, FALSE)+ 10</f>
        <v>11.138</v>
      </c>
      <c r="OI60" s="6">
        <f>VLOOKUP(OI$22, 'BANDE S'!$G$3:$J$4, 3, FALSE)+ 10</f>
        <v>11.138</v>
      </c>
      <c r="OJ60" s="6">
        <f>VLOOKUP(OJ$22, 'BANDE S'!$G$3:$J$4, 3, FALSE)+ 10</f>
        <v>11.138</v>
      </c>
      <c r="OK60" s="6">
        <f>VLOOKUP(OK$22, 'BANDE S'!$G$3:$J$4, 3, FALSE)+ 10</f>
        <v>11.138</v>
      </c>
      <c r="OL60" s="6">
        <f>VLOOKUP(OL$22, 'BANDE S'!$G$3:$J$4, 3, FALSE)+ 10</f>
        <v>11.138</v>
      </c>
      <c r="OM60" s="6">
        <f>VLOOKUP(OM$22, 'BANDE S'!$G$3:$J$4, 3, FALSE)+ 10</f>
        <v>11.138</v>
      </c>
      <c r="ON60" s="6">
        <f>VLOOKUP(ON$22, 'BANDE S'!$G$3:$J$4, 3, FALSE)+ 10</f>
        <v>11.138</v>
      </c>
      <c r="OO60" s="6">
        <f>VLOOKUP(OO$22, 'BANDE S'!$G$3:$J$4, 3, FALSE)+ 10</f>
        <v>11.138</v>
      </c>
      <c r="OP60" s="6">
        <f>VLOOKUP(OP$22, 'BANDE S'!$G$3:$J$4, 3, FALSE)+ 10</f>
        <v>11.138</v>
      </c>
      <c r="OQ60" s="6">
        <f>VLOOKUP(OQ$22, 'BANDE S'!$G$3:$J$4, 3, FALSE)+ 10</f>
        <v>11.138</v>
      </c>
      <c r="OR60" s="6">
        <f>VLOOKUP(OR$22, 'BANDE S'!$G$3:$J$4, 3, FALSE)+ 10</f>
        <v>11.138</v>
      </c>
      <c r="OS60" s="6">
        <f>VLOOKUP(OS$22, 'BANDE S'!$G$3:$J$4, 3, FALSE)+ 10</f>
        <v>11.138</v>
      </c>
      <c r="OT60" s="6">
        <f>VLOOKUP(OT$22, 'BANDE S'!$G$3:$J$4, 3, FALSE)+ 10</f>
        <v>11.138</v>
      </c>
      <c r="OU60" s="6">
        <f>VLOOKUP(OU$22, 'BANDE S'!$G$3:$J$4, 3, FALSE)+ 10</f>
        <v>11.138</v>
      </c>
      <c r="OV60" s="6">
        <f>VLOOKUP(OV$22, 'BANDE S'!$G$3:$J$4, 3, FALSE)+ 10</f>
        <v>11.138</v>
      </c>
      <c r="OW60" s="6">
        <f>VLOOKUP(OW$22, 'BANDE S'!$G$3:$J$4, 3, FALSE)+ 10</f>
        <v>11.138</v>
      </c>
      <c r="OX60" s="6">
        <f>VLOOKUP(OX$22, 'BANDE S'!$G$3:$J$4, 3, FALSE)+ 10</f>
        <v>11.138</v>
      </c>
      <c r="OY60" s="6">
        <f>VLOOKUP(OY$22, 'BANDE S'!$G$3:$J$4, 3, FALSE)+ 10</f>
        <v>11.138</v>
      </c>
      <c r="OZ60" s="6">
        <f>VLOOKUP(OZ$22, 'BANDE S'!$G$3:$J$4, 3, FALSE)+ 10</f>
        <v>11.138</v>
      </c>
      <c r="PA60" s="6">
        <f>VLOOKUP(PA$22, 'BANDE S'!$G$3:$J$4, 3, FALSE)+ 10</f>
        <v>11.138</v>
      </c>
      <c r="PB60" s="6">
        <f>VLOOKUP(PB$22, 'BANDE S'!$G$3:$J$4, 3, FALSE)+ 10</f>
        <v>11.138</v>
      </c>
      <c r="PC60" s="6">
        <f>VLOOKUP(PC$22, 'BANDE S'!$G$3:$J$4, 3, FALSE)+ 10</f>
        <v>11.138</v>
      </c>
      <c r="PD60" s="6">
        <f>VLOOKUP(PD$22, 'BANDE S'!$G$3:$J$4, 3, FALSE)+ 10</f>
        <v>11.138</v>
      </c>
      <c r="PE60" s="6">
        <f>VLOOKUP(PE$22, 'BANDE S'!$G$3:$J$4, 3, FALSE)+ 10</f>
        <v>11.138</v>
      </c>
      <c r="PF60" s="6">
        <f>VLOOKUP(PF$22, 'BANDE S'!$G$3:$J$4, 3, FALSE)+ 10</f>
        <v>20.158000000000001</v>
      </c>
      <c r="PG60" s="6">
        <f>VLOOKUP(PG$22, 'BANDE S'!$G$3:$J$4, 3, FALSE)+ 10</f>
        <v>20.158000000000001</v>
      </c>
      <c r="PH60" s="6">
        <f>VLOOKUP(PH$22, 'BANDE S'!$G$3:$J$4, 3, FALSE)+ 10</f>
        <v>20.158000000000001</v>
      </c>
      <c r="PI60" s="6">
        <f>VLOOKUP(PI$22, 'BANDE S'!$G$3:$J$4, 3, FALSE)+ 10</f>
        <v>11.138</v>
      </c>
      <c r="PJ60" s="6">
        <f>VLOOKUP(PJ$22, 'BANDE S'!$G$3:$J$4, 3, FALSE)+ 10</f>
        <v>11.138</v>
      </c>
      <c r="PK60" s="6">
        <f>VLOOKUP(PK$22, 'BANDE S'!$G$3:$J$4, 3, FALSE)+ 10</f>
        <v>11.138</v>
      </c>
      <c r="PL60" s="6">
        <f>VLOOKUP(PL$22, 'BANDE S'!$G$3:$J$4, 3, FALSE)+ 10</f>
        <v>11.138</v>
      </c>
      <c r="PM60" s="6">
        <f>VLOOKUP(PM$22, 'BANDE S'!$G$3:$J$4, 3, FALSE)+ 10</f>
        <v>11.138</v>
      </c>
      <c r="PN60" s="6">
        <f>VLOOKUP(PN$22, 'BANDE S'!$G$3:$J$4, 3, FALSE)+ 10</f>
        <v>11.138</v>
      </c>
      <c r="PO60" s="6">
        <f>VLOOKUP(PO$22, 'BANDE S'!$G$3:$J$4, 3, FALSE)+ 10</f>
        <v>11.138</v>
      </c>
      <c r="PP60" s="6">
        <f>VLOOKUP(PP$22, 'BANDE S'!$G$3:$J$4, 3, FALSE)+ 10</f>
        <v>11.138</v>
      </c>
      <c r="PQ60" s="6">
        <f>VLOOKUP(PQ$22, 'BANDE S'!$G$3:$J$4, 3, FALSE)+ 10</f>
        <v>11.138</v>
      </c>
      <c r="PR60" s="6">
        <f>VLOOKUP(PR$22, 'BANDE S'!$G$3:$J$4, 3, FALSE)+ 10</f>
        <v>11.138</v>
      </c>
      <c r="PS60" s="6">
        <f>VLOOKUP(PS$22, 'BANDE S'!$G$3:$J$4, 3, FALSE)+ 10</f>
        <v>11.138</v>
      </c>
      <c r="PT60" s="6">
        <f>VLOOKUP(PT$22, 'BANDE S'!$G$3:$J$4, 3, FALSE)+ 10</f>
        <v>11.138</v>
      </c>
      <c r="PU60" s="6">
        <f>VLOOKUP(PU$22, 'BANDE S'!$G$3:$J$4, 3, FALSE)+ 10</f>
        <v>11.138</v>
      </c>
      <c r="PV60" s="6">
        <f>VLOOKUP(PV$22, 'BANDE S'!$G$3:$J$4, 3, FALSE)+ 10</f>
        <v>11.138</v>
      </c>
      <c r="PW60" s="6">
        <f>VLOOKUP(PW$22, 'BANDE S'!$G$3:$J$4, 3, FALSE)+ 10</f>
        <v>11.138</v>
      </c>
      <c r="PX60" s="6">
        <f>VLOOKUP(PX$22, 'BANDE S'!$G$3:$J$4, 3, FALSE)+ 10</f>
        <v>11.138</v>
      </c>
      <c r="PY60" s="6">
        <f>VLOOKUP(PY$22, 'BANDE S'!$G$3:$J$4, 3, FALSE)+ 10</f>
        <v>11.138</v>
      </c>
      <c r="PZ60" s="6">
        <f>VLOOKUP(PZ$22, 'BANDE S'!$G$3:$J$4, 3, FALSE)+ 10</f>
        <v>11.138</v>
      </c>
      <c r="QA60" s="6">
        <f>VLOOKUP(QA$22, 'BANDE S'!$G$3:$J$4, 3, FALSE)+ 10</f>
        <v>11.138</v>
      </c>
      <c r="QB60" s="6">
        <f>VLOOKUP(QB$22, 'BANDE S'!$G$3:$J$4, 3, FALSE)+ 10</f>
        <v>11.138</v>
      </c>
      <c r="QC60" s="6">
        <f>VLOOKUP(QC$22, 'BANDE S'!$G$3:$J$4, 3, FALSE)+ 10</f>
        <v>11.138</v>
      </c>
      <c r="QD60" s="6">
        <f>VLOOKUP(QD$22, 'BANDE S'!$G$3:$J$4, 3, FALSE)+ 10</f>
        <v>11.138</v>
      </c>
      <c r="QE60" s="6">
        <f>VLOOKUP(QE$22, 'BANDE S'!$G$3:$J$4, 3, FALSE)+ 10</f>
        <v>11.138</v>
      </c>
      <c r="QF60" s="6">
        <f>VLOOKUP(QF$22, 'BANDE S'!$G$3:$J$4, 3, FALSE)+ 10</f>
        <v>11.138</v>
      </c>
      <c r="QG60" s="6">
        <f>VLOOKUP(QG$22, 'BANDE S'!$G$3:$J$4, 3, FALSE)+ 10</f>
        <v>11.138</v>
      </c>
      <c r="QH60" s="6">
        <f>VLOOKUP(QH$22, 'BANDE S'!$G$3:$J$4, 3, FALSE)+ 10</f>
        <v>11.138</v>
      </c>
      <c r="QI60" s="6">
        <f>VLOOKUP(QI$22, 'BANDE S'!$G$3:$J$4, 3, FALSE)+ 10</f>
        <v>11.138</v>
      </c>
      <c r="QJ60" s="6">
        <f>VLOOKUP(QJ$22, 'BANDE S'!$G$3:$J$4, 3, FALSE)+ 10</f>
        <v>11.138</v>
      </c>
      <c r="QK60" s="6">
        <f>VLOOKUP(QK$22, 'BANDE S'!$G$3:$J$4, 3, FALSE)+ 10</f>
        <v>11.138</v>
      </c>
      <c r="QL60" s="6">
        <f>VLOOKUP(QL$22, 'BANDE S'!$G$3:$J$4, 3, FALSE)+ 10</f>
        <v>11.138</v>
      </c>
      <c r="QM60" s="6">
        <f>VLOOKUP(QM$22, 'BANDE S'!$G$3:$J$4, 3, FALSE)+ 10</f>
        <v>11.138</v>
      </c>
      <c r="QN60" s="6">
        <f>VLOOKUP(QN$22, 'BANDE S'!$G$3:$J$4, 3, FALSE)+ 10</f>
        <v>11.138</v>
      </c>
      <c r="QO60" s="6">
        <f>VLOOKUP(QO$22, 'BANDE S'!$G$3:$J$4, 3, FALSE)+ 10</f>
        <v>11.138</v>
      </c>
      <c r="QP60" s="6">
        <f>VLOOKUP(QP$22, 'BANDE S'!$G$3:$J$4, 3, FALSE)+ 10</f>
        <v>11.138</v>
      </c>
      <c r="QQ60" s="6">
        <f>VLOOKUP(QQ$22, 'BANDE S'!$G$3:$J$4, 3, FALSE)+ 10</f>
        <v>11.138</v>
      </c>
      <c r="QR60" s="6">
        <f>VLOOKUP(QR$22, 'BANDE S'!$G$3:$J$4, 3, FALSE)+ 10</f>
        <v>11.138</v>
      </c>
      <c r="QS60" s="6">
        <f>VLOOKUP(QS$22, 'BANDE S'!$G$3:$J$4, 3, FALSE)+ 10</f>
        <v>11.138</v>
      </c>
      <c r="QT60" s="6">
        <f>VLOOKUP(QT$22, 'BANDE S'!$G$3:$J$4, 3, FALSE)+ 10</f>
        <v>11.138</v>
      </c>
      <c r="QU60" s="6">
        <f>VLOOKUP(QU$22, 'BANDE S'!$G$3:$J$4, 3, FALSE)+ 10</f>
        <v>11.138</v>
      </c>
      <c r="QV60" s="6">
        <f>VLOOKUP(QV$22, 'BANDE S'!$G$3:$J$4, 3, FALSE)+ 10</f>
        <v>11.138</v>
      </c>
      <c r="QW60" s="6">
        <f>VLOOKUP(QW$22, 'BANDE S'!$G$3:$J$4, 3, FALSE)+ 10</f>
        <v>11.138</v>
      </c>
      <c r="QX60" s="6">
        <f>VLOOKUP(QX$22, 'BANDE S'!$G$3:$J$4, 3, FALSE)+ 10</f>
        <v>11.138</v>
      </c>
      <c r="QY60" s="6">
        <f>VLOOKUP(QY$22, 'BANDE S'!$G$3:$J$4, 3, FALSE)+ 10</f>
        <v>11.138</v>
      </c>
      <c r="QZ60" s="6">
        <f>VLOOKUP(QZ$22, 'BANDE S'!$G$3:$J$4, 3, FALSE)+ 10</f>
        <v>11.138</v>
      </c>
      <c r="RA60" s="6">
        <f>VLOOKUP(RA$22, 'BANDE S'!$G$3:$J$4, 3, FALSE)+ 10</f>
        <v>11.138</v>
      </c>
      <c r="RB60" s="6">
        <f>VLOOKUP(RB$22, 'BANDE S'!$G$3:$J$4, 3, FALSE)+ 10</f>
        <v>11.138</v>
      </c>
      <c r="RC60" s="6">
        <f>VLOOKUP(RC$22, 'BANDE S'!$G$3:$J$4, 3, FALSE)+ 10</f>
        <v>11.138</v>
      </c>
      <c r="RD60" s="6">
        <f>VLOOKUP(RD$22, 'BANDE S'!$G$3:$J$4, 3, FALSE)+ 10</f>
        <v>11.138</v>
      </c>
      <c r="RE60" s="6">
        <f>VLOOKUP(RE$22, 'BANDE S'!$G$3:$J$4, 3, FALSE)+ 10</f>
        <v>11.138</v>
      </c>
      <c r="RF60" s="6">
        <f>VLOOKUP(RF$22, 'BANDE S'!$G$3:$J$4, 3, FALSE)+ 10</f>
        <v>11.138</v>
      </c>
      <c r="RG60" s="6">
        <f>VLOOKUP(RG$22, 'BANDE S'!$G$3:$J$4, 3, FALSE)+ 10</f>
        <v>11.138</v>
      </c>
      <c r="RH60" s="6">
        <f>VLOOKUP(RH$22, 'BANDE S'!$G$3:$J$4, 3, FALSE)+ 10</f>
        <v>11.138</v>
      </c>
      <c r="RI60" s="6">
        <f>VLOOKUP(RI$22, 'BANDE S'!$G$3:$J$4, 3, FALSE)+ 10</f>
        <v>11.138</v>
      </c>
      <c r="RJ60" s="6">
        <f>VLOOKUP(RJ$22, 'BANDE S'!$G$3:$J$4, 3, FALSE)+ 10</f>
        <v>11.138</v>
      </c>
      <c r="RK60" s="6">
        <f>VLOOKUP(RK$22, 'BANDE S'!$G$3:$J$4, 3, FALSE)+ 10</f>
        <v>11.138</v>
      </c>
      <c r="RL60" s="6">
        <f>VLOOKUP(RL$22, 'BANDE S'!$G$3:$J$4, 3, FALSE)+ 10</f>
        <v>11.138</v>
      </c>
      <c r="RM60" s="6">
        <f>VLOOKUP(RM$22, 'BANDE S'!$G$3:$J$4, 3, FALSE)+ 10</f>
        <v>11.138</v>
      </c>
      <c r="RN60" s="6">
        <f>VLOOKUP(RN$22, 'BANDE S'!$G$3:$J$4, 3, FALSE)+ 10</f>
        <v>11.138</v>
      </c>
      <c r="RO60" s="6">
        <f>VLOOKUP(RO$22, 'BANDE S'!$G$3:$J$4, 3, FALSE)+ 10</f>
        <v>11.138</v>
      </c>
      <c r="RP60" s="6">
        <f>VLOOKUP(RP$22, 'BANDE S'!$G$3:$J$4, 3, FALSE)+ 10</f>
        <v>20.158000000000001</v>
      </c>
      <c r="RQ60" s="6">
        <f>VLOOKUP(RQ$22, 'BANDE S'!$G$3:$J$4, 3, FALSE)+ 10</f>
        <v>20.158000000000001</v>
      </c>
      <c r="RR60" s="6">
        <f>VLOOKUP(RR$22, 'BANDE S'!$G$3:$J$4, 3, FALSE)+ 10</f>
        <v>20.158000000000001</v>
      </c>
      <c r="RS60" s="6">
        <f>VLOOKUP(RS$22, 'BANDE S'!$G$3:$J$4, 3, FALSE)+ 10</f>
        <v>11.138</v>
      </c>
      <c r="RT60" s="6">
        <f>VLOOKUP(RT$22, 'BANDE S'!$G$3:$J$4, 3, FALSE)+ 10</f>
        <v>11.138</v>
      </c>
      <c r="RU60" s="6">
        <f>VLOOKUP(RU$22, 'BANDE S'!$G$3:$J$4, 3, FALSE)+ 10</f>
        <v>11.138</v>
      </c>
      <c r="RV60" s="6">
        <f>VLOOKUP(RV$22, 'BANDE S'!$G$3:$J$4, 3, FALSE)+ 10</f>
        <v>11.138</v>
      </c>
      <c r="RW60" s="6">
        <f>VLOOKUP(RW$22, 'BANDE S'!$G$3:$J$4, 3, FALSE)+ 10</f>
        <v>11.138</v>
      </c>
      <c r="RX60" s="6">
        <f>VLOOKUP(RX$22, 'BANDE S'!$G$3:$J$4, 3, FALSE)+ 10</f>
        <v>11.138</v>
      </c>
      <c r="RY60" s="6">
        <f>VLOOKUP(RY$22, 'BANDE S'!$G$3:$J$4, 3, FALSE)+ 10</f>
        <v>11.138</v>
      </c>
      <c r="RZ60" s="6">
        <f>VLOOKUP(RZ$22, 'BANDE S'!$G$3:$J$4, 3, FALSE)+ 10</f>
        <v>11.138</v>
      </c>
      <c r="SA60" s="6">
        <f>VLOOKUP(SA$22, 'BANDE S'!$G$3:$J$4, 3, FALSE)+ 10</f>
        <v>11.138</v>
      </c>
      <c r="SB60" s="6">
        <f>VLOOKUP(SB$22, 'BANDE S'!$G$3:$J$4, 3, FALSE)+ 10</f>
        <v>11.138</v>
      </c>
      <c r="SC60" s="6">
        <f>VLOOKUP(SC$22, 'BANDE S'!$G$3:$J$4, 3, FALSE)+ 10</f>
        <v>11.138</v>
      </c>
      <c r="SD60" s="6">
        <f>VLOOKUP(SD$22, 'BANDE S'!$G$3:$J$4, 3, FALSE)+ 10</f>
        <v>11.138</v>
      </c>
      <c r="SE60" s="6">
        <f>VLOOKUP(SE$22, 'BANDE S'!$G$3:$J$4, 3, FALSE)+ 10</f>
        <v>11.138</v>
      </c>
      <c r="SF60" s="6">
        <f>VLOOKUP(SF$22, 'BANDE S'!$G$3:$J$4, 3, FALSE)+ 10</f>
        <v>11.138</v>
      </c>
      <c r="SG60" s="6">
        <f>VLOOKUP(SG$22, 'BANDE S'!$G$3:$J$4, 3, FALSE)+ 10</f>
        <v>11.138</v>
      </c>
      <c r="SH60" s="6">
        <f>VLOOKUP(SH$22, 'BANDE S'!$G$3:$J$4, 3, FALSE)+ 10</f>
        <v>11.138</v>
      </c>
      <c r="SI60" s="6">
        <f>VLOOKUP(SI$22, 'BANDE S'!$G$3:$J$4, 3, FALSE)+ 10</f>
        <v>11.138</v>
      </c>
      <c r="SJ60" s="6">
        <f>VLOOKUP(SJ$22, 'BANDE S'!$G$3:$J$4, 3, FALSE)+ 10</f>
        <v>11.138</v>
      </c>
      <c r="SK60" s="6">
        <f>VLOOKUP(SK$22, 'BANDE S'!$G$3:$J$4, 3, FALSE)+ 10</f>
        <v>11.138</v>
      </c>
      <c r="SL60" s="6">
        <f>VLOOKUP(SL$22, 'BANDE S'!$G$3:$J$4, 3, FALSE)+ 10</f>
        <v>11.138</v>
      </c>
      <c r="SM60" s="6">
        <f>VLOOKUP(SM$22, 'BANDE S'!$G$3:$J$4, 3, FALSE)+ 10</f>
        <v>11.138</v>
      </c>
      <c r="SN60" s="6">
        <f>VLOOKUP(SN$22, 'BANDE S'!$G$3:$J$4, 3, FALSE)+ 10</f>
        <v>11.138</v>
      </c>
      <c r="SO60" s="6">
        <f>VLOOKUP(SO$22, 'BANDE S'!$G$3:$J$4, 3, FALSE)+ 10</f>
        <v>11.138</v>
      </c>
      <c r="SP60" s="6">
        <f>VLOOKUP(SP$22, 'BANDE S'!$G$3:$J$4, 3, FALSE)+ 10</f>
        <v>11.138</v>
      </c>
      <c r="SQ60" s="6">
        <f>VLOOKUP(SQ$22, 'BANDE S'!$G$3:$J$4, 3, FALSE)+ 10</f>
        <v>11.138</v>
      </c>
      <c r="SR60" s="6">
        <f>VLOOKUP(SR$22, 'BANDE S'!$G$3:$J$4, 3, FALSE)+ 10</f>
        <v>11.138</v>
      </c>
      <c r="SS60" s="6">
        <f>VLOOKUP(SS$22, 'BANDE S'!$G$3:$J$4, 3, FALSE)+ 10</f>
        <v>11.138</v>
      </c>
      <c r="ST60" s="6">
        <f>VLOOKUP(ST$22, 'BANDE S'!$G$3:$J$4, 3, FALSE)+ 10</f>
        <v>11.138</v>
      </c>
      <c r="SU60" s="6">
        <f>VLOOKUP(SU$22, 'BANDE S'!$G$3:$J$4, 3, FALSE)+ 10</f>
        <v>11.138</v>
      </c>
      <c r="SV60" s="6">
        <f>VLOOKUP(SV$22, 'BANDE S'!$G$3:$J$4, 3, FALSE)+ 10</f>
        <v>11.138</v>
      </c>
      <c r="SW60" s="6">
        <f>VLOOKUP(SW$22, 'BANDE S'!$G$3:$J$4, 3, FALSE)+ 10</f>
        <v>11.138</v>
      </c>
      <c r="SX60" s="6">
        <f>VLOOKUP(SX$22, 'BANDE S'!$G$3:$J$4, 3, FALSE)+ 10</f>
        <v>11.138</v>
      </c>
      <c r="SY60" s="6">
        <f>VLOOKUP(SY$22, 'BANDE S'!$G$3:$J$4, 3, FALSE)+ 10</f>
        <v>11.138</v>
      </c>
      <c r="SZ60" s="6">
        <f>VLOOKUP(SZ$22, 'BANDE S'!$G$3:$J$4, 3, FALSE)+ 10</f>
        <v>11.138</v>
      </c>
      <c r="TA60" s="6">
        <f>VLOOKUP(TA$22, 'BANDE S'!$G$3:$J$4, 3, FALSE)+ 10</f>
        <v>11.138</v>
      </c>
      <c r="TB60" s="6">
        <f>VLOOKUP(TB$22, 'BANDE S'!$G$3:$J$4, 3, FALSE)+ 10</f>
        <v>11.138</v>
      </c>
      <c r="TC60" s="6">
        <f>VLOOKUP(TC$22, 'BANDE S'!$G$3:$J$4, 3, FALSE)+ 10</f>
        <v>11.138</v>
      </c>
      <c r="TD60" s="6">
        <f>VLOOKUP(TD$22, 'BANDE S'!$G$3:$J$4, 3, FALSE)+ 10</f>
        <v>11.138</v>
      </c>
      <c r="TE60" s="6">
        <f>VLOOKUP(TE$22, 'BANDE S'!$G$3:$J$4, 3, FALSE)+ 10</f>
        <v>11.138</v>
      </c>
      <c r="TF60" s="6">
        <f>VLOOKUP(TF$22, 'BANDE S'!$G$3:$J$4, 3, FALSE)+ 10</f>
        <v>11.138</v>
      </c>
      <c r="TG60" s="6">
        <f>VLOOKUP(TG$22, 'BANDE S'!$G$3:$J$4, 3, FALSE)+ 10</f>
        <v>11.138</v>
      </c>
      <c r="TH60" s="6">
        <f>VLOOKUP(TH$22, 'BANDE S'!$G$3:$J$4, 3, FALSE)+ 10</f>
        <v>11.138</v>
      </c>
      <c r="TI60" s="6">
        <f>VLOOKUP(TI$22, 'BANDE S'!$G$3:$J$4, 3, FALSE)+ 10</f>
        <v>11.138</v>
      </c>
      <c r="TJ60" s="6">
        <f>VLOOKUP(TJ$22, 'BANDE S'!$G$3:$J$4, 3, FALSE)+ 10</f>
        <v>11.138</v>
      </c>
      <c r="TK60" s="6">
        <f>VLOOKUP(TK$22, 'BANDE S'!$G$3:$J$4, 3, FALSE)+ 10</f>
        <v>11.138</v>
      </c>
      <c r="TL60" s="6">
        <f>VLOOKUP(TL$22, 'BANDE S'!$G$3:$J$4, 3, FALSE)+ 10</f>
        <v>11.138</v>
      </c>
      <c r="TM60" s="6">
        <f>VLOOKUP(TM$22, 'BANDE S'!$G$3:$J$4, 3, FALSE)+ 10</f>
        <v>11.138</v>
      </c>
      <c r="TN60" s="6">
        <f>VLOOKUP(TN$22, 'BANDE S'!$G$3:$J$4, 3, FALSE)+ 10</f>
        <v>11.138</v>
      </c>
      <c r="TO60" s="6">
        <f>VLOOKUP(TO$22, 'BANDE S'!$G$3:$J$4, 3, FALSE)+ 10</f>
        <v>11.138</v>
      </c>
      <c r="TP60" s="6">
        <f>VLOOKUP(TP$22, 'BANDE S'!$G$3:$J$4, 3, FALSE)+ 10</f>
        <v>11.138</v>
      </c>
      <c r="TQ60" s="6">
        <f>VLOOKUP(TQ$22, 'BANDE S'!$G$3:$J$4, 3, FALSE)+ 10</f>
        <v>11.138</v>
      </c>
      <c r="TR60" s="6">
        <f>VLOOKUP(TR$22, 'BANDE S'!$G$3:$J$4, 3, FALSE)+ 10</f>
        <v>11.138</v>
      </c>
      <c r="TS60" s="6">
        <f>VLOOKUP(TS$22, 'BANDE S'!$G$3:$J$4, 3, FALSE)+ 10</f>
        <v>11.138</v>
      </c>
      <c r="TT60" s="6">
        <f>VLOOKUP(TT$22, 'BANDE S'!$G$3:$J$4, 3, FALSE)+ 10</f>
        <v>11.138</v>
      </c>
      <c r="TU60" s="6">
        <f>VLOOKUP(TU$22, 'BANDE S'!$G$3:$J$4, 3, FALSE)+ 10</f>
        <v>11.138</v>
      </c>
      <c r="TV60" s="6">
        <f>VLOOKUP(TV$22, 'BANDE S'!$G$3:$J$4, 3, FALSE)+ 10</f>
        <v>11.138</v>
      </c>
      <c r="TW60" s="6">
        <f>VLOOKUP(TW$22, 'BANDE S'!$G$3:$J$4, 3, FALSE)+ 10</f>
        <v>11.138</v>
      </c>
      <c r="TX60" s="6">
        <f>VLOOKUP(TX$22, 'BANDE S'!$G$3:$J$4, 3, FALSE)+ 10</f>
        <v>11.138</v>
      </c>
      <c r="TY60" s="6">
        <f>VLOOKUP(TY$22, 'BANDE S'!$G$3:$J$4, 3, FALSE)+ 10</f>
        <v>11.138</v>
      </c>
      <c r="TZ60" s="6">
        <f>VLOOKUP(TZ$22, 'BANDE S'!$G$3:$J$4, 3, FALSE)+ 10</f>
        <v>11.138</v>
      </c>
      <c r="UA60" s="6">
        <f>VLOOKUP(UA$22, 'BANDE S'!$G$3:$J$4, 3, FALSE)+ 10</f>
        <v>11.138</v>
      </c>
      <c r="UB60" s="6">
        <f>VLOOKUP(UB$22, 'BANDE S'!$G$3:$J$4, 3, FALSE)+ 10</f>
        <v>11.138</v>
      </c>
      <c r="UC60" s="6">
        <f>VLOOKUP(UC$22, 'BANDE S'!$G$3:$J$4, 3, FALSE)+ 10</f>
        <v>11.138</v>
      </c>
      <c r="UD60" s="6">
        <f>VLOOKUP(UD$22, 'BANDE S'!$G$3:$J$4, 3, FALSE)+ 10</f>
        <v>11.138</v>
      </c>
      <c r="UE60" s="6">
        <f>VLOOKUP(UE$22, 'BANDE S'!$G$3:$J$4, 3, FALSE)+ 10</f>
        <v>11.138</v>
      </c>
      <c r="UF60" s="6">
        <f>VLOOKUP(UF$22, 'BANDE S'!$G$3:$J$4, 3, FALSE)+ 10</f>
        <v>11.138</v>
      </c>
      <c r="UG60" s="6">
        <f>VLOOKUP(UG$22, 'BANDE S'!$G$3:$J$4, 3, FALSE)+ 10</f>
        <v>11.138</v>
      </c>
      <c r="UH60" s="6">
        <f>VLOOKUP(UH$22, 'BANDE S'!$G$3:$J$4, 3, FALSE)+ 10</f>
        <v>11.138</v>
      </c>
      <c r="UI60" s="6">
        <f>VLOOKUP(UI$22, 'BANDE S'!$G$3:$J$4, 3, FALSE)+ 10</f>
        <v>11.138</v>
      </c>
      <c r="UJ60" s="6">
        <f>VLOOKUP(UJ$22, 'BANDE S'!$G$3:$J$4, 3, FALSE)+ 10</f>
        <v>11.138</v>
      </c>
      <c r="UK60" s="6">
        <f>VLOOKUP(UK$22, 'BANDE S'!$G$3:$J$4, 3, FALSE)+ 10</f>
        <v>11.138</v>
      </c>
      <c r="UL60" s="6">
        <f>VLOOKUP(UL$22, 'BANDE S'!$G$3:$J$4, 3, FALSE)+ 10</f>
        <v>11.138</v>
      </c>
      <c r="UM60" s="6">
        <f>VLOOKUP(UM$22, 'BANDE S'!$G$3:$J$4, 3, FALSE)+ 10</f>
        <v>11.138</v>
      </c>
      <c r="UN60" s="6">
        <f>VLOOKUP(UN$22, 'BANDE S'!$G$3:$J$4, 3, FALSE)+ 10</f>
        <v>11.138</v>
      </c>
      <c r="UO60" s="6">
        <f>VLOOKUP(UO$22, 'BANDE S'!$G$3:$J$4, 3, FALSE)+ 10</f>
        <v>11.138</v>
      </c>
      <c r="UP60" s="6">
        <f>VLOOKUP(UP$22, 'BANDE S'!$G$3:$J$4, 3, FALSE)+ 10</f>
        <v>11.138</v>
      </c>
      <c r="UQ60" s="6">
        <f>VLOOKUP(UQ$22, 'BANDE S'!$G$3:$J$4, 3, FALSE)+ 10</f>
        <v>11.138</v>
      </c>
      <c r="UR60" s="6">
        <f>VLOOKUP(UR$22, 'BANDE S'!$G$3:$J$4, 3, FALSE)+ 10</f>
        <v>11.138</v>
      </c>
      <c r="US60" s="6">
        <f>VLOOKUP(US$22, 'BANDE S'!$G$3:$J$4, 3, FALSE)+ 10</f>
        <v>11.138</v>
      </c>
      <c r="UT60" s="6">
        <f>VLOOKUP(UT$22, 'BANDE S'!$G$3:$J$4, 3, FALSE)+ 10</f>
        <v>20.158000000000001</v>
      </c>
      <c r="UU60" s="6">
        <f>VLOOKUP(UU$22, 'BANDE S'!$G$3:$J$4, 3, FALSE)+ 10</f>
        <v>20.158000000000001</v>
      </c>
      <c r="UV60" s="6">
        <f>VLOOKUP(UV$22, 'BANDE S'!$G$3:$J$4, 3, FALSE)+ 10</f>
        <v>20.158000000000001</v>
      </c>
      <c r="UW60" s="6">
        <f>VLOOKUP(UW$22, 'BANDE S'!$G$3:$J$4, 3, FALSE)+ 10</f>
        <v>11.138</v>
      </c>
      <c r="UX60" s="6">
        <f>VLOOKUP(UX$22, 'BANDE S'!$G$3:$J$4, 3, FALSE)+ 10</f>
        <v>11.138</v>
      </c>
      <c r="UY60" s="6">
        <f>VLOOKUP(UY$22, 'BANDE S'!$G$3:$J$4, 3, FALSE)+ 10</f>
        <v>11.138</v>
      </c>
      <c r="UZ60" s="6">
        <f>VLOOKUP(UZ$22, 'BANDE S'!$G$3:$J$4, 3, FALSE)+ 10</f>
        <v>11.138</v>
      </c>
      <c r="VA60" s="6">
        <f>VLOOKUP(VA$22, 'BANDE S'!$G$3:$J$4, 3, FALSE)+ 10</f>
        <v>11.138</v>
      </c>
      <c r="VB60" s="6">
        <f>VLOOKUP(VB$22, 'BANDE S'!$G$3:$J$4, 3, FALSE)+ 10</f>
        <v>11.138</v>
      </c>
      <c r="VC60" s="6">
        <f>VLOOKUP(VC$22, 'BANDE S'!$G$3:$J$4, 3, FALSE)+ 10</f>
        <v>11.138</v>
      </c>
      <c r="VD60" s="6">
        <f>VLOOKUP(VD$22, 'BANDE S'!$G$3:$J$4, 3, FALSE)+ 10</f>
        <v>11.138</v>
      </c>
      <c r="VE60" s="6">
        <f>VLOOKUP(VE$22, 'BANDE S'!$G$3:$J$4, 3, FALSE)+ 10</f>
        <v>11.138</v>
      </c>
      <c r="VF60" s="6">
        <f>VLOOKUP(VF$22, 'BANDE S'!$G$3:$J$4, 3, FALSE)+ 10</f>
        <v>11.138</v>
      </c>
      <c r="VG60" s="6">
        <f>VLOOKUP(VG$22, 'BANDE S'!$G$3:$J$4, 3, FALSE)+ 10</f>
        <v>11.138</v>
      </c>
      <c r="VH60" s="6">
        <f>VLOOKUP(VH$22, 'BANDE S'!$G$3:$J$4, 3, FALSE)+ 10</f>
        <v>11.138</v>
      </c>
      <c r="VI60" s="6">
        <f>VLOOKUP(VI$22, 'BANDE S'!$G$3:$J$4, 3, FALSE)+ 10</f>
        <v>11.138</v>
      </c>
      <c r="VJ60" s="6">
        <f>VLOOKUP(VJ$22, 'BANDE S'!$G$3:$J$4, 3, FALSE)+ 10</f>
        <v>11.138</v>
      </c>
      <c r="VK60" s="6">
        <f>VLOOKUP(VK$22, 'BANDE S'!$G$3:$J$4, 3, FALSE)+ 10</f>
        <v>11.138</v>
      </c>
      <c r="VL60" s="6">
        <f>VLOOKUP(VL$22, 'BANDE S'!$G$3:$J$4, 3, FALSE)+ 10</f>
        <v>11.138</v>
      </c>
      <c r="VM60" s="6">
        <f>VLOOKUP(VM$22, 'BANDE S'!$G$3:$J$4, 3, FALSE)+ 10</f>
        <v>11.138</v>
      </c>
      <c r="VN60" s="6">
        <f>VLOOKUP(VN$22, 'BANDE S'!$G$3:$J$4, 3, FALSE)+ 10</f>
        <v>11.138</v>
      </c>
      <c r="VO60" s="6">
        <f>VLOOKUP(VO$22, 'BANDE S'!$G$3:$J$4, 3, FALSE)+ 10</f>
        <v>11.138</v>
      </c>
      <c r="VP60" s="6">
        <f>VLOOKUP(VP$22, 'BANDE S'!$G$3:$J$4, 3, FALSE)+ 10</f>
        <v>11.138</v>
      </c>
      <c r="VQ60" s="6">
        <f>VLOOKUP(VQ$22, 'BANDE S'!$G$3:$J$4, 3, FALSE)+ 10</f>
        <v>11.138</v>
      </c>
      <c r="VR60" s="6">
        <f>VLOOKUP(VR$22, 'BANDE S'!$G$3:$J$4, 3, FALSE)+ 10</f>
        <v>11.138</v>
      </c>
      <c r="VS60" s="6">
        <f>VLOOKUP(VS$22, 'BANDE S'!$G$3:$J$4, 3, FALSE)+ 10</f>
        <v>11.138</v>
      </c>
      <c r="VT60" s="6">
        <f>VLOOKUP(VT$22, 'BANDE S'!$G$3:$J$4, 3, FALSE)+ 10</f>
        <v>11.138</v>
      </c>
      <c r="VU60" s="6">
        <f>VLOOKUP(VU$22, 'BANDE S'!$G$3:$J$4, 3, FALSE)+ 10</f>
        <v>11.138</v>
      </c>
      <c r="VV60" s="6">
        <f>VLOOKUP(VV$22, 'BANDE S'!$G$3:$J$4, 3, FALSE)+ 10</f>
        <v>11.138</v>
      </c>
      <c r="VW60" s="6">
        <f>VLOOKUP(VW$22, 'BANDE S'!$G$3:$J$4, 3, FALSE)+ 10</f>
        <v>11.138</v>
      </c>
      <c r="VX60" s="6">
        <f>VLOOKUP(VX$22, 'BANDE S'!$G$3:$J$4, 3, FALSE)+ 10</f>
        <v>11.138</v>
      </c>
      <c r="VY60" s="6">
        <f>VLOOKUP(VY$22, 'BANDE S'!$G$3:$J$4, 3, FALSE)+ 10</f>
        <v>11.138</v>
      </c>
      <c r="VZ60" s="6">
        <f>VLOOKUP(VZ$22, 'BANDE S'!$G$3:$J$4, 3, FALSE)+ 10</f>
        <v>11.138</v>
      </c>
      <c r="WA60" s="6">
        <f>VLOOKUP(WA$22, 'BANDE S'!$G$3:$J$4, 3, FALSE)+ 10</f>
        <v>11.138</v>
      </c>
      <c r="WB60" s="6">
        <f>VLOOKUP(WB$22, 'BANDE S'!$G$3:$J$4, 3, FALSE)+ 10</f>
        <v>11.138</v>
      </c>
      <c r="WC60" s="6">
        <f>VLOOKUP(WC$22, 'BANDE S'!$G$3:$J$4, 3, FALSE)+ 10</f>
        <v>11.138</v>
      </c>
      <c r="WD60" s="6">
        <f>VLOOKUP(WD$22, 'BANDE S'!$G$3:$J$4, 3, FALSE)+ 10</f>
        <v>11.138</v>
      </c>
      <c r="WE60" s="6">
        <f>VLOOKUP(WE$22, 'BANDE S'!$G$3:$J$4, 3, FALSE)+ 10</f>
        <v>11.138</v>
      </c>
      <c r="WF60" s="6">
        <f>VLOOKUP(WF$22, 'BANDE S'!$G$3:$J$4, 3, FALSE)+ 10</f>
        <v>11.138</v>
      </c>
      <c r="WG60" s="6">
        <f>VLOOKUP(WG$22, 'BANDE S'!$G$3:$J$4, 3, FALSE)+ 10</f>
        <v>11.138</v>
      </c>
      <c r="WH60" s="6">
        <f>VLOOKUP(WH$22, 'BANDE S'!$G$3:$J$4, 3, FALSE)+ 10</f>
        <v>11.138</v>
      </c>
      <c r="WI60" s="6">
        <f>VLOOKUP(WI$22, 'BANDE S'!$G$3:$J$4, 3, FALSE)+ 10</f>
        <v>11.138</v>
      </c>
      <c r="WJ60" s="6">
        <f>VLOOKUP(WJ$22, 'BANDE S'!$G$3:$J$4, 3, FALSE)+ 10</f>
        <v>11.138</v>
      </c>
      <c r="WK60" s="6">
        <f>VLOOKUP(WK$22, 'BANDE S'!$G$3:$J$4, 3, FALSE)+ 10</f>
        <v>11.138</v>
      </c>
      <c r="WL60" s="6">
        <f>VLOOKUP(WL$22, 'BANDE S'!$G$3:$J$4, 3, FALSE)+ 10</f>
        <v>11.138</v>
      </c>
      <c r="WM60" s="6">
        <f>VLOOKUP(WM$22, 'BANDE S'!$G$3:$J$4, 3, FALSE)+ 10</f>
        <v>11.138</v>
      </c>
      <c r="WN60" s="6">
        <f>VLOOKUP(WN$22, 'BANDE S'!$G$3:$J$4, 3, FALSE)+ 10</f>
        <v>11.138</v>
      </c>
      <c r="WO60" s="6">
        <f>VLOOKUP(WO$22, 'BANDE S'!$G$3:$J$4, 3, FALSE)+ 10</f>
        <v>11.138</v>
      </c>
      <c r="WP60" s="6">
        <f>VLOOKUP(WP$22, 'BANDE S'!$G$3:$J$4, 3, FALSE)+ 10</f>
        <v>11.138</v>
      </c>
      <c r="WQ60" s="6">
        <f>VLOOKUP(WQ$22, 'BANDE S'!$G$3:$J$4, 3, FALSE)+ 10</f>
        <v>11.138</v>
      </c>
      <c r="WR60" s="6">
        <f>VLOOKUP(WR$22, 'BANDE S'!$G$3:$J$4, 3, FALSE)+ 10</f>
        <v>11.138</v>
      </c>
      <c r="WS60" s="6">
        <f>VLOOKUP(WS$22, 'BANDE S'!$G$3:$J$4, 3, FALSE)+ 10</f>
        <v>11.138</v>
      </c>
      <c r="WT60" s="6">
        <f>VLOOKUP(WT$22, 'BANDE S'!$G$3:$J$4, 3, FALSE)+ 10</f>
        <v>11.138</v>
      </c>
      <c r="WU60" s="6">
        <f>VLOOKUP(WU$22, 'BANDE S'!$G$3:$J$4, 3, FALSE)+ 10</f>
        <v>11.138</v>
      </c>
      <c r="WV60" s="6">
        <f>VLOOKUP(WV$22, 'BANDE S'!$G$3:$J$4, 3, FALSE)+ 10</f>
        <v>11.138</v>
      </c>
      <c r="WW60" s="6">
        <f>VLOOKUP(WW$22, 'BANDE S'!$G$3:$J$4, 3, FALSE)+ 10</f>
        <v>11.138</v>
      </c>
      <c r="WX60" s="6">
        <f>VLOOKUP(WX$22, 'BANDE S'!$G$3:$J$4, 3, FALSE)+ 10</f>
        <v>11.138</v>
      </c>
      <c r="WY60" s="6">
        <f>VLOOKUP(WY$22, 'BANDE S'!$G$3:$J$4, 3, FALSE)+ 10</f>
        <v>11.138</v>
      </c>
      <c r="WZ60" s="6">
        <f>VLOOKUP(WZ$22, 'BANDE S'!$G$3:$J$4, 3, FALSE)+ 10</f>
        <v>11.138</v>
      </c>
      <c r="XA60" s="6">
        <f>VLOOKUP(XA$22, 'BANDE S'!$G$3:$J$4, 3, FALSE)+ 10</f>
        <v>11.138</v>
      </c>
      <c r="XB60" s="6">
        <f>VLOOKUP(XB$22, 'BANDE S'!$G$3:$J$4, 3, FALSE)+ 10</f>
        <v>11.138</v>
      </c>
      <c r="XC60" s="6">
        <f>VLOOKUP(XC$22, 'BANDE S'!$G$3:$J$4, 3, FALSE)+ 10</f>
        <v>11.138</v>
      </c>
      <c r="XD60" s="6">
        <f>VLOOKUP(XD$22, 'BANDE S'!$G$3:$J$4, 3, FALSE)+ 10</f>
        <v>20.158000000000001</v>
      </c>
      <c r="XE60" s="6">
        <f>VLOOKUP(XE$22, 'BANDE S'!$G$3:$J$4, 3, FALSE)+ 10</f>
        <v>20.158000000000001</v>
      </c>
      <c r="XF60" s="6">
        <f>VLOOKUP(XF$22, 'BANDE S'!$G$3:$J$4, 3, FALSE)+ 10</f>
        <v>20.158000000000001</v>
      </c>
      <c r="XG60" s="6">
        <f>VLOOKUP(XG$22, 'BANDE S'!$G$3:$J$4, 3, FALSE)+ 10</f>
        <v>11.138</v>
      </c>
      <c r="XH60" s="6">
        <f>VLOOKUP(XH$22, 'BANDE S'!$G$3:$J$4, 3, FALSE)+ 10</f>
        <v>11.138</v>
      </c>
      <c r="XI60" s="6">
        <f>VLOOKUP(XI$22, 'BANDE S'!$G$3:$J$4, 3, FALSE)+ 10</f>
        <v>11.138</v>
      </c>
      <c r="XJ60" s="6">
        <f>VLOOKUP(XJ$22, 'BANDE S'!$G$3:$J$4, 3, FALSE)+ 10</f>
        <v>11.138</v>
      </c>
      <c r="XK60" s="6">
        <f>VLOOKUP(XK$22, 'BANDE S'!$G$3:$J$4, 3, FALSE)+ 10</f>
        <v>11.138</v>
      </c>
      <c r="XL60" s="6">
        <f>VLOOKUP(XL$22, 'BANDE S'!$G$3:$J$4, 3, FALSE)+ 10</f>
        <v>11.138</v>
      </c>
      <c r="XM60" s="6">
        <f>VLOOKUP(XM$22, 'BANDE S'!$G$3:$J$4, 3, FALSE)+ 10</f>
        <v>11.138</v>
      </c>
      <c r="XN60" s="6">
        <f>VLOOKUP(XN$22, 'BANDE S'!$G$3:$J$4, 3, FALSE)+ 10</f>
        <v>11.138</v>
      </c>
      <c r="XO60" s="6">
        <f>VLOOKUP(XO$22, 'BANDE S'!$G$3:$J$4, 3, FALSE)+ 10</f>
        <v>11.138</v>
      </c>
      <c r="XP60" s="6">
        <f>VLOOKUP(XP$22, 'BANDE S'!$G$3:$J$4, 3, FALSE)+ 10</f>
        <v>11.138</v>
      </c>
      <c r="XQ60" s="6">
        <f>VLOOKUP(XQ$22, 'BANDE S'!$G$3:$J$4, 3, FALSE)+ 10</f>
        <v>11.138</v>
      </c>
      <c r="XR60" s="6">
        <f>VLOOKUP(XR$22, 'BANDE S'!$G$3:$J$4, 3, FALSE)+ 10</f>
        <v>11.138</v>
      </c>
      <c r="XS60" s="6">
        <f>VLOOKUP(XS$22, 'BANDE S'!$G$3:$J$4, 3, FALSE)+ 10</f>
        <v>11.138</v>
      </c>
      <c r="XT60" s="6">
        <f>VLOOKUP(XT$22, 'BANDE S'!$G$3:$J$4, 3, FALSE)+ 10</f>
        <v>11.138</v>
      </c>
      <c r="XU60" s="6">
        <f>VLOOKUP(XU$22, 'BANDE S'!$G$3:$J$4, 3, FALSE)+ 10</f>
        <v>11.138</v>
      </c>
      <c r="XV60" s="6">
        <f>VLOOKUP(XV$22, 'BANDE S'!$G$3:$J$4, 3, FALSE)+ 10</f>
        <v>11.138</v>
      </c>
      <c r="XW60" s="6">
        <f>VLOOKUP(XW$22, 'BANDE S'!$G$3:$J$4, 3, FALSE)+ 10</f>
        <v>11.138</v>
      </c>
      <c r="XX60" s="6">
        <f>VLOOKUP(XX$22, 'BANDE S'!$G$3:$J$4, 3, FALSE)+ 10</f>
        <v>11.138</v>
      </c>
      <c r="XY60" s="6">
        <f>VLOOKUP(XY$22, 'BANDE S'!$G$3:$J$4, 3, FALSE)+ 10</f>
        <v>11.138</v>
      </c>
      <c r="XZ60" s="6">
        <f>VLOOKUP(XZ$22, 'BANDE S'!$G$3:$J$4, 3, FALSE)+ 10</f>
        <v>11.138</v>
      </c>
      <c r="YA60" s="6">
        <f>VLOOKUP(YA$22, 'BANDE S'!$G$3:$J$4, 3, FALSE)+ 10</f>
        <v>11.138</v>
      </c>
      <c r="YB60" s="6">
        <f>VLOOKUP(YB$22, 'BANDE S'!$G$3:$J$4, 3, FALSE)+ 10</f>
        <v>11.138</v>
      </c>
      <c r="YC60" s="6">
        <f>VLOOKUP(YC$22, 'BANDE S'!$G$3:$J$4, 3, FALSE)+ 10</f>
        <v>11.138</v>
      </c>
      <c r="YD60" s="6">
        <f>VLOOKUP(YD$22, 'BANDE S'!$G$3:$J$4, 3, FALSE)+ 10</f>
        <v>11.138</v>
      </c>
      <c r="YE60" s="6">
        <f>VLOOKUP(YE$22, 'BANDE S'!$G$3:$J$4, 3, FALSE)+ 10</f>
        <v>11.138</v>
      </c>
      <c r="YF60" s="6">
        <f>VLOOKUP(YF$22, 'BANDE S'!$G$3:$J$4, 3, FALSE)+ 10</f>
        <v>11.138</v>
      </c>
      <c r="YG60" s="6">
        <f>VLOOKUP(YG$22, 'BANDE S'!$G$3:$J$4, 3, FALSE)+ 10</f>
        <v>11.138</v>
      </c>
      <c r="YH60" s="6">
        <f>VLOOKUP(YH$22, 'BANDE S'!$G$3:$J$4, 3, FALSE)+ 10</f>
        <v>11.138</v>
      </c>
      <c r="YI60" s="6">
        <f>VLOOKUP(YI$22, 'BANDE S'!$G$3:$J$4, 3, FALSE)+ 10</f>
        <v>11.138</v>
      </c>
      <c r="YJ60" s="6">
        <f>VLOOKUP(YJ$22, 'BANDE S'!$G$3:$J$4, 3, FALSE)+ 10</f>
        <v>11.138</v>
      </c>
      <c r="YK60" s="6">
        <f>VLOOKUP(YK$22, 'BANDE S'!$G$3:$J$4, 3, FALSE)+ 10</f>
        <v>11.138</v>
      </c>
      <c r="YL60" s="6">
        <f>VLOOKUP(YL$22, 'BANDE S'!$G$3:$J$4, 3, FALSE)+ 10</f>
        <v>11.138</v>
      </c>
      <c r="YM60" s="6">
        <f>VLOOKUP(YM$22, 'BANDE S'!$G$3:$J$4, 3, FALSE)+ 10</f>
        <v>11.138</v>
      </c>
      <c r="YN60" s="6">
        <f>VLOOKUP(YN$22, 'BANDE S'!$G$3:$J$4, 3, FALSE)+ 10</f>
        <v>11.138</v>
      </c>
      <c r="YO60" s="6">
        <f>VLOOKUP(YO$22, 'BANDE S'!$G$3:$J$4, 3, FALSE)+ 10</f>
        <v>11.138</v>
      </c>
      <c r="YP60" s="6">
        <f>VLOOKUP(YP$22, 'BANDE S'!$G$3:$J$4, 3, FALSE)+ 10</f>
        <v>11.138</v>
      </c>
      <c r="YQ60" s="6">
        <f>VLOOKUP(YQ$22, 'BANDE S'!$G$3:$J$4, 3, FALSE)+ 10</f>
        <v>11.138</v>
      </c>
      <c r="YR60" s="6">
        <f>VLOOKUP(YR$22, 'BANDE S'!$G$3:$J$4, 3, FALSE)+ 10</f>
        <v>11.138</v>
      </c>
      <c r="YS60" s="6">
        <f>VLOOKUP(YS$22, 'BANDE S'!$G$3:$J$4, 3, FALSE)+ 10</f>
        <v>11.138</v>
      </c>
      <c r="YT60" s="6">
        <f>VLOOKUP(YT$22, 'BANDE S'!$G$3:$J$4, 3, FALSE)+ 10</f>
        <v>11.138</v>
      </c>
      <c r="YU60" s="6">
        <f>VLOOKUP(YU$22, 'BANDE S'!$G$3:$J$4, 3, FALSE)+ 10</f>
        <v>11.138</v>
      </c>
      <c r="YV60" s="6">
        <f>VLOOKUP(YV$22, 'BANDE S'!$G$3:$J$4, 3, FALSE)+ 10</f>
        <v>11.138</v>
      </c>
      <c r="YW60" s="6">
        <f>VLOOKUP(YW$22, 'BANDE S'!$G$3:$J$4, 3, FALSE)+ 10</f>
        <v>11.138</v>
      </c>
      <c r="YX60" s="6">
        <f>VLOOKUP(YX$22, 'BANDE S'!$G$3:$J$4, 3, FALSE)+ 10</f>
        <v>11.138</v>
      </c>
      <c r="YY60" s="6">
        <f>VLOOKUP(YY$22, 'BANDE S'!$G$3:$J$4, 3, FALSE)+ 10</f>
        <v>11.138</v>
      </c>
      <c r="YZ60" s="6">
        <f>VLOOKUP(YZ$22, 'BANDE S'!$G$3:$J$4, 3, FALSE)+ 10</f>
        <v>11.138</v>
      </c>
      <c r="ZA60" s="6">
        <f>VLOOKUP(ZA$22, 'BANDE S'!$G$3:$J$4, 3, FALSE)+ 10</f>
        <v>11.138</v>
      </c>
      <c r="ZB60" s="6">
        <f>VLOOKUP(ZB$22, 'BANDE S'!$G$3:$J$4, 3, FALSE)+ 10</f>
        <v>11.138</v>
      </c>
      <c r="ZC60" s="6">
        <f>VLOOKUP(ZC$22, 'BANDE S'!$G$3:$J$4, 3, FALSE)+ 10</f>
        <v>11.138</v>
      </c>
      <c r="ZD60" s="6">
        <f>VLOOKUP(ZD$22, 'BANDE S'!$G$3:$J$4, 3, FALSE)+ 10</f>
        <v>11.138</v>
      </c>
      <c r="ZE60" s="6">
        <f>VLOOKUP(ZE$22, 'BANDE S'!$G$3:$J$4, 3, FALSE)+ 10</f>
        <v>11.138</v>
      </c>
      <c r="ZF60" s="6">
        <f>VLOOKUP(ZF$22, 'BANDE S'!$G$3:$J$4, 3, FALSE)+ 10</f>
        <v>11.138</v>
      </c>
      <c r="ZG60" s="6">
        <f>VLOOKUP(ZG$22, 'BANDE S'!$G$3:$J$4, 3, FALSE)+ 10</f>
        <v>11.138</v>
      </c>
      <c r="ZH60" s="6">
        <f>VLOOKUP(ZH$22, 'BANDE S'!$G$3:$J$4, 3, FALSE)+ 10</f>
        <v>11.138</v>
      </c>
      <c r="ZI60" s="6">
        <f>VLOOKUP(ZI$22, 'BANDE S'!$G$3:$J$4, 3, FALSE)+ 10</f>
        <v>11.138</v>
      </c>
      <c r="ZJ60" s="6">
        <f>VLOOKUP(ZJ$22, 'BANDE S'!$G$3:$J$4, 3, FALSE)+ 10</f>
        <v>11.138</v>
      </c>
      <c r="ZK60" s="6">
        <f>VLOOKUP(ZK$22, 'BANDE S'!$G$3:$J$4, 3, FALSE)+ 10</f>
        <v>11.138</v>
      </c>
      <c r="ZL60" s="6">
        <f>VLOOKUP(ZL$22, 'BANDE S'!$G$3:$J$4, 3, FALSE)+ 10</f>
        <v>11.138</v>
      </c>
      <c r="ZM60" s="6">
        <f>VLOOKUP(ZM$22, 'BANDE S'!$G$3:$J$4, 3, FALSE)+ 10</f>
        <v>11.138</v>
      </c>
      <c r="ZN60" s="6">
        <f>VLOOKUP(ZN$22, 'BANDE S'!$G$3:$J$4, 3, FALSE)+ 10</f>
        <v>11.138</v>
      </c>
      <c r="ZO60" s="6">
        <f>VLOOKUP(ZO$22, 'BANDE S'!$G$3:$J$4, 3, FALSE)+ 10</f>
        <v>11.138</v>
      </c>
      <c r="ZP60" s="6">
        <f>VLOOKUP(ZP$22, 'BANDE S'!$G$3:$J$4, 3, FALSE)+ 10</f>
        <v>11.138</v>
      </c>
      <c r="ZQ60" s="6">
        <f>VLOOKUP(ZQ$22, 'BANDE S'!$G$3:$J$4, 3, FALSE)+ 10</f>
        <v>11.138</v>
      </c>
      <c r="ZR60" s="6">
        <f>VLOOKUP(ZR$22, 'BANDE S'!$G$3:$J$4, 3, FALSE)+ 10</f>
        <v>11.138</v>
      </c>
      <c r="ZS60" s="6">
        <f>VLOOKUP(ZS$22, 'BANDE S'!$G$3:$J$4, 3, FALSE)+ 10</f>
        <v>11.138</v>
      </c>
      <c r="ZT60" s="6">
        <f>VLOOKUP(ZT$22, 'BANDE S'!$G$3:$J$4, 3, FALSE)+ 10</f>
        <v>11.138</v>
      </c>
      <c r="ZU60" s="6">
        <f>VLOOKUP(ZU$22, 'BANDE S'!$G$3:$J$4, 3, FALSE)+ 10</f>
        <v>11.138</v>
      </c>
      <c r="ZV60" s="6">
        <f>VLOOKUP(ZV$22, 'BANDE S'!$G$3:$J$4, 3, FALSE)+ 10</f>
        <v>11.138</v>
      </c>
      <c r="ZW60" s="6">
        <f>VLOOKUP(ZW$22, 'BANDE S'!$G$3:$J$4, 3, FALSE)+ 10</f>
        <v>11.138</v>
      </c>
      <c r="ZX60" s="6">
        <f>VLOOKUP(ZX$22, 'BANDE S'!$G$3:$J$4, 3, FALSE)+ 10</f>
        <v>11.138</v>
      </c>
      <c r="ZY60" s="6">
        <f>VLOOKUP(ZY$22, 'BANDE S'!$G$3:$J$4, 3, FALSE)+ 10</f>
        <v>11.138</v>
      </c>
      <c r="ZZ60" s="6">
        <f>VLOOKUP(ZZ$22, 'BANDE S'!$G$3:$J$4, 3, FALSE)+ 10</f>
        <v>11.138</v>
      </c>
      <c r="AAA60" s="6">
        <f>VLOOKUP(AAA$22, 'BANDE S'!$G$3:$J$4, 3, FALSE)+ 10</f>
        <v>11.138</v>
      </c>
      <c r="AAB60" s="6">
        <f>VLOOKUP(AAB$22, 'BANDE S'!$G$3:$J$4, 3, FALSE)+ 10</f>
        <v>11.138</v>
      </c>
      <c r="AAC60" s="6">
        <f>VLOOKUP(AAC$22, 'BANDE S'!$G$3:$J$4, 3, FALSE)+ 10</f>
        <v>11.138</v>
      </c>
      <c r="AAD60" s="6">
        <f>VLOOKUP(AAD$22, 'BANDE S'!$G$3:$J$4, 3, FALSE)+ 10</f>
        <v>11.138</v>
      </c>
      <c r="AAE60" s="6">
        <f>VLOOKUP(AAE$22, 'BANDE S'!$G$3:$J$4, 3, FALSE)+ 10</f>
        <v>11.138</v>
      </c>
      <c r="AAF60" s="6">
        <f>VLOOKUP(AAF$22, 'BANDE S'!$G$3:$J$4, 3, FALSE)+ 10</f>
        <v>11.138</v>
      </c>
      <c r="AAG60" s="6">
        <f>VLOOKUP(AAG$22, 'BANDE S'!$G$3:$J$4, 3, FALSE)+ 10</f>
        <v>11.138</v>
      </c>
      <c r="AAH60" s="6">
        <f>VLOOKUP(AAH$22, 'BANDE S'!$G$3:$J$4, 3, FALSE)+ 10</f>
        <v>20.158000000000001</v>
      </c>
      <c r="AAI60" s="6">
        <f>VLOOKUP(AAI$22, 'BANDE S'!$G$3:$J$4, 3, FALSE)+ 10</f>
        <v>20.158000000000001</v>
      </c>
      <c r="AAJ60" s="6">
        <f>VLOOKUP(AAJ$22, 'BANDE S'!$G$3:$J$4, 3, FALSE)+ 10</f>
        <v>20.158000000000001</v>
      </c>
      <c r="AAK60" s="6">
        <f>VLOOKUP(AAK$22, 'BANDE S'!$G$3:$J$4, 3, FALSE)+ 10</f>
        <v>11.138</v>
      </c>
      <c r="AAL60" s="6">
        <f>VLOOKUP(AAL$22, 'BANDE S'!$G$3:$J$4, 3, FALSE)+ 10</f>
        <v>11.138</v>
      </c>
      <c r="AAM60" s="6">
        <f>VLOOKUP(AAM$22, 'BANDE S'!$G$3:$J$4, 3, FALSE)+ 10</f>
        <v>11.138</v>
      </c>
      <c r="AAN60" s="6">
        <f>VLOOKUP(AAN$22, 'BANDE S'!$G$3:$J$4, 3, FALSE)+ 10</f>
        <v>11.138</v>
      </c>
      <c r="AAO60" s="6">
        <f>VLOOKUP(AAO$22, 'BANDE S'!$G$3:$J$4, 3, FALSE)+ 10</f>
        <v>11.138</v>
      </c>
      <c r="AAP60" s="6">
        <f>VLOOKUP(AAP$22, 'BANDE S'!$G$3:$J$4, 3, FALSE)+ 10</f>
        <v>11.138</v>
      </c>
      <c r="AAQ60" s="6">
        <f>VLOOKUP(AAQ$22, 'BANDE S'!$G$3:$J$4, 3, FALSE)+ 10</f>
        <v>11.138</v>
      </c>
      <c r="AAR60" s="6">
        <f>VLOOKUP(AAR$22, 'BANDE S'!$G$3:$J$4, 3, FALSE)+ 10</f>
        <v>11.138</v>
      </c>
      <c r="AAS60" s="6">
        <f>VLOOKUP(AAS$22, 'BANDE S'!$G$3:$J$4, 3, FALSE)+ 10</f>
        <v>11.138</v>
      </c>
      <c r="AAT60" s="6">
        <f>VLOOKUP(AAT$22, 'BANDE S'!$G$3:$J$4, 3, FALSE)+ 10</f>
        <v>11.138</v>
      </c>
      <c r="AAU60" s="6">
        <f>VLOOKUP(AAU$22, 'BANDE S'!$G$3:$J$4, 3, FALSE)+ 10</f>
        <v>11.138</v>
      </c>
      <c r="AAV60" s="6">
        <f>VLOOKUP(AAV$22, 'BANDE S'!$G$3:$J$4, 3, FALSE)+ 10</f>
        <v>11.138</v>
      </c>
      <c r="AAW60" s="6">
        <f>VLOOKUP(AAW$22, 'BANDE S'!$G$3:$J$4, 3, FALSE)+ 10</f>
        <v>11.138</v>
      </c>
      <c r="AAX60" s="6">
        <f>VLOOKUP(AAX$22, 'BANDE S'!$G$3:$J$4, 3, FALSE)+ 10</f>
        <v>11.138</v>
      </c>
      <c r="AAY60" s="6">
        <f>VLOOKUP(AAY$22, 'BANDE S'!$G$3:$J$4, 3, FALSE)+ 10</f>
        <v>11.138</v>
      </c>
      <c r="AAZ60" s="6">
        <f>VLOOKUP(AAZ$22, 'BANDE S'!$G$3:$J$4, 3, FALSE)+ 10</f>
        <v>11.138</v>
      </c>
      <c r="ABA60" s="6">
        <f>VLOOKUP(ABA$22, 'BANDE S'!$G$3:$J$4, 3, FALSE)+ 10</f>
        <v>11.138</v>
      </c>
      <c r="ABB60" s="6">
        <f>VLOOKUP(ABB$22, 'BANDE S'!$G$3:$J$4, 3, FALSE)+ 10</f>
        <v>11.138</v>
      </c>
      <c r="ABC60" s="6">
        <f>VLOOKUP(ABC$22, 'BANDE S'!$G$3:$J$4, 3, FALSE)+ 10</f>
        <v>11.138</v>
      </c>
      <c r="ABD60" s="6">
        <f>VLOOKUP(ABD$22, 'BANDE S'!$G$3:$J$4, 3, FALSE)+ 10</f>
        <v>11.138</v>
      </c>
      <c r="ABE60" s="6">
        <f>VLOOKUP(ABE$22, 'BANDE S'!$G$3:$J$4, 3, FALSE)+ 10</f>
        <v>11.138</v>
      </c>
      <c r="ABF60" s="6">
        <f>VLOOKUP(ABF$22, 'BANDE S'!$G$3:$J$4, 3, FALSE)+ 10</f>
        <v>11.138</v>
      </c>
      <c r="ABG60" s="6">
        <f>VLOOKUP(ABG$22, 'BANDE S'!$G$3:$J$4, 3, FALSE)+ 10</f>
        <v>11.138</v>
      </c>
      <c r="ABH60" s="6">
        <f>VLOOKUP(ABH$22, 'BANDE S'!$G$3:$J$4, 3, FALSE)+ 10</f>
        <v>11.138</v>
      </c>
      <c r="ABI60" s="6">
        <f>VLOOKUP(ABI$22, 'BANDE S'!$G$3:$J$4, 3, FALSE)+ 10</f>
        <v>11.138</v>
      </c>
      <c r="ABJ60" s="6">
        <f>VLOOKUP(ABJ$22, 'BANDE S'!$G$3:$J$4, 3, FALSE)+ 10</f>
        <v>11.138</v>
      </c>
      <c r="ABK60" s="6">
        <f>VLOOKUP(ABK$22, 'BANDE S'!$G$3:$J$4, 3, FALSE)+ 10</f>
        <v>11.138</v>
      </c>
      <c r="ABL60" s="6">
        <f>VLOOKUP(ABL$22, 'BANDE S'!$G$3:$J$4, 3, FALSE)+ 10</f>
        <v>11.138</v>
      </c>
      <c r="ABM60" s="6">
        <f>VLOOKUP(ABM$22, 'BANDE S'!$G$3:$J$4, 3, FALSE)+ 10</f>
        <v>11.138</v>
      </c>
      <c r="ABN60" s="6">
        <f>VLOOKUP(ABN$22, 'BANDE S'!$G$3:$J$4, 3, FALSE)+ 10</f>
        <v>11.138</v>
      </c>
      <c r="ABO60" s="6">
        <f>VLOOKUP(ABO$22, 'BANDE S'!$G$3:$J$4, 3, FALSE)+ 10</f>
        <v>11.138</v>
      </c>
      <c r="ABP60" s="6">
        <f>VLOOKUP(ABP$22, 'BANDE S'!$G$3:$J$4, 3, FALSE)+ 10</f>
        <v>11.138</v>
      </c>
      <c r="ABQ60" s="6">
        <f>VLOOKUP(ABQ$22, 'BANDE S'!$G$3:$J$4, 3, FALSE)+ 10</f>
        <v>11.138</v>
      </c>
      <c r="ABR60" s="6">
        <f>VLOOKUP(ABR$22, 'BANDE S'!$G$3:$J$4, 3, FALSE)+ 10</f>
        <v>11.138</v>
      </c>
      <c r="ABS60" s="6">
        <f>VLOOKUP(ABS$22, 'BANDE S'!$G$3:$J$4, 3, FALSE)+ 10</f>
        <v>11.138</v>
      </c>
      <c r="ABT60" s="6">
        <f>VLOOKUP(ABT$22, 'BANDE S'!$G$3:$J$4, 3, FALSE)+ 10</f>
        <v>11.138</v>
      </c>
      <c r="ABU60" s="6">
        <f>VLOOKUP(ABU$22, 'BANDE S'!$G$3:$J$4, 3, FALSE)+ 10</f>
        <v>11.138</v>
      </c>
      <c r="ABV60" s="6">
        <f>VLOOKUP(ABV$22, 'BANDE S'!$G$3:$J$4, 3, FALSE)+ 10</f>
        <v>11.138</v>
      </c>
      <c r="ABW60" s="6">
        <f>VLOOKUP(ABW$22, 'BANDE S'!$G$3:$J$4, 3, FALSE)+ 10</f>
        <v>11.138</v>
      </c>
      <c r="ABX60" s="6">
        <f>VLOOKUP(ABX$22, 'BANDE S'!$G$3:$J$4, 3, FALSE)+ 10</f>
        <v>11.138</v>
      </c>
      <c r="ABY60" s="6">
        <f>VLOOKUP(ABY$22, 'BANDE S'!$G$3:$J$4, 3, FALSE)+ 10</f>
        <v>11.138</v>
      </c>
      <c r="ABZ60" s="6">
        <f>VLOOKUP(ABZ$22, 'BANDE S'!$G$3:$J$4, 3, FALSE)+ 10</f>
        <v>11.138</v>
      </c>
      <c r="ACA60" s="6">
        <f>VLOOKUP(ACA$22, 'BANDE S'!$G$3:$J$4, 3, FALSE)+ 10</f>
        <v>11.138</v>
      </c>
      <c r="ACB60" s="6">
        <f>VLOOKUP(ACB$22, 'BANDE S'!$G$3:$J$4, 3, FALSE)+ 10</f>
        <v>11.138</v>
      </c>
      <c r="ACC60" s="6">
        <f>VLOOKUP(ACC$22, 'BANDE S'!$G$3:$J$4, 3, FALSE)+ 10</f>
        <v>11.138</v>
      </c>
      <c r="ACD60" s="6">
        <f>VLOOKUP(ACD$22, 'BANDE S'!$G$3:$J$4, 3, FALSE)+ 10</f>
        <v>11.138</v>
      </c>
      <c r="ACE60" s="6">
        <f>VLOOKUP(ACE$22, 'BANDE S'!$G$3:$J$4, 3, FALSE)+ 10</f>
        <v>11.138</v>
      </c>
      <c r="ACF60" s="6">
        <f>VLOOKUP(ACF$22, 'BANDE S'!$G$3:$J$4, 3, FALSE)+ 10</f>
        <v>11.138</v>
      </c>
      <c r="ACG60" s="6">
        <f>VLOOKUP(ACG$22, 'BANDE S'!$G$3:$J$4, 3, FALSE)+ 10</f>
        <v>11.138</v>
      </c>
      <c r="ACH60" s="6">
        <f>VLOOKUP(ACH$22, 'BANDE S'!$G$3:$J$4, 3, FALSE)+ 10</f>
        <v>11.138</v>
      </c>
      <c r="ACI60" s="6">
        <f>VLOOKUP(ACI$22, 'BANDE S'!$G$3:$J$4, 3, FALSE)+ 10</f>
        <v>11.138</v>
      </c>
      <c r="ACJ60" s="6">
        <f>VLOOKUP(ACJ$22, 'BANDE S'!$G$3:$J$4, 3, FALSE)+ 10</f>
        <v>11.138</v>
      </c>
      <c r="ACK60" s="6">
        <f>VLOOKUP(ACK$22, 'BANDE S'!$G$3:$J$4, 3, FALSE)+ 10</f>
        <v>11.138</v>
      </c>
      <c r="ACL60" s="6">
        <f>VLOOKUP(ACL$22, 'BANDE S'!$G$3:$J$4, 3, FALSE)+ 10</f>
        <v>11.138</v>
      </c>
      <c r="ACM60" s="6">
        <f>VLOOKUP(ACM$22, 'BANDE S'!$G$3:$J$4, 3, FALSE)+ 10</f>
        <v>11.138</v>
      </c>
      <c r="ACN60" s="6">
        <f>VLOOKUP(ACN$22, 'BANDE S'!$G$3:$J$4, 3, FALSE)+ 10</f>
        <v>11.138</v>
      </c>
      <c r="ACO60" s="6">
        <f>VLOOKUP(ACO$22, 'BANDE S'!$G$3:$J$4, 3, FALSE)+ 10</f>
        <v>11.138</v>
      </c>
      <c r="ACP60" s="6">
        <f>VLOOKUP(ACP$22, 'BANDE S'!$G$3:$J$4, 3, FALSE)+ 10</f>
        <v>11.138</v>
      </c>
      <c r="ACQ60" s="6">
        <f>VLOOKUP(ACQ$22, 'BANDE S'!$G$3:$J$4, 3, FALSE)+ 10</f>
        <v>11.138</v>
      </c>
      <c r="ACR60" s="6">
        <f>VLOOKUP(ACR$22, 'BANDE S'!$G$3:$J$4, 3, FALSE)+ 10</f>
        <v>20.158000000000001</v>
      </c>
      <c r="ACS60" s="6">
        <f>VLOOKUP(ACS$22, 'BANDE S'!$G$3:$J$4, 3, FALSE)+ 10</f>
        <v>20.158000000000001</v>
      </c>
      <c r="ACT60" s="6">
        <f>VLOOKUP(ACT$22, 'BANDE S'!$G$3:$J$4, 3, FALSE)+ 10</f>
        <v>20.158000000000001</v>
      </c>
      <c r="ACU60" s="6">
        <f>VLOOKUP(ACU$22, 'BANDE S'!$G$3:$J$4, 3, FALSE)+ 10</f>
        <v>11.138</v>
      </c>
      <c r="ACV60" s="6">
        <f>VLOOKUP(ACV$22, 'BANDE S'!$G$3:$J$4, 3, FALSE)+ 10</f>
        <v>11.138</v>
      </c>
      <c r="ACW60" s="6">
        <f>VLOOKUP(ACW$22, 'BANDE S'!$G$3:$J$4, 3, FALSE)+ 10</f>
        <v>11.138</v>
      </c>
      <c r="ACX60" s="6">
        <f>VLOOKUP(ACX$22, 'BANDE S'!$G$3:$J$4, 3, FALSE)+ 10</f>
        <v>11.138</v>
      </c>
      <c r="ACY60" s="6">
        <f>VLOOKUP(ACY$22, 'BANDE S'!$G$3:$J$4, 3, FALSE)+ 10</f>
        <v>11.138</v>
      </c>
      <c r="ACZ60" s="6">
        <f>VLOOKUP(ACZ$22, 'BANDE S'!$G$3:$J$4, 3, FALSE)+ 10</f>
        <v>11.138</v>
      </c>
      <c r="ADA60" s="6">
        <f>VLOOKUP(ADA$22, 'BANDE S'!$G$3:$J$4, 3, FALSE)+ 10</f>
        <v>11.138</v>
      </c>
      <c r="ADB60" s="6">
        <f>VLOOKUP(ADB$22, 'BANDE S'!$G$3:$J$4, 3, FALSE)+ 10</f>
        <v>11.138</v>
      </c>
      <c r="ADC60" s="6">
        <f>VLOOKUP(ADC$22, 'BANDE S'!$G$3:$J$4, 3, FALSE)+ 10</f>
        <v>11.138</v>
      </c>
      <c r="ADD60" s="6">
        <f>VLOOKUP(ADD$22, 'BANDE S'!$G$3:$J$4, 3, FALSE)+ 10</f>
        <v>11.138</v>
      </c>
      <c r="ADE60" s="6">
        <f>VLOOKUP(ADE$22, 'BANDE S'!$G$3:$J$4, 3, FALSE)+ 10</f>
        <v>11.138</v>
      </c>
      <c r="ADF60" s="6">
        <f>VLOOKUP(ADF$22, 'BANDE S'!$G$3:$J$4, 3, FALSE)+ 10</f>
        <v>11.138</v>
      </c>
      <c r="ADG60" s="6">
        <f>VLOOKUP(ADG$22, 'BANDE S'!$G$3:$J$4, 3, FALSE)+ 10</f>
        <v>11.138</v>
      </c>
      <c r="ADH60" s="6">
        <f>VLOOKUP(ADH$22, 'BANDE S'!$G$3:$J$4, 3, FALSE)+ 10</f>
        <v>11.138</v>
      </c>
      <c r="ADI60" s="6">
        <f>VLOOKUP(ADI$22, 'BANDE S'!$G$3:$J$4, 3, FALSE)+ 10</f>
        <v>11.138</v>
      </c>
      <c r="ADJ60" s="6">
        <f>VLOOKUP(ADJ$22, 'BANDE S'!$G$3:$J$4, 3, FALSE)+ 10</f>
        <v>11.138</v>
      </c>
      <c r="ADK60" s="6">
        <f>VLOOKUP(ADK$22, 'BANDE S'!$G$3:$J$4, 3, FALSE)+ 10</f>
        <v>11.138</v>
      </c>
      <c r="ADL60" s="6">
        <f>VLOOKUP(ADL$22, 'BANDE S'!$G$3:$J$4, 3, FALSE)+ 10</f>
        <v>11.138</v>
      </c>
      <c r="ADM60" s="6">
        <f>VLOOKUP(ADM$22, 'BANDE S'!$G$3:$J$4, 3, FALSE)+ 10</f>
        <v>11.138</v>
      </c>
      <c r="ADN60" s="6">
        <f>VLOOKUP(ADN$22, 'BANDE S'!$G$3:$J$4, 3, FALSE)+ 10</f>
        <v>11.138</v>
      </c>
      <c r="ADO60" s="6">
        <f>VLOOKUP(ADO$22, 'BANDE S'!$G$3:$J$4, 3, FALSE)+ 10</f>
        <v>11.138</v>
      </c>
      <c r="ADP60" s="6">
        <f>VLOOKUP(ADP$22, 'BANDE S'!$G$3:$J$4, 3, FALSE)+ 10</f>
        <v>11.138</v>
      </c>
      <c r="ADQ60" s="6">
        <f>VLOOKUP(ADQ$22, 'BANDE S'!$G$3:$J$4, 3, FALSE)+ 10</f>
        <v>11.138</v>
      </c>
      <c r="ADR60" s="6">
        <f>VLOOKUP(ADR$22, 'BANDE S'!$G$3:$J$4, 3, FALSE)+ 10</f>
        <v>11.138</v>
      </c>
      <c r="ADS60" s="6">
        <f>VLOOKUP(ADS$22, 'BANDE S'!$G$3:$J$4, 3, FALSE)+ 10</f>
        <v>11.138</v>
      </c>
      <c r="ADT60" s="6">
        <f>VLOOKUP(ADT$22, 'BANDE S'!$G$3:$J$4, 3, FALSE)+ 10</f>
        <v>11.138</v>
      </c>
      <c r="ADU60" s="6">
        <f>VLOOKUP(ADU$22, 'BANDE S'!$G$3:$J$4, 3, FALSE)+ 10</f>
        <v>11.138</v>
      </c>
      <c r="ADV60" s="6">
        <f>VLOOKUP(ADV$22, 'BANDE S'!$G$3:$J$4, 3, FALSE)+ 10</f>
        <v>11.138</v>
      </c>
      <c r="ADW60" s="6">
        <f>VLOOKUP(ADW$22, 'BANDE S'!$G$3:$J$4, 3, FALSE)+ 10</f>
        <v>11.138</v>
      </c>
      <c r="ADX60" s="6">
        <f>VLOOKUP(ADX$22, 'BANDE S'!$G$3:$J$4, 3, FALSE)+ 10</f>
        <v>11.138</v>
      </c>
      <c r="ADY60" s="6">
        <f>VLOOKUP(ADY$22, 'BANDE S'!$G$3:$J$4, 3, FALSE)+ 10</f>
        <v>11.138</v>
      </c>
      <c r="ADZ60" s="6">
        <f>VLOOKUP(ADZ$22, 'BANDE S'!$G$3:$J$4, 3, FALSE)+ 10</f>
        <v>11.138</v>
      </c>
      <c r="AEA60" s="6">
        <f>VLOOKUP(AEA$22, 'BANDE S'!$G$3:$J$4, 3, FALSE)+ 10</f>
        <v>11.138</v>
      </c>
      <c r="AEB60" s="6">
        <f>VLOOKUP(AEB$22, 'BANDE S'!$G$3:$J$4, 3, FALSE)+ 10</f>
        <v>11.138</v>
      </c>
      <c r="AEC60" s="6">
        <f>VLOOKUP(AEC$22, 'BANDE S'!$G$3:$J$4, 3, FALSE)+ 10</f>
        <v>11.138</v>
      </c>
      <c r="AED60" s="6">
        <f>VLOOKUP(AED$22, 'BANDE S'!$G$3:$J$4, 3, FALSE)+ 10</f>
        <v>11.138</v>
      </c>
      <c r="AEE60" s="6">
        <f>VLOOKUP(AEE$22, 'BANDE S'!$G$3:$J$4, 3, FALSE)+ 10</f>
        <v>11.138</v>
      </c>
      <c r="AEF60" s="6">
        <f>VLOOKUP(AEF$22, 'BANDE S'!$G$3:$J$4, 3, FALSE)+ 10</f>
        <v>11.138</v>
      </c>
      <c r="AEG60" s="6">
        <f>VLOOKUP(AEG$22, 'BANDE S'!$G$3:$J$4, 3, FALSE)+ 10</f>
        <v>11.138</v>
      </c>
      <c r="AEH60" s="6">
        <f>VLOOKUP(AEH$22, 'BANDE S'!$G$3:$J$4, 3, FALSE)+ 10</f>
        <v>11.138</v>
      </c>
      <c r="AEI60" s="6">
        <f>VLOOKUP(AEI$22, 'BANDE S'!$G$3:$J$4, 3, FALSE)+ 10</f>
        <v>11.138</v>
      </c>
      <c r="AEJ60" s="6">
        <f>VLOOKUP(AEJ$22, 'BANDE S'!$G$3:$J$4, 3, FALSE)+ 10</f>
        <v>11.138</v>
      </c>
      <c r="AEK60" s="6">
        <f>VLOOKUP(AEK$22, 'BANDE S'!$G$3:$J$4, 3, FALSE)+ 10</f>
        <v>11.138</v>
      </c>
      <c r="AEL60" s="6">
        <f>VLOOKUP(AEL$22, 'BANDE S'!$G$3:$J$4, 3, FALSE)+ 10</f>
        <v>11.138</v>
      </c>
      <c r="AEM60" s="6">
        <f>VLOOKUP(AEM$22, 'BANDE S'!$G$3:$J$4, 3, FALSE)+ 10</f>
        <v>11.138</v>
      </c>
      <c r="AEN60" s="6">
        <f>VLOOKUP(AEN$22, 'BANDE S'!$G$3:$J$4, 3, FALSE)+ 10</f>
        <v>11.138</v>
      </c>
      <c r="AEO60" s="6">
        <f>VLOOKUP(AEO$22, 'BANDE S'!$G$3:$J$4, 3, FALSE)+ 10</f>
        <v>11.138</v>
      </c>
      <c r="AEP60" s="6">
        <f>VLOOKUP(AEP$22, 'BANDE S'!$G$3:$J$4, 3, FALSE)+ 10</f>
        <v>11.138</v>
      </c>
      <c r="AEQ60" s="6">
        <f>VLOOKUP(AEQ$22, 'BANDE S'!$G$3:$J$4, 3, FALSE)+ 10</f>
        <v>11.138</v>
      </c>
      <c r="AER60" s="6">
        <f>VLOOKUP(AER$22, 'BANDE S'!$G$3:$J$4, 3, FALSE)+ 10</f>
        <v>11.138</v>
      </c>
      <c r="AES60" s="6">
        <f>VLOOKUP(AES$22, 'BANDE S'!$G$3:$J$4, 3, FALSE)+ 10</f>
        <v>11.138</v>
      </c>
      <c r="AET60" s="6">
        <f>VLOOKUP(AET$22, 'BANDE S'!$G$3:$J$4, 3, FALSE)+ 10</f>
        <v>11.138</v>
      </c>
      <c r="AEU60" s="6">
        <f>VLOOKUP(AEU$22, 'BANDE S'!$G$3:$J$4, 3, FALSE)+ 10</f>
        <v>11.138</v>
      </c>
      <c r="AEV60" s="6">
        <f>VLOOKUP(AEV$22, 'BANDE S'!$G$3:$J$4, 3, FALSE)+ 10</f>
        <v>11.138</v>
      </c>
      <c r="AEW60" s="6">
        <f>VLOOKUP(AEW$22, 'BANDE S'!$G$3:$J$4, 3, FALSE)+ 10</f>
        <v>11.138</v>
      </c>
      <c r="AEX60" s="6">
        <f>VLOOKUP(AEX$22, 'BANDE S'!$G$3:$J$4, 3, FALSE)+ 10</f>
        <v>11.138</v>
      </c>
      <c r="AEY60" s="6">
        <f>VLOOKUP(AEY$22, 'BANDE S'!$G$3:$J$4, 3, FALSE)+ 10</f>
        <v>11.138</v>
      </c>
      <c r="AEZ60" s="6">
        <f>VLOOKUP(AEZ$22, 'BANDE S'!$G$3:$J$4, 3, FALSE)+ 10</f>
        <v>11.138</v>
      </c>
      <c r="AFA60" s="6">
        <f>VLOOKUP(AFA$22, 'BANDE S'!$G$3:$J$4, 3, FALSE)+ 10</f>
        <v>11.138</v>
      </c>
      <c r="AFB60" s="6">
        <f>VLOOKUP(AFB$22, 'BANDE S'!$G$3:$J$4, 3, FALSE)+ 10</f>
        <v>11.138</v>
      </c>
      <c r="AFC60" s="6">
        <f>VLOOKUP(AFC$22, 'BANDE S'!$G$3:$J$4, 3, FALSE)+ 10</f>
        <v>11.138</v>
      </c>
      <c r="AFD60" s="6">
        <f>VLOOKUP(AFD$22, 'BANDE S'!$G$3:$J$4, 3, FALSE)+ 10</f>
        <v>11.138</v>
      </c>
      <c r="AFE60" s="6">
        <f>VLOOKUP(AFE$22, 'BANDE S'!$G$3:$J$4, 3, FALSE)+ 10</f>
        <v>11.138</v>
      </c>
      <c r="AFF60" s="6">
        <f>VLOOKUP(AFF$22, 'BANDE S'!$G$3:$J$4, 3, FALSE)+ 10</f>
        <v>11.138</v>
      </c>
      <c r="AFG60" s="6">
        <f>VLOOKUP(AFG$22, 'BANDE S'!$G$3:$J$4, 3, FALSE)+ 10</f>
        <v>11.138</v>
      </c>
      <c r="AFH60" s="6">
        <f>VLOOKUP(AFH$22, 'BANDE S'!$G$3:$J$4, 3, FALSE)+ 10</f>
        <v>11.138</v>
      </c>
      <c r="AFI60" s="6">
        <f>VLOOKUP(AFI$22, 'BANDE S'!$G$3:$J$4, 3, FALSE)+ 10</f>
        <v>11.138</v>
      </c>
      <c r="AFJ60" s="6">
        <f>VLOOKUP(AFJ$22, 'BANDE S'!$G$3:$J$4, 3, FALSE)+ 10</f>
        <v>11.138</v>
      </c>
      <c r="AFK60" s="6">
        <f>VLOOKUP(AFK$22, 'BANDE S'!$G$3:$J$4, 3, FALSE)+ 10</f>
        <v>11.138</v>
      </c>
      <c r="AFL60" s="6">
        <f>VLOOKUP(AFL$22, 'BANDE S'!$G$3:$J$4, 3, FALSE)+ 10</f>
        <v>11.138</v>
      </c>
      <c r="AFM60" s="6">
        <f>VLOOKUP(AFM$22, 'BANDE S'!$G$3:$J$4, 3, FALSE)+ 10</f>
        <v>11.138</v>
      </c>
      <c r="AFN60" s="6">
        <f>VLOOKUP(AFN$22, 'BANDE S'!$G$3:$J$4, 3, FALSE)+ 10</f>
        <v>11.138</v>
      </c>
      <c r="AFO60" s="6">
        <f>VLOOKUP(AFO$22, 'BANDE S'!$G$3:$J$4, 3, FALSE)+ 10</f>
        <v>11.138</v>
      </c>
      <c r="AFP60" s="6">
        <f>VLOOKUP(AFP$22, 'BANDE S'!$G$3:$J$4, 3, FALSE)+ 10</f>
        <v>11.138</v>
      </c>
      <c r="AFQ60" s="6">
        <f>VLOOKUP(AFQ$22, 'BANDE S'!$G$3:$J$4, 3, FALSE)+ 10</f>
        <v>11.138</v>
      </c>
      <c r="AFR60" s="6">
        <f>VLOOKUP(AFR$22, 'BANDE S'!$G$3:$J$4, 3, FALSE)+ 10</f>
        <v>11.138</v>
      </c>
      <c r="AFS60" s="6">
        <f>VLOOKUP(AFS$22, 'BANDE S'!$G$3:$J$4, 3, FALSE)+ 10</f>
        <v>11.138</v>
      </c>
      <c r="AFT60" s="6">
        <f>VLOOKUP(AFT$22, 'BANDE S'!$G$3:$J$4, 3, FALSE)+ 10</f>
        <v>11.138</v>
      </c>
      <c r="AFU60" s="6">
        <f>VLOOKUP(AFU$22, 'BANDE S'!$G$3:$J$4, 3, FALSE)+ 10</f>
        <v>11.138</v>
      </c>
      <c r="AFV60" s="6">
        <f>VLOOKUP(AFV$22, 'BANDE S'!$G$3:$J$4, 3, FALSE)+ 10</f>
        <v>20.158000000000001</v>
      </c>
      <c r="AFW60" s="6">
        <f>VLOOKUP(AFW$22, 'BANDE S'!$G$3:$J$4, 3, FALSE)+ 10</f>
        <v>20.158000000000001</v>
      </c>
      <c r="AFX60" s="6">
        <f>VLOOKUP(AFX$22, 'BANDE S'!$G$3:$J$4, 3, FALSE)+ 10</f>
        <v>20.158000000000001</v>
      </c>
      <c r="AFY60" s="6">
        <f>VLOOKUP(AFY$22, 'BANDE S'!$G$3:$J$4, 3, FALSE)+ 10</f>
        <v>11.138</v>
      </c>
      <c r="AFZ60" s="6">
        <f>VLOOKUP(AFZ$22, 'BANDE S'!$G$3:$J$4, 3, FALSE)+ 10</f>
        <v>11.138</v>
      </c>
      <c r="AGA60" s="6">
        <f>VLOOKUP(AGA$22, 'BANDE S'!$G$3:$J$4, 3, FALSE)+ 10</f>
        <v>11.138</v>
      </c>
      <c r="AGB60" s="6">
        <f>VLOOKUP(AGB$22, 'BANDE S'!$G$3:$J$4, 3, FALSE)+ 10</f>
        <v>11.138</v>
      </c>
      <c r="AGC60" s="6">
        <f>VLOOKUP(AGC$22, 'BANDE S'!$G$3:$J$4, 3, FALSE)+ 10</f>
        <v>11.138</v>
      </c>
      <c r="AGD60" s="6">
        <f>VLOOKUP(AGD$22, 'BANDE S'!$G$3:$J$4, 3, FALSE)+ 10</f>
        <v>11.138</v>
      </c>
      <c r="AGE60" s="6">
        <f>VLOOKUP(AGE$22, 'BANDE S'!$G$3:$J$4, 3, FALSE)+ 10</f>
        <v>11.138</v>
      </c>
      <c r="AGF60" s="6">
        <f>VLOOKUP(AGF$22, 'BANDE S'!$G$3:$J$4, 3, FALSE)+ 10</f>
        <v>11.138</v>
      </c>
      <c r="AGG60" s="6">
        <f>VLOOKUP(AGG$22, 'BANDE S'!$G$3:$J$4, 3, FALSE)+ 10</f>
        <v>11.138</v>
      </c>
      <c r="AGH60" s="6">
        <f>VLOOKUP(AGH$22, 'BANDE S'!$G$3:$J$4, 3, FALSE)+ 10</f>
        <v>11.138</v>
      </c>
      <c r="AGI60" s="6">
        <f>VLOOKUP(AGI$22, 'BANDE S'!$G$3:$J$4, 3, FALSE)+ 10</f>
        <v>11.138</v>
      </c>
      <c r="AGJ60" s="6">
        <f>VLOOKUP(AGJ$22, 'BANDE S'!$G$3:$J$4, 3, FALSE)+ 10</f>
        <v>11.138</v>
      </c>
      <c r="AGK60" s="6">
        <f>VLOOKUP(AGK$22, 'BANDE S'!$G$3:$J$4, 3, FALSE)+ 10</f>
        <v>11.138</v>
      </c>
      <c r="AGL60" s="6">
        <f>VLOOKUP(AGL$22, 'BANDE S'!$G$3:$J$4, 3, FALSE)+ 10</f>
        <v>11.138</v>
      </c>
      <c r="AGM60" s="6">
        <f>VLOOKUP(AGM$22, 'BANDE S'!$G$3:$J$4, 3, FALSE)+ 10</f>
        <v>11.138</v>
      </c>
      <c r="AGN60" s="6">
        <f>VLOOKUP(AGN$22, 'BANDE S'!$G$3:$J$4, 3, FALSE)+ 10</f>
        <v>11.138</v>
      </c>
      <c r="AGO60" s="6">
        <f>VLOOKUP(AGO$22, 'BANDE S'!$G$3:$J$4, 3, FALSE)+ 10</f>
        <v>11.138</v>
      </c>
      <c r="AGP60" s="6">
        <f>VLOOKUP(AGP$22, 'BANDE S'!$G$3:$J$4, 3, FALSE)+ 10</f>
        <v>11.138</v>
      </c>
      <c r="AGQ60" s="6">
        <f>VLOOKUP(AGQ$22, 'BANDE S'!$G$3:$J$4, 3, FALSE)+ 10</f>
        <v>11.138</v>
      </c>
      <c r="AGR60" s="6">
        <f>VLOOKUP(AGR$22, 'BANDE S'!$G$3:$J$4, 3, FALSE)+ 10</f>
        <v>11.138</v>
      </c>
      <c r="AGS60" s="6">
        <f>VLOOKUP(AGS$22, 'BANDE S'!$G$3:$J$4, 3, FALSE)+ 10</f>
        <v>11.138</v>
      </c>
      <c r="AGT60" s="6">
        <f>VLOOKUP(AGT$22, 'BANDE S'!$G$3:$J$4, 3, FALSE)+ 10</f>
        <v>11.138</v>
      </c>
      <c r="AGU60" s="6">
        <f>VLOOKUP(AGU$22, 'BANDE S'!$G$3:$J$4, 3, FALSE)+ 10</f>
        <v>11.138</v>
      </c>
      <c r="AGV60" s="6">
        <f>VLOOKUP(AGV$22, 'BANDE S'!$G$3:$J$4, 3, FALSE)+ 10</f>
        <v>11.138</v>
      </c>
      <c r="AGW60" s="6">
        <f>VLOOKUP(AGW$22, 'BANDE S'!$G$3:$J$4, 3, FALSE)+ 10</f>
        <v>11.138</v>
      </c>
      <c r="AGX60" s="6">
        <f>VLOOKUP(AGX$22, 'BANDE S'!$G$3:$J$4, 3, FALSE)+ 10</f>
        <v>11.138</v>
      </c>
      <c r="AGY60" s="6">
        <f>VLOOKUP(AGY$22, 'BANDE S'!$G$3:$J$4, 3, FALSE)+ 10</f>
        <v>11.138</v>
      </c>
      <c r="AGZ60" s="6">
        <f>VLOOKUP(AGZ$22, 'BANDE S'!$G$3:$J$4, 3, FALSE)+ 10</f>
        <v>11.138</v>
      </c>
      <c r="AHA60" s="6">
        <f>VLOOKUP(AHA$22, 'BANDE S'!$G$3:$J$4, 3, FALSE)+ 10</f>
        <v>11.138</v>
      </c>
      <c r="AHB60" s="6">
        <f>VLOOKUP(AHB$22, 'BANDE S'!$G$3:$J$4, 3, FALSE)+ 10</f>
        <v>11.138</v>
      </c>
      <c r="AHC60" s="6">
        <f>VLOOKUP(AHC$22, 'BANDE S'!$G$3:$J$4, 3, FALSE)+ 10</f>
        <v>11.138</v>
      </c>
      <c r="AHD60" s="6">
        <f>VLOOKUP(AHD$22, 'BANDE S'!$G$3:$J$4, 3, FALSE)+ 10</f>
        <v>11.138</v>
      </c>
      <c r="AHE60" s="6">
        <f>VLOOKUP(AHE$22, 'BANDE S'!$G$3:$J$4, 3, FALSE)+ 10</f>
        <v>11.138</v>
      </c>
      <c r="AHF60" s="6">
        <f>VLOOKUP(AHF$22, 'BANDE S'!$G$3:$J$4, 3, FALSE)+ 10</f>
        <v>11.138</v>
      </c>
      <c r="AHG60" s="6">
        <f>VLOOKUP(AHG$22, 'BANDE S'!$G$3:$J$4, 3, FALSE)+ 10</f>
        <v>11.138</v>
      </c>
      <c r="AHH60" s="6">
        <f>VLOOKUP(AHH$22, 'BANDE S'!$G$3:$J$4, 3, FALSE)+ 10</f>
        <v>11.138</v>
      </c>
      <c r="AHI60" s="6">
        <f>VLOOKUP(AHI$22, 'BANDE S'!$G$3:$J$4, 3, FALSE)+ 10</f>
        <v>11.138</v>
      </c>
      <c r="AHJ60" s="6">
        <f>VLOOKUP(AHJ$22, 'BANDE S'!$G$3:$J$4, 3, FALSE)+ 10</f>
        <v>11.138</v>
      </c>
      <c r="AHK60" s="6">
        <f>VLOOKUP(AHK$22, 'BANDE S'!$G$3:$J$4, 3, FALSE)+ 10</f>
        <v>11.138</v>
      </c>
      <c r="AHL60" s="6">
        <f>VLOOKUP(AHL$22, 'BANDE S'!$G$3:$J$4, 3, FALSE)+ 10</f>
        <v>11.138</v>
      </c>
      <c r="AHM60" s="6">
        <f>VLOOKUP(AHM$22, 'BANDE S'!$G$3:$J$4, 3, FALSE)+ 10</f>
        <v>11.138</v>
      </c>
      <c r="AHN60" s="6">
        <f>VLOOKUP(AHN$22, 'BANDE S'!$G$3:$J$4, 3, FALSE)+ 10</f>
        <v>11.138</v>
      </c>
      <c r="AHO60" s="6">
        <f>VLOOKUP(AHO$22, 'BANDE S'!$G$3:$J$4, 3, FALSE)+ 10</f>
        <v>11.138</v>
      </c>
      <c r="AHP60" s="6">
        <f>VLOOKUP(AHP$22, 'BANDE S'!$G$3:$J$4, 3, FALSE)+ 10</f>
        <v>11.138</v>
      </c>
      <c r="AHQ60" s="6">
        <f>VLOOKUP(AHQ$22, 'BANDE S'!$G$3:$J$4, 3, FALSE)+ 10</f>
        <v>11.138</v>
      </c>
      <c r="AHR60" s="6">
        <f>VLOOKUP(AHR$22, 'BANDE S'!$G$3:$J$4, 3, FALSE)+ 10</f>
        <v>11.138</v>
      </c>
      <c r="AHS60" s="6">
        <f>VLOOKUP(AHS$22, 'BANDE S'!$G$3:$J$4, 3, FALSE)+ 10</f>
        <v>11.138</v>
      </c>
      <c r="AHT60" s="6">
        <f>VLOOKUP(AHT$22, 'BANDE S'!$G$3:$J$4, 3, FALSE)+ 10</f>
        <v>11.138</v>
      </c>
      <c r="AHU60" s="6">
        <f>VLOOKUP(AHU$22, 'BANDE S'!$G$3:$J$4, 3, FALSE)+ 10</f>
        <v>11.138</v>
      </c>
      <c r="AHV60" s="6">
        <f>VLOOKUP(AHV$22, 'BANDE S'!$G$3:$J$4, 3, FALSE)+ 10</f>
        <v>11.138</v>
      </c>
      <c r="AHW60" s="6">
        <f>VLOOKUP(AHW$22, 'BANDE S'!$G$3:$J$4, 3, FALSE)+ 10</f>
        <v>11.138</v>
      </c>
      <c r="AHX60" s="6">
        <f>VLOOKUP(AHX$22, 'BANDE S'!$G$3:$J$4, 3, FALSE)+ 10</f>
        <v>11.138</v>
      </c>
      <c r="AHY60" s="6">
        <f>VLOOKUP(AHY$22, 'BANDE S'!$G$3:$J$4, 3, FALSE)+ 10</f>
        <v>11.138</v>
      </c>
      <c r="AHZ60" s="6">
        <f>VLOOKUP(AHZ$22, 'BANDE S'!$G$3:$J$4, 3, FALSE)+ 10</f>
        <v>11.138</v>
      </c>
      <c r="AIA60" s="6">
        <f>VLOOKUP(AIA$22, 'BANDE S'!$G$3:$J$4, 3, FALSE)+ 10</f>
        <v>11.138</v>
      </c>
      <c r="AIB60" s="6">
        <f>VLOOKUP(AIB$22, 'BANDE S'!$G$3:$J$4, 3, FALSE)+ 10</f>
        <v>11.138</v>
      </c>
      <c r="AIC60" s="6">
        <f>VLOOKUP(AIC$22, 'BANDE S'!$G$3:$J$4, 3, FALSE)+ 10</f>
        <v>11.138</v>
      </c>
      <c r="AID60" s="6">
        <f>VLOOKUP(AID$22, 'BANDE S'!$G$3:$J$4, 3, FALSE)+ 10</f>
        <v>11.138</v>
      </c>
      <c r="AIE60" s="6">
        <f>VLOOKUP(AIE$22, 'BANDE S'!$G$3:$J$4, 3, FALSE)+ 10</f>
        <v>11.138</v>
      </c>
      <c r="AIF60" s="6">
        <f>VLOOKUP(AIF$22, 'BANDE S'!$G$3:$J$4, 3, FALSE)+ 10</f>
        <v>20.158000000000001</v>
      </c>
      <c r="AIG60" s="6">
        <f>VLOOKUP(AIG$22, 'BANDE S'!$G$3:$J$4, 3, FALSE)+ 10</f>
        <v>20.158000000000001</v>
      </c>
      <c r="AIH60" s="6">
        <f>VLOOKUP(AIH$22, 'BANDE S'!$G$3:$J$4, 3, FALSE)+ 10</f>
        <v>20.158000000000001</v>
      </c>
      <c r="AII60" s="6">
        <f>VLOOKUP(AII$22, 'BANDE S'!$G$3:$J$4, 3, FALSE)+ 10</f>
        <v>11.138</v>
      </c>
      <c r="AIJ60" s="6">
        <f>VLOOKUP(AIJ$22, 'BANDE S'!$G$3:$J$4, 3, FALSE)+ 10</f>
        <v>11.138</v>
      </c>
      <c r="AIK60" s="6">
        <f>VLOOKUP(AIK$22, 'BANDE S'!$G$3:$J$4, 3, FALSE)+ 10</f>
        <v>11.138</v>
      </c>
      <c r="AIL60" s="6">
        <f>VLOOKUP(AIL$22, 'BANDE S'!$G$3:$J$4, 3, FALSE)+ 10</f>
        <v>11.138</v>
      </c>
      <c r="AIM60" s="6">
        <f>VLOOKUP(AIM$22, 'BANDE S'!$G$3:$J$4, 3, FALSE)+ 10</f>
        <v>11.138</v>
      </c>
      <c r="AIN60" s="6">
        <f>VLOOKUP(AIN$22, 'BANDE S'!$G$3:$J$4, 3, FALSE)+ 10</f>
        <v>11.138</v>
      </c>
      <c r="AIO60" s="6">
        <f>VLOOKUP(AIO$22, 'BANDE S'!$G$3:$J$4, 3, FALSE)+ 10</f>
        <v>11.138</v>
      </c>
      <c r="AIP60" s="6">
        <f>VLOOKUP(AIP$22, 'BANDE S'!$G$3:$J$4, 3, FALSE)+ 10</f>
        <v>11.138</v>
      </c>
      <c r="AIQ60" s="6">
        <f>VLOOKUP(AIQ$22, 'BANDE S'!$G$3:$J$4, 3, FALSE)+ 10</f>
        <v>11.138</v>
      </c>
      <c r="AIR60" s="6">
        <f>VLOOKUP(AIR$22, 'BANDE S'!$G$3:$J$4, 3, FALSE)+ 10</f>
        <v>11.138</v>
      </c>
      <c r="AIS60" s="6">
        <f>VLOOKUP(AIS$22, 'BANDE S'!$G$3:$J$4, 3, FALSE)+ 10</f>
        <v>11.138</v>
      </c>
      <c r="AIT60" s="6">
        <f>VLOOKUP(AIT$22, 'BANDE S'!$G$3:$J$4, 3, FALSE)+ 10</f>
        <v>11.138</v>
      </c>
      <c r="AIU60" s="6">
        <f>VLOOKUP(AIU$22, 'BANDE S'!$G$3:$J$4, 3, FALSE)+ 10</f>
        <v>11.138</v>
      </c>
      <c r="AIV60" s="6">
        <f>VLOOKUP(AIV$22, 'BANDE S'!$G$3:$J$4, 3, FALSE)+ 10</f>
        <v>11.138</v>
      </c>
      <c r="AIW60" s="6">
        <f>VLOOKUP(AIW$22, 'BANDE S'!$G$3:$J$4, 3, FALSE)+ 10</f>
        <v>11.138</v>
      </c>
      <c r="AIX60" s="6">
        <f>VLOOKUP(AIX$22, 'BANDE S'!$G$3:$J$4, 3, FALSE)+ 10</f>
        <v>11.138</v>
      </c>
      <c r="AIY60" s="6">
        <f>VLOOKUP(AIY$22, 'BANDE S'!$G$3:$J$4, 3, FALSE)+ 10</f>
        <v>11.138</v>
      </c>
      <c r="AIZ60" s="6">
        <f>VLOOKUP(AIZ$22, 'BANDE S'!$G$3:$J$4, 3, FALSE)+ 10</f>
        <v>11.138</v>
      </c>
      <c r="AJA60" s="6">
        <f>VLOOKUP(AJA$22, 'BANDE S'!$G$3:$J$4, 3, FALSE)+ 10</f>
        <v>11.138</v>
      </c>
      <c r="AJB60" s="6">
        <f>VLOOKUP(AJB$22, 'BANDE S'!$G$3:$J$4, 3, FALSE)+ 10</f>
        <v>11.138</v>
      </c>
      <c r="AJC60" s="6">
        <f>VLOOKUP(AJC$22, 'BANDE S'!$G$3:$J$4, 3, FALSE)+ 10</f>
        <v>11.138</v>
      </c>
      <c r="AJD60" s="6">
        <f>VLOOKUP(AJD$22, 'BANDE S'!$G$3:$J$4, 3, FALSE)+ 10</f>
        <v>11.138</v>
      </c>
      <c r="AJE60" s="6">
        <f>VLOOKUP(AJE$22, 'BANDE S'!$G$3:$J$4, 3, FALSE)+ 10</f>
        <v>11.138</v>
      </c>
      <c r="AJF60" s="6">
        <f>VLOOKUP(AJF$22, 'BANDE S'!$G$3:$J$4, 3, FALSE)+ 10</f>
        <v>11.138</v>
      </c>
      <c r="AJG60" s="6">
        <f>VLOOKUP(AJG$22, 'BANDE S'!$G$3:$J$4, 3, FALSE)+ 10</f>
        <v>11.138</v>
      </c>
      <c r="AJH60" s="6">
        <f>VLOOKUP(AJH$22, 'BANDE S'!$G$3:$J$4, 3, FALSE)+ 10</f>
        <v>11.138</v>
      </c>
      <c r="AJI60" s="6">
        <f>VLOOKUP(AJI$22, 'BANDE S'!$G$3:$J$4, 3, FALSE)+ 10</f>
        <v>11.138</v>
      </c>
      <c r="AJJ60" s="6">
        <f>VLOOKUP(AJJ$22, 'BANDE S'!$G$3:$J$4, 3, FALSE)+ 10</f>
        <v>11.138</v>
      </c>
      <c r="AJK60" s="6">
        <f>VLOOKUP(AJK$22, 'BANDE S'!$G$3:$J$4, 3, FALSE)+ 10</f>
        <v>11.138</v>
      </c>
      <c r="AJL60" s="6">
        <f>VLOOKUP(AJL$22, 'BANDE S'!$G$3:$J$4, 3, FALSE)+ 10</f>
        <v>11.138</v>
      </c>
      <c r="AJM60" s="6">
        <f>VLOOKUP(AJM$22, 'BANDE S'!$G$3:$J$4, 3, FALSE)+ 10</f>
        <v>11.138</v>
      </c>
      <c r="AJN60" s="6">
        <f>VLOOKUP(AJN$22, 'BANDE S'!$G$3:$J$4, 3, FALSE)+ 10</f>
        <v>11.138</v>
      </c>
      <c r="AJO60" s="6">
        <f>VLOOKUP(AJO$22, 'BANDE S'!$G$3:$J$4, 3, FALSE)+ 10</f>
        <v>11.138</v>
      </c>
      <c r="AJP60" s="6">
        <f>VLOOKUP(AJP$22, 'BANDE S'!$G$3:$J$4, 3, FALSE)+ 10</f>
        <v>11.138</v>
      </c>
      <c r="AJQ60" s="6">
        <f>VLOOKUP(AJQ$22, 'BANDE S'!$G$3:$J$4, 3, FALSE)+ 10</f>
        <v>11.138</v>
      </c>
      <c r="AJR60" s="6">
        <f>VLOOKUP(AJR$22, 'BANDE S'!$G$3:$J$4, 3, FALSE)+ 10</f>
        <v>11.138</v>
      </c>
      <c r="AJS60" s="6">
        <f>VLOOKUP(AJS$22, 'BANDE S'!$G$3:$J$4, 3, FALSE)+ 10</f>
        <v>11.138</v>
      </c>
      <c r="AJT60" s="6">
        <f>VLOOKUP(AJT$22, 'BANDE S'!$G$3:$J$4, 3, FALSE)+ 10</f>
        <v>11.138</v>
      </c>
      <c r="AJU60" s="6">
        <f>VLOOKUP(AJU$22, 'BANDE S'!$G$3:$J$4, 3, FALSE)+ 10</f>
        <v>11.138</v>
      </c>
      <c r="AJV60" s="6">
        <f>VLOOKUP(AJV$22, 'BANDE S'!$G$3:$J$4, 3, FALSE)+ 10</f>
        <v>11.138</v>
      </c>
      <c r="AJW60" s="6">
        <f>VLOOKUP(AJW$22, 'BANDE S'!$G$3:$J$4, 3, FALSE)+ 10</f>
        <v>11.138</v>
      </c>
      <c r="AJX60" s="6">
        <f>VLOOKUP(AJX$22, 'BANDE S'!$G$3:$J$4, 3, FALSE)+ 10</f>
        <v>11.138</v>
      </c>
      <c r="AJY60" s="6">
        <f>VLOOKUP(AJY$22, 'BANDE S'!$G$3:$J$4, 3, FALSE)+ 10</f>
        <v>11.138</v>
      </c>
      <c r="AJZ60" s="6">
        <f>VLOOKUP(AJZ$22, 'BANDE S'!$G$3:$J$4, 3, FALSE)+ 10</f>
        <v>11.138</v>
      </c>
      <c r="AKA60" s="6">
        <f>VLOOKUP(AKA$22, 'BANDE S'!$G$3:$J$4, 3, FALSE)+ 10</f>
        <v>11.138</v>
      </c>
      <c r="AKB60" s="6">
        <f>VLOOKUP(AKB$22, 'BANDE S'!$G$3:$J$4, 3, FALSE)+ 10</f>
        <v>11.138</v>
      </c>
      <c r="AKC60" s="6">
        <f>VLOOKUP(AKC$22, 'BANDE S'!$G$3:$J$4, 3, FALSE)+ 10</f>
        <v>11.138</v>
      </c>
      <c r="AKD60" s="6">
        <f>VLOOKUP(AKD$22, 'BANDE S'!$G$3:$J$4, 3, FALSE)+ 10</f>
        <v>11.138</v>
      </c>
      <c r="AKE60" s="6">
        <f>VLOOKUP(AKE$22, 'BANDE S'!$G$3:$J$4, 3, FALSE)+ 10</f>
        <v>11.138</v>
      </c>
      <c r="AKF60" s="6">
        <f>VLOOKUP(AKF$22, 'BANDE S'!$G$3:$J$4, 3, FALSE)+ 10</f>
        <v>11.138</v>
      </c>
      <c r="AKG60" s="6">
        <f>VLOOKUP(AKG$22, 'BANDE S'!$G$3:$J$4, 3, FALSE)+ 10</f>
        <v>11.138</v>
      </c>
      <c r="AKH60" s="6">
        <f>VLOOKUP(AKH$22, 'BANDE S'!$G$3:$J$4, 3, FALSE)+ 10</f>
        <v>11.138</v>
      </c>
      <c r="AKI60" s="6">
        <f>VLOOKUP(AKI$22, 'BANDE S'!$G$3:$J$4, 3, FALSE)+ 10</f>
        <v>11.138</v>
      </c>
      <c r="AKJ60" s="6">
        <f>VLOOKUP(AKJ$22, 'BANDE S'!$G$3:$J$4, 3, FALSE)+ 10</f>
        <v>11.138</v>
      </c>
      <c r="AKK60" s="6">
        <f>VLOOKUP(AKK$22, 'BANDE S'!$G$3:$J$4, 3, FALSE)+ 10</f>
        <v>11.138</v>
      </c>
      <c r="AKL60" s="6">
        <f>VLOOKUP(AKL$22, 'BANDE S'!$G$3:$J$4, 3, FALSE)+ 10</f>
        <v>11.138</v>
      </c>
      <c r="AKM60" s="6">
        <f>VLOOKUP(AKM$22, 'BANDE S'!$G$3:$J$4, 3, FALSE)+ 10</f>
        <v>11.138</v>
      </c>
      <c r="AKN60" s="6">
        <f>VLOOKUP(AKN$22, 'BANDE S'!$G$3:$J$4, 3, FALSE)+ 10</f>
        <v>11.138</v>
      </c>
      <c r="AKO60" s="6">
        <f>VLOOKUP(AKO$22, 'BANDE S'!$G$3:$J$4, 3, FALSE)+ 10</f>
        <v>11.138</v>
      </c>
      <c r="AKP60" s="6">
        <f>VLOOKUP(AKP$22, 'BANDE S'!$G$3:$J$4, 3, FALSE)+ 10</f>
        <v>11.138</v>
      </c>
      <c r="AKQ60" s="6">
        <f>VLOOKUP(AKQ$22, 'BANDE S'!$G$3:$J$4, 3, FALSE)+ 10</f>
        <v>11.138</v>
      </c>
      <c r="AKR60" s="6">
        <f>VLOOKUP(AKR$22, 'BANDE S'!$G$3:$J$4, 3, FALSE)+ 10</f>
        <v>11.138</v>
      </c>
      <c r="AKS60" s="6">
        <f>VLOOKUP(AKS$22, 'BANDE S'!$G$3:$J$4, 3, FALSE)+ 10</f>
        <v>11.138</v>
      </c>
      <c r="AKT60" s="6">
        <f>VLOOKUP(AKT$22, 'BANDE S'!$G$3:$J$4, 3, FALSE)+ 10</f>
        <v>11.138</v>
      </c>
      <c r="AKU60" s="6">
        <f>VLOOKUP(AKU$22, 'BANDE S'!$G$3:$J$4, 3, FALSE)+ 10</f>
        <v>11.138</v>
      </c>
      <c r="AKV60" s="6">
        <f>VLOOKUP(AKV$22, 'BANDE S'!$G$3:$J$4, 3, FALSE)+ 10</f>
        <v>11.138</v>
      </c>
      <c r="AKW60" s="6">
        <f>VLOOKUP(AKW$22, 'BANDE S'!$G$3:$J$4, 3, FALSE)+ 10</f>
        <v>11.138</v>
      </c>
      <c r="AKX60" s="6">
        <f>VLOOKUP(AKX$22, 'BANDE S'!$G$3:$J$4, 3, FALSE)+ 10</f>
        <v>11.138</v>
      </c>
      <c r="AKY60" s="6">
        <f>VLOOKUP(AKY$22, 'BANDE S'!$G$3:$J$4, 3, FALSE)+ 10</f>
        <v>11.138</v>
      </c>
      <c r="AKZ60" s="6">
        <f>VLOOKUP(AKZ$22, 'BANDE S'!$G$3:$J$4, 3, FALSE)+ 10</f>
        <v>11.138</v>
      </c>
      <c r="ALA60" s="6">
        <f>VLOOKUP(ALA$22, 'BANDE S'!$G$3:$J$4, 3, FALSE)+ 10</f>
        <v>11.138</v>
      </c>
      <c r="ALB60" s="6">
        <f>VLOOKUP(ALB$22, 'BANDE S'!$G$3:$J$4, 3, FALSE)+ 10</f>
        <v>11.138</v>
      </c>
      <c r="ALC60" s="6">
        <f>VLOOKUP(ALC$22, 'BANDE S'!$G$3:$J$4, 3, FALSE)+ 10</f>
        <v>11.138</v>
      </c>
      <c r="ALD60" s="6">
        <f>VLOOKUP(ALD$22, 'BANDE S'!$G$3:$J$4, 3, FALSE)+ 10</f>
        <v>11.138</v>
      </c>
      <c r="ALE60" s="6">
        <f>VLOOKUP(ALE$22, 'BANDE S'!$G$3:$J$4, 3, FALSE)+ 10</f>
        <v>11.138</v>
      </c>
      <c r="ALF60" s="6">
        <f>VLOOKUP(ALF$22, 'BANDE S'!$G$3:$J$4, 3, FALSE)+ 10</f>
        <v>11.138</v>
      </c>
      <c r="ALG60" s="6">
        <f>VLOOKUP(ALG$22, 'BANDE S'!$G$3:$J$4, 3, FALSE)+ 10</f>
        <v>11.138</v>
      </c>
      <c r="ALH60" s="6">
        <f>VLOOKUP(ALH$22, 'BANDE S'!$G$3:$J$4, 3, FALSE)+ 10</f>
        <v>11.138</v>
      </c>
      <c r="ALI60" s="6">
        <f>VLOOKUP(ALI$22, 'BANDE S'!$G$3:$J$4, 3, FALSE)+ 10</f>
        <v>11.138</v>
      </c>
      <c r="ALJ60" s="6">
        <f>VLOOKUP(ALJ$22, 'BANDE S'!$G$3:$J$4, 3, FALSE)+ 10</f>
        <v>20.158000000000001</v>
      </c>
      <c r="ALK60" s="6">
        <f>VLOOKUP(ALK$22, 'BANDE S'!$G$3:$J$4, 3, FALSE)+ 10</f>
        <v>20.158000000000001</v>
      </c>
      <c r="ALL60" s="6">
        <f>VLOOKUP(ALL$22, 'BANDE S'!$G$3:$J$4, 3, FALSE)+ 10</f>
        <v>20.158000000000001</v>
      </c>
      <c r="ALM60" s="6">
        <f>VLOOKUP(ALM$22, 'BANDE S'!$G$3:$J$4, 3, FALSE)+ 10</f>
        <v>11.138</v>
      </c>
      <c r="ALN60" s="6">
        <f>VLOOKUP(ALN$22, 'BANDE S'!$G$3:$J$4, 3, FALSE)+ 10</f>
        <v>11.138</v>
      </c>
      <c r="ALO60" s="6">
        <f>VLOOKUP(ALO$22, 'BANDE S'!$G$3:$J$4, 3, FALSE)+ 10</f>
        <v>11.138</v>
      </c>
      <c r="ALP60" s="6">
        <f>VLOOKUP(ALP$22, 'BANDE S'!$G$3:$J$4, 3, FALSE)+ 10</f>
        <v>11.138</v>
      </c>
      <c r="ALQ60" s="6">
        <f>VLOOKUP(ALQ$22, 'BANDE S'!$G$3:$J$4, 3, FALSE)+ 10</f>
        <v>11.138</v>
      </c>
      <c r="ALR60" s="6">
        <f>VLOOKUP(ALR$22, 'BANDE S'!$G$3:$J$4, 3, FALSE)+ 10</f>
        <v>11.138</v>
      </c>
      <c r="ALS60" s="6">
        <f>VLOOKUP(ALS$22, 'BANDE S'!$G$3:$J$4, 3, FALSE)+ 10</f>
        <v>11.138</v>
      </c>
      <c r="ALT60" s="6">
        <f>VLOOKUP(ALT$22, 'BANDE S'!$G$3:$J$4, 3, FALSE)+ 10</f>
        <v>11.138</v>
      </c>
      <c r="ALU60" s="6">
        <f>VLOOKUP(ALU$22, 'BANDE S'!$G$3:$J$4, 3, FALSE)+ 10</f>
        <v>11.138</v>
      </c>
      <c r="ALV60" s="6">
        <f>VLOOKUP(ALV$22, 'BANDE S'!$G$3:$J$4, 3, FALSE)+ 10</f>
        <v>11.138</v>
      </c>
      <c r="ALW60" s="6">
        <f>VLOOKUP(ALW$22, 'BANDE S'!$G$3:$J$4, 3, FALSE)+ 10</f>
        <v>11.138</v>
      </c>
    </row>
    <row r="61" spans="2:1011" outlineLevel="1" x14ac:dyDescent="0.25">
      <c r="C61" s="5" t="s">
        <v>57</v>
      </c>
      <c r="D61" s="6">
        <f>VLOOKUP(D$18, ECLIPSES!$G$3:$J$9, 3, FALSE)</f>
        <v>-23.28</v>
      </c>
      <c r="E61" s="6">
        <f>VLOOKUP(E$18, ECLIPSES!$G$3:$J$9, 3, FALSE)</f>
        <v>-23.28</v>
      </c>
      <c r="F61" s="6">
        <f>VLOOKUP(F$18, ECLIPSES!$G$3:$J$9, 3, FALSE)</f>
        <v>-23.28</v>
      </c>
      <c r="G61" s="6">
        <f>VLOOKUP(G$18, ECLIPSES!$G$3:$J$9, 3, FALSE)</f>
        <v>-23.28</v>
      </c>
      <c r="H61" s="6">
        <f>VLOOKUP(H$18, ECLIPSES!$G$3:$J$9, 3, FALSE)</f>
        <v>-23.28</v>
      </c>
      <c r="I61" s="6">
        <f>VLOOKUP(I$18, ECLIPSES!$G$3:$J$9, 3, FALSE)</f>
        <v>-23.28</v>
      </c>
      <c r="J61" s="6">
        <f>VLOOKUP(J$18, ECLIPSES!$G$3:$J$9, 3, FALSE)</f>
        <v>-23.28</v>
      </c>
      <c r="K61" s="6">
        <f>VLOOKUP(K$18, ECLIPSES!$G$3:$J$9, 3, FALSE)</f>
        <v>-23.28</v>
      </c>
      <c r="L61" s="6">
        <f>VLOOKUP(L$18, ECLIPSES!$G$3:$J$9, 3, FALSE)</f>
        <v>-23.28</v>
      </c>
      <c r="M61" s="6">
        <f>VLOOKUP(M$18, ECLIPSES!$G$3:$J$9, 3, FALSE)</f>
        <v>-23.28</v>
      </c>
      <c r="N61" s="6">
        <f>VLOOKUP(N$18, ECLIPSES!$G$3:$J$9, 3, FALSE)</f>
        <v>-23.28</v>
      </c>
      <c r="O61" s="6">
        <f>VLOOKUP(O$18, ECLIPSES!$G$3:$J$9, 3, FALSE)</f>
        <v>-23.28</v>
      </c>
      <c r="P61" s="6">
        <f>VLOOKUP(P$18, ECLIPSES!$G$3:$J$9, 3, FALSE)</f>
        <v>-23.28</v>
      </c>
      <c r="Q61" s="6">
        <f>VLOOKUP(Q$18, ECLIPSES!$G$3:$J$9, 3, FALSE)</f>
        <v>-23.28</v>
      </c>
      <c r="R61" s="6">
        <f>VLOOKUP(R$18, ECLIPSES!$G$3:$J$9, 3, FALSE)</f>
        <v>-23.28</v>
      </c>
      <c r="S61" s="6">
        <f>VLOOKUP(S$18, ECLIPSES!$G$3:$J$9, 3, FALSE)</f>
        <v>-23.28</v>
      </c>
      <c r="T61" s="6">
        <f>VLOOKUP(T$18, ECLIPSES!$G$3:$J$9, 3, FALSE)</f>
        <v>-23.28</v>
      </c>
      <c r="U61" s="6">
        <f>VLOOKUP(U$18, ECLIPSES!$G$3:$J$9, 3, FALSE)</f>
        <v>-23.28</v>
      </c>
      <c r="V61" s="6">
        <f>VLOOKUP(V$18, ECLIPSES!$G$3:$J$9, 3, FALSE)</f>
        <v>0</v>
      </c>
      <c r="W61" s="6">
        <f>VLOOKUP(W$18, ECLIPSES!$G$3:$J$9, 3, FALSE)</f>
        <v>0</v>
      </c>
      <c r="X61" s="6">
        <f>VLOOKUP(X$18, ECLIPSES!$G$3:$J$9, 3, FALSE)</f>
        <v>0</v>
      </c>
      <c r="Y61" s="6">
        <f>VLOOKUP(Y$18, ECLIPSES!$G$3:$J$9, 3, FALSE)</f>
        <v>0</v>
      </c>
      <c r="Z61" s="6">
        <f>VLOOKUP(Z$18, ECLIPSES!$G$3:$J$9, 3, FALSE)</f>
        <v>-23.28</v>
      </c>
      <c r="AA61" s="6">
        <f>VLOOKUP(AA$18, ECLIPSES!$G$3:$J$9, 3, FALSE)</f>
        <v>-23.28</v>
      </c>
      <c r="AB61" s="6">
        <f>VLOOKUP(AB$18, ECLIPSES!$G$3:$J$9, 3, FALSE)</f>
        <v>-23.28</v>
      </c>
      <c r="AC61" s="6">
        <f>VLOOKUP(AC$18, ECLIPSES!$G$3:$J$9, 3, FALSE)</f>
        <v>-23.28</v>
      </c>
      <c r="AD61" s="6">
        <f>VLOOKUP(AD$18, ECLIPSES!$G$3:$J$9, 3, FALSE)</f>
        <v>-23.28</v>
      </c>
      <c r="AE61" s="6">
        <f>VLOOKUP(AE$18, ECLIPSES!$G$3:$J$9, 3, FALSE)</f>
        <v>-23.28</v>
      </c>
      <c r="AF61" s="6">
        <f>VLOOKUP(AF$18, ECLIPSES!$G$3:$J$9, 3, FALSE)</f>
        <v>-23.28</v>
      </c>
      <c r="AG61" s="6">
        <f>VLOOKUP(AG$18, ECLIPSES!$G$3:$J$9, 3, FALSE)</f>
        <v>-23.28</v>
      </c>
      <c r="AH61" s="6">
        <f>VLOOKUP(AH$18, ECLIPSES!$G$3:$J$9, 3, FALSE)</f>
        <v>-23.28</v>
      </c>
      <c r="AI61" s="6">
        <f>VLOOKUP(AI$18, ECLIPSES!$G$3:$J$9, 3, FALSE)</f>
        <v>-23.28</v>
      </c>
      <c r="AJ61" s="6">
        <f>VLOOKUP(AJ$18, ECLIPSES!$G$3:$J$9, 3, FALSE)</f>
        <v>-23.28</v>
      </c>
      <c r="AK61" s="6">
        <f>VLOOKUP(AK$18, ECLIPSES!$G$3:$J$9, 3, FALSE)</f>
        <v>-23.28</v>
      </c>
      <c r="AL61" s="6">
        <f>VLOOKUP(AL$18, ECLIPSES!$G$3:$J$9, 3, FALSE)</f>
        <v>-23.28</v>
      </c>
      <c r="AM61" s="6">
        <f>VLOOKUP(AM$18, ECLIPSES!$G$3:$J$9, 3, FALSE)</f>
        <v>-23.28</v>
      </c>
      <c r="AN61" s="6">
        <f>VLOOKUP(AN$18, ECLIPSES!$G$3:$J$9, 3, FALSE)</f>
        <v>-23.28</v>
      </c>
      <c r="AO61" s="6">
        <f>VLOOKUP(AO$18, ECLIPSES!$G$3:$J$9, 3, FALSE)</f>
        <v>-23.28</v>
      </c>
      <c r="AP61" s="6">
        <f>VLOOKUP(AP$18, ECLIPSES!$G$3:$J$9, 3, FALSE)</f>
        <v>-23.28</v>
      </c>
      <c r="AQ61" s="6">
        <f>VLOOKUP(AQ$18, ECLIPSES!$G$3:$J$9, 3, FALSE)</f>
        <v>-23.28</v>
      </c>
      <c r="AR61" s="6">
        <f>VLOOKUP(AR$18, ECLIPSES!$G$3:$J$9, 3, FALSE)</f>
        <v>-23.28</v>
      </c>
      <c r="AS61" s="6">
        <f>VLOOKUP(AS$18, ECLIPSES!$G$3:$J$9, 3, FALSE)</f>
        <v>-23.28</v>
      </c>
      <c r="AT61" s="6">
        <f>VLOOKUP(AT$18, ECLIPSES!$G$3:$J$9, 3, FALSE)</f>
        <v>-23.28</v>
      </c>
      <c r="AU61" s="6">
        <f>VLOOKUP(AU$18, ECLIPSES!$G$3:$J$9, 3, FALSE)</f>
        <v>-23.28</v>
      </c>
      <c r="AV61" s="6">
        <f>VLOOKUP(AV$18, ECLIPSES!$G$3:$J$9, 3, FALSE)</f>
        <v>-23.28</v>
      </c>
      <c r="AW61" s="6">
        <f>VLOOKUP(AW$18, ECLIPSES!$G$3:$J$9, 3, FALSE)</f>
        <v>-23.28</v>
      </c>
      <c r="AX61" s="6">
        <f>VLOOKUP(AX$18, ECLIPSES!$G$3:$J$9, 3, FALSE)</f>
        <v>-23.28</v>
      </c>
      <c r="AY61" s="6">
        <f>VLOOKUP(AY$18, ECLIPSES!$G$3:$J$9, 3, FALSE)</f>
        <v>-23.28</v>
      </c>
      <c r="AZ61" s="6">
        <f>VLOOKUP(AZ$18, ECLIPSES!$G$3:$J$9, 3, FALSE)</f>
        <v>-23.28</v>
      </c>
      <c r="BA61" s="6">
        <f>VLOOKUP(BA$18, ECLIPSES!$G$3:$J$9, 3, FALSE)</f>
        <v>-23.28</v>
      </c>
      <c r="BB61" s="6">
        <f>VLOOKUP(BB$18, ECLIPSES!$G$3:$J$9, 3, FALSE)</f>
        <v>-23.28</v>
      </c>
      <c r="BC61" s="6">
        <f>VLOOKUP(BC$18, ECLIPSES!$G$3:$J$9, 3, FALSE)</f>
        <v>-23.28</v>
      </c>
      <c r="BD61" s="6">
        <f>VLOOKUP(BD$18, ECLIPSES!$G$3:$J$9, 3, FALSE)</f>
        <v>-23.28</v>
      </c>
      <c r="BE61" s="6">
        <f>VLOOKUP(BE$18, ECLIPSES!$G$3:$J$9, 3, FALSE)</f>
        <v>-23.28</v>
      </c>
      <c r="BF61" s="6">
        <f>VLOOKUP(BF$18, ECLIPSES!$G$3:$J$9, 3, FALSE)</f>
        <v>-23.28</v>
      </c>
      <c r="BG61" s="6">
        <f>VLOOKUP(BG$18, ECLIPSES!$G$3:$J$9, 3, FALSE)</f>
        <v>-23.28</v>
      </c>
      <c r="BH61" s="6">
        <f>VLOOKUP(BH$18, ECLIPSES!$G$3:$J$9, 3, FALSE)</f>
        <v>-23.28</v>
      </c>
      <c r="BI61" s="6">
        <f>VLOOKUP(BI$18, ECLIPSES!$G$3:$J$9, 3, FALSE)</f>
        <v>-23.28</v>
      </c>
      <c r="BJ61" s="6">
        <f>VLOOKUP(BJ$18, ECLIPSES!$G$3:$J$9, 3, FALSE)</f>
        <v>-23.28</v>
      </c>
      <c r="BK61" s="6">
        <f>VLOOKUP(BK$18, ECLIPSES!$G$3:$J$9, 3, FALSE)</f>
        <v>-23.28</v>
      </c>
      <c r="BL61" s="6">
        <f>VLOOKUP(BL$18, ECLIPSES!$G$3:$J$9, 3, FALSE)</f>
        <v>-23.28</v>
      </c>
      <c r="BM61" s="6">
        <f>VLOOKUP(BM$18, ECLIPSES!$G$3:$J$9, 3, FALSE)</f>
        <v>-23.28</v>
      </c>
      <c r="BN61" s="6">
        <f>VLOOKUP(BN$18, ECLIPSES!$G$3:$J$9, 3, FALSE)</f>
        <v>-23.28</v>
      </c>
      <c r="BO61" s="6">
        <f>VLOOKUP(BO$18, ECLIPSES!$G$3:$J$9, 3, FALSE)</f>
        <v>-23.28</v>
      </c>
      <c r="BP61" s="6">
        <f>VLOOKUP(BP$18, ECLIPSES!$G$3:$J$9, 3, FALSE)</f>
        <v>-23.28</v>
      </c>
      <c r="BQ61" s="6">
        <f>VLOOKUP(BQ$18, ECLIPSES!$G$3:$J$9, 3, FALSE)</f>
        <v>-23.28</v>
      </c>
      <c r="BR61" s="6">
        <f>VLOOKUP(BR$18, ECLIPSES!$G$3:$J$9, 3, FALSE)</f>
        <v>-23.28</v>
      </c>
      <c r="BS61" s="6">
        <f>VLOOKUP(BS$18, ECLIPSES!$G$3:$J$9, 3, FALSE)</f>
        <v>-23.28</v>
      </c>
      <c r="BT61" s="6">
        <f>VLOOKUP(BT$18, ECLIPSES!$G$3:$J$9, 3, FALSE)</f>
        <v>-23.28</v>
      </c>
      <c r="BU61" s="6">
        <f>VLOOKUP(BU$18, ECLIPSES!$G$3:$J$9, 3, FALSE)</f>
        <v>-23.28</v>
      </c>
      <c r="BV61" s="6">
        <f>VLOOKUP(BV$18, ECLIPSES!$G$3:$J$9, 3, FALSE)</f>
        <v>-23.28</v>
      </c>
      <c r="BW61" s="6">
        <f>VLOOKUP(BW$18, ECLIPSES!$G$3:$J$9, 3, FALSE)</f>
        <v>-23.28</v>
      </c>
      <c r="BX61" s="6">
        <f>VLOOKUP(BX$18, ECLIPSES!$G$3:$J$9, 3, FALSE)</f>
        <v>-23.28</v>
      </c>
      <c r="BY61" s="6">
        <f>VLOOKUP(BY$18, ECLIPSES!$G$3:$J$9, 3, FALSE)</f>
        <v>-23.28</v>
      </c>
      <c r="BZ61" s="6">
        <f>VLOOKUP(BZ$18, ECLIPSES!$G$3:$J$9, 3, FALSE)</f>
        <v>-23.28</v>
      </c>
      <c r="CA61" s="6">
        <f>VLOOKUP(CA$18, ECLIPSES!$G$3:$J$9, 3, FALSE)</f>
        <v>-23.28</v>
      </c>
      <c r="CB61" s="6">
        <f>VLOOKUP(CB$18, ECLIPSES!$G$3:$J$9, 3, FALSE)</f>
        <v>-23.28</v>
      </c>
      <c r="CC61" s="6">
        <f>VLOOKUP(CC$18, ECLIPSES!$G$3:$J$9, 3, FALSE)</f>
        <v>-23.28</v>
      </c>
      <c r="CD61" s="6">
        <f>VLOOKUP(CD$18, ECLIPSES!$G$3:$J$9, 3, FALSE)</f>
        <v>-23.28</v>
      </c>
      <c r="CE61" s="6">
        <f>VLOOKUP(CE$18, ECLIPSES!$G$3:$J$9, 3, FALSE)</f>
        <v>-23.28</v>
      </c>
      <c r="CF61" s="6">
        <f>VLOOKUP(CF$18, ECLIPSES!$G$3:$J$9, 3, FALSE)</f>
        <v>-23.28</v>
      </c>
      <c r="CG61" s="6">
        <f>VLOOKUP(CG$18, ECLIPSES!$G$3:$J$9, 3, FALSE)</f>
        <v>-23.28</v>
      </c>
      <c r="CH61" s="6">
        <f>VLOOKUP(CH$18, ECLIPSES!$G$3:$J$9, 3, FALSE)</f>
        <v>-23.28</v>
      </c>
      <c r="CI61" s="6">
        <f>VLOOKUP(CI$18, ECLIPSES!$G$3:$J$9, 3, FALSE)</f>
        <v>-23.28</v>
      </c>
      <c r="CJ61" s="6">
        <f>VLOOKUP(CJ$18, ECLIPSES!$G$3:$J$9, 3, FALSE)</f>
        <v>-23.28</v>
      </c>
      <c r="CK61" s="6">
        <f>VLOOKUP(CK$18, ECLIPSES!$G$3:$J$9, 3, FALSE)</f>
        <v>-23.28</v>
      </c>
      <c r="CL61" s="6">
        <f>VLOOKUP(CL$18, ECLIPSES!$G$3:$J$9, 3, FALSE)</f>
        <v>-23.28</v>
      </c>
      <c r="CM61" s="6">
        <f>VLOOKUP(CM$18, ECLIPSES!$G$3:$J$9, 3, FALSE)</f>
        <v>-23.28</v>
      </c>
      <c r="CN61" s="6">
        <f>VLOOKUP(CN$18, ECLIPSES!$G$3:$J$9, 3, FALSE)</f>
        <v>-23.28</v>
      </c>
      <c r="CO61" s="6">
        <f>VLOOKUP(CO$18, ECLIPSES!$G$3:$J$9, 3, FALSE)</f>
        <v>-23.28</v>
      </c>
      <c r="CP61" s="6">
        <f>VLOOKUP(CP$18, ECLIPSES!$G$3:$J$9, 3, FALSE)</f>
        <v>0</v>
      </c>
      <c r="CQ61" s="6">
        <f>VLOOKUP(CQ$18, ECLIPSES!$G$3:$J$9, 3, FALSE)</f>
        <v>0</v>
      </c>
      <c r="CR61" s="6">
        <f>VLOOKUP(CR$18, ECLIPSES!$G$3:$J$9, 3, FALSE)</f>
        <v>0</v>
      </c>
      <c r="CS61" s="6">
        <f>VLOOKUP(CS$18, ECLIPSES!$G$3:$J$9, 3, FALSE)</f>
        <v>0</v>
      </c>
      <c r="CT61" s="6">
        <f>VLOOKUP(CT$18, ECLIPSES!$G$3:$J$9, 3, FALSE)</f>
        <v>-23.28</v>
      </c>
      <c r="CU61" s="6">
        <f>VLOOKUP(CU$18, ECLIPSES!$G$3:$J$9, 3, FALSE)</f>
        <v>-23.28</v>
      </c>
      <c r="CV61" s="6">
        <f>VLOOKUP(CV$18, ECLIPSES!$G$3:$J$9, 3, FALSE)</f>
        <v>-23.28</v>
      </c>
      <c r="CW61" s="6">
        <f>VLOOKUP(CW$18, ECLIPSES!$G$3:$J$9, 3, FALSE)</f>
        <v>-23.28</v>
      </c>
      <c r="CX61" s="6">
        <f>VLOOKUP(CX$18, ECLIPSES!$G$3:$J$9, 3, FALSE)</f>
        <v>-23.28</v>
      </c>
      <c r="CY61" s="6">
        <f>VLOOKUP(CY$18, ECLIPSES!$G$3:$J$9, 3, FALSE)</f>
        <v>-23.28</v>
      </c>
      <c r="CZ61" s="6">
        <f>VLOOKUP(CZ$18, ECLIPSES!$G$3:$J$9, 3, FALSE)</f>
        <v>-23.28</v>
      </c>
      <c r="DA61" s="6">
        <f>VLOOKUP(DA$18, ECLIPSES!$G$3:$J$9, 3, FALSE)</f>
        <v>-23.28</v>
      </c>
      <c r="DB61" s="6">
        <f>VLOOKUP(DB$18, ECLIPSES!$G$3:$J$9, 3, FALSE)</f>
        <v>-23.28</v>
      </c>
      <c r="DC61" s="6">
        <f>VLOOKUP(DC$18, ECLIPSES!$G$3:$J$9, 3, FALSE)</f>
        <v>-23.28</v>
      </c>
      <c r="DD61" s="6">
        <f>VLOOKUP(DD$18, ECLIPSES!$G$3:$J$9, 3, FALSE)</f>
        <v>-23.28</v>
      </c>
      <c r="DE61" s="6">
        <f>VLOOKUP(DE$18, ECLIPSES!$G$3:$J$9, 3, FALSE)</f>
        <v>-23.28</v>
      </c>
      <c r="DF61" s="6">
        <f>VLOOKUP(DF$18, ECLIPSES!$G$3:$J$9, 3, FALSE)</f>
        <v>-23.28</v>
      </c>
      <c r="DG61" s="6">
        <f>VLOOKUP(DG$18, ECLIPSES!$G$3:$J$9, 3, FALSE)</f>
        <v>-23.28</v>
      </c>
      <c r="DH61" s="6">
        <f>VLOOKUP(DH$18, ECLIPSES!$G$3:$J$9, 3, FALSE)</f>
        <v>-23.28</v>
      </c>
      <c r="DI61" s="6">
        <f>VLOOKUP(DI$18, ECLIPSES!$G$3:$J$9, 3, FALSE)</f>
        <v>-23.28</v>
      </c>
      <c r="DJ61" s="6">
        <f>VLOOKUP(DJ$18, ECLIPSES!$G$3:$J$9, 3, FALSE)</f>
        <v>-23.28</v>
      </c>
      <c r="DK61" s="6">
        <f>VLOOKUP(DK$18, ECLIPSES!$G$3:$J$9, 3, FALSE)</f>
        <v>-23.28</v>
      </c>
      <c r="DL61" s="6">
        <f>VLOOKUP(DL$18, ECLIPSES!$G$3:$J$9, 3, FALSE)</f>
        <v>-23.28</v>
      </c>
      <c r="DM61" s="6">
        <f>VLOOKUP(DM$18, ECLIPSES!$G$3:$J$9, 3, FALSE)</f>
        <v>-23.28</v>
      </c>
      <c r="DN61" s="6">
        <f>VLOOKUP(DN$18, ECLIPSES!$G$3:$J$9, 3, FALSE)</f>
        <v>-23.28</v>
      </c>
      <c r="DO61" s="6">
        <f>VLOOKUP(DO$18, ECLIPSES!$G$3:$J$9, 3, FALSE)</f>
        <v>-23.28</v>
      </c>
      <c r="DP61" s="6">
        <f>VLOOKUP(DP$18, ECLIPSES!$G$3:$J$9, 3, FALSE)</f>
        <v>-23.28</v>
      </c>
      <c r="DQ61" s="6">
        <f>VLOOKUP(DQ$18, ECLIPSES!$G$3:$J$9, 3, FALSE)</f>
        <v>-23.28</v>
      </c>
      <c r="DR61" s="6">
        <f>VLOOKUP(DR$18, ECLIPSES!$G$3:$J$9, 3, FALSE)</f>
        <v>-23.28</v>
      </c>
      <c r="DS61" s="6">
        <f>VLOOKUP(DS$18, ECLIPSES!$G$3:$J$9, 3, FALSE)</f>
        <v>-23.28</v>
      </c>
      <c r="DT61" s="6">
        <f>VLOOKUP(DT$18, ECLIPSES!$G$3:$J$9, 3, FALSE)</f>
        <v>-23.28</v>
      </c>
      <c r="DU61" s="6">
        <f>VLOOKUP(DU$18, ECLIPSES!$G$3:$J$9, 3, FALSE)</f>
        <v>-23.28</v>
      </c>
      <c r="DV61" s="6">
        <f>VLOOKUP(DV$18, ECLIPSES!$G$3:$J$9, 3, FALSE)</f>
        <v>-23.28</v>
      </c>
      <c r="DW61" s="6">
        <f>VLOOKUP(DW$18, ECLIPSES!$G$3:$J$9, 3, FALSE)</f>
        <v>-23.28</v>
      </c>
      <c r="DX61" s="6">
        <f>VLOOKUP(DX$18, ECLIPSES!$G$3:$J$9, 3, FALSE)</f>
        <v>-23.28</v>
      </c>
      <c r="DY61" s="6">
        <f>VLOOKUP(DY$18, ECLIPSES!$G$3:$J$9, 3, FALSE)</f>
        <v>-23.28</v>
      </c>
      <c r="DZ61" s="6">
        <f>VLOOKUP(DZ$18, ECLIPSES!$G$3:$J$9, 3, FALSE)</f>
        <v>-23.28</v>
      </c>
      <c r="EA61" s="6">
        <f>VLOOKUP(EA$18, ECLIPSES!$G$3:$J$9, 3, FALSE)</f>
        <v>-23.28</v>
      </c>
      <c r="EB61" s="6">
        <f>VLOOKUP(EB$18, ECLIPSES!$G$3:$J$9, 3, FALSE)</f>
        <v>-23.28</v>
      </c>
      <c r="EC61" s="6">
        <f>VLOOKUP(EC$18, ECLIPSES!$G$3:$J$9, 3, FALSE)</f>
        <v>-23.28</v>
      </c>
      <c r="ED61" s="6">
        <f>VLOOKUP(ED$18, ECLIPSES!$G$3:$J$9, 3, FALSE)</f>
        <v>-23.28</v>
      </c>
      <c r="EE61" s="6">
        <f>VLOOKUP(EE$18, ECLIPSES!$G$3:$J$9, 3, FALSE)</f>
        <v>-23.28</v>
      </c>
      <c r="EF61" s="6">
        <f>VLOOKUP(EF$18, ECLIPSES!$G$3:$J$9, 3, FALSE)</f>
        <v>-23.28</v>
      </c>
      <c r="EG61" s="6">
        <f>VLOOKUP(EG$18, ECLIPSES!$G$3:$J$9, 3, FALSE)</f>
        <v>-23.28</v>
      </c>
      <c r="EH61" s="6">
        <f>VLOOKUP(EH$18, ECLIPSES!$G$3:$J$9, 3, FALSE)</f>
        <v>-23.28</v>
      </c>
      <c r="EI61" s="6">
        <f>VLOOKUP(EI$18, ECLIPSES!$G$3:$J$9, 3, FALSE)</f>
        <v>-23.28</v>
      </c>
      <c r="EJ61" s="6">
        <f>VLOOKUP(EJ$18, ECLIPSES!$G$3:$J$9, 3, FALSE)</f>
        <v>-23.28</v>
      </c>
      <c r="EK61" s="6">
        <f>VLOOKUP(EK$18, ECLIPSES!$G$3:$J$9, 3, FALSE)</f>
        <v>-23.28</v>
      </c>
      <c r="EL61" s="6">
        <f>VLOOKUP(EL$18, ECLIPSES!$G$3:$J$9, 3, FALSE)</f>
        <v>-23.28</v>
      </c>
      <c r="EM61" s="6">
        <f>VLOOKUP(EM$18, ECLIPSES!$G$3:$J$9, 3, FALSE)</f>
        <v>-23.28</v>
      </c>
      <c r="EN61" s="6">
        <f>VLOOKUP(EN$18, ECLIPSES!$G$3:$J$9, 3, FALSE)</f>
        <v>-23.28</v>
      </c>
      <c r="EO61" s="6">
        <f>VLOOKUP(EO$18, ECLIPSES!$G$3:$J$9, 3, FALSE)</f>
        <v>-23.28</v>
      </c>
      <c r="EP61" s="6">
        <f>VLOOKUP(EP$18, ECLIPSES!$G$3:$J$9, 3, FALSE)</f>
        <v>-23.28</v>
      </c>
      <c r="EQ61" s="6">
        <f>VLOOKUP(EQ$18, ECLIPSES!$G$3:$J$9, 3, FALSE)</f>
        <v>-23.28</v>
      </c>
      <c r="ER61" s="6">
        <f>VLOOKUP(ER$18, ECLIPSES!$G$3:$J$9, 3, FALSE)</f>
        <v>-23.28</v>
      </c>
      <c r="ES61" s="6">
        <f>VLOOKUP(ES$18, ECLIPSES!$G$3:$J$9, 3, FALSE)</f>
        <v>-23.28</v>
      </c>
      <c r="ET61" s="6">
        <f>VLOOKUP(ET$18, ECLIPSES!$G$3:$J$9, 3, FALSE)</f>
        <v>-23.28</v>
      </c>
      <c r="EU61" s="6">
        <f>VLOOKUP(EU$18, ECLIPSES!$G$3:$J$9, 3, FALSE)</f>
        <v>-23.28</v>
      </c>
      <c r="EV61" s="6">
        <f>VLOOKUP(EV$18, ECLIPSES!$G$3:$J$9, 3, FALSE)</f>
        <v>-23.28</v>
      </c>
      <c r="EW61" s="6">
        <f>VLOOKUP(EW$18, ECLIPSES!$G$3:$J$9, 3, FALSE)</f>
        <v>-23.28</v>
      </c>
      <c r="EX61" s="6">
        <f>VLOOKUP(EX$18, ECLIPSES!$G$3:$J$9, 3, FALSE)</f>
        <v>-23.28</v>
      </c>
      <c r="EY61" s="6">
        <f>VLOOKUP(EY$18, ECLIPSES!$G$3:$J$9, 3, FALSE)</f>
        <v>-23.28</v>
      </c>
      <c r="EZ61" s="6">
        <f>VLOOKUP(EZ$18, ECLIPSES!$G$3:$J$9, 3, FALSE)</f>
        <v>-23.28</v>
      </c>
      <c r="FA61" s="6">
        <f>VLOOKUP(FA$18, ECLIPSES!$G$3:$J$9, 3, FALSE)</f>
        <v>-23.28</v>
      </c>
      <c r="FB61" s="6">
        <f>VLOOKUP(FB$18, ECLIPSES!$G$3:$J$9, 3, FALSE)</f>
        <v>-23.28</v>
      </c>
      <c r="FC61" s="6">
        <f>VLOOKUP(FC$18, ECLIPSES!$G$3:$J$9, 3, FALSE)</f>
        <v>-23.28</v>
      </c>
      <c r="FD61" s="6">
        <f>VLOOKUP(FD$18, ECLIPSES!$G$3:$J$9, 3, FALSE)</f>
        <v>-23.28</v>
      </c>
      <c r="FE61" s="6">
        <f>VLOOKUP(FE$18, ECLIPSES!$G$3:$J$9, 3, FALSE)</f>
        <v>-23.28</v>
      </c>
      <c r="FF61" s="6">
        <f>VLOOKUP(FF$18, ECLIPSES!$G$3:$J$9, 3, FALSE)</f>
        <v>-23.28</v>
      </c>
      <c r="FG61" s="6">
        <f>VLOOKUP(FG$18, ECLIPSES!$G$3:$J$9, 3, FALSE)</f>
        <v>-23.28</v>
      </c>
      <c r="FH61" s="6">
        <f>VLOOKUP(FH$18, ECLIPSES!$G$3:$J$9, 3, FALSE)</f>
        <v>-23.28</v>
      </c>
      <c r="FI61" s="6">
        <f>VLOOKUP(FI$18, ECLIPSES!$G$3:$J$9, 3, FALSE)</f>
        <v>-23.28</v>
      </c>
      <c r="FJ61" s="6">
        <f>VLOOKUP(FJ$18, ECLIPSES!$G$3:$J$9, 3, FALSE)</f>
        <v>0</v>
      </c>
      <c r="FK61" s="6">
        <f>VLOOKUP(FK$18, ECLIPSES!$G$3:$J$9, 3, FALSE)</f>
        <v>0</v>
      </c>
      <c r="FL61" s="6">
        <f>VLOOKUP(FL$18, ECLIPSES!$G$3:$J$9, 3, FALSE)</f>
        <v>0</v>
      </c>
      <c r="FM61" s="6">
        <f>VLOOKUP(FM$18, ECLIPSES!$G$3:$J$9, 3, FALSE)</f>
        <v>0</v>
      </c>
      <c r="FN61" s="6">
        <f>VLOOKUP(FN$18, ECLIPSES!$G$3:$J$9, 3, FALSE)</f>
        <v>-23.28</v>
      </c>
      <c r="FO61" s="6">
        <f>VLOOKUP(FO$18, ECLIPSES!$G$3:$J$9, 3, FALSE)</f>
        <v>-23.28</v>
      </c>
      <c r="FP61" s="6">
        <f>VLOOKUP(FP$18, ECLIPSES!$G$3:$J$9, 3, FALSE)</f>
        <v>-23.28</v>
      </c>
      <c r="FQ61" s="6">
        <f>VLOOKUP(FQ$18, ECLIPSES!$G$3:$J$9, 3, FALSE)</f>
        <v>-23.28</v>
      </c>
      <c r="FR61" s="6">
        <f>VLOOKUP(FR$18, ECLIPSES!$G$3:$J$9, 3, FALSE)</f>
        <v>-23.28</v>
      </c>
      <c r="FS61" s="6">
        <f>VLOOKUP(FS$18, ECLIPSES!$G$3:$J$9, 3, FALSE)</f>
        <v>-23.28</v>
      </c>
      <c r="FT61" s="6">
        <f>VLOOKUP(FT$18, ECLIPSES!$G$3:$J$9, 3, FALSE)</f>
        <v>-23.28</v>
      </c>
      <c r="FU61" s="6">
        <f>VLOOKUP(FU$18, ECLIPSES!$G$3:$J$9, 3, FALSE)</f>
        <v>-23.28</v>
      </c>
      <c r="FV61" s="6">
        <f>VLOOKUP(FV$18, ECLIPSES!$G$3:$J$9, 3, FALSE)</f>
        <v>-23.28</v>
      </c>
      <c r="FW61" s="6">
        <f>VLOOKUP(FW$18, ECLIPSES!$G$3:$J$9, 3, FALSE)</f>
        <v>-23.28</v>
      </c>
      <c r="FX61" s="6">
        <f>VLOOKUP(FX$18, ECLIPSES!$G$3:$J$9, 3, FALSE)</f>
        <v>-23.28</v>
      </c>
      <c r="FY61" s="6">
        <f>VLOOKUP(FY$18, ECLIPSES!$G$3:$J$9, 3, FALSE)</f>
        <v>-23.28</v>
      </c>
      <c r="FZ61" s="6">
        <f>VLOOKUP(FZ$18, ECLIPSES!$G$3:$J$9, 3, FALSE)</f>
        <v>-23.28</v>
      </c>
      <c r="GA61" s="6">
        <f>VLOOKUP(GA$18, ECLIPSES!$G$3:$J$9, 3, FALSE)</f>
        <v>-23.28</v>
      </c>
      <c r="GB61" s="6">
        <f>VLOOKUP(GB$18, ECLIPSES!$G$3:$J$9, 3, FALSE)</f>
        <v>-23.28</v>
      </c>
      <c r="GC61" s="6">
        <f>VLOOKUP(GC$18, ECLIPSES!$G$3:$J$9, 3, FALSE)</f>
        <v>-23.28</v>
      </c>
      <c r="GD61" s="6">
        <f>VLOOKUP(GD$18, ECLIPSES!$G$3:$J$9, 3, FALSE)</f>
        <v>-23.28</v>
      </c>
      <c r="GE61" s="6">
        <f>VLOOKUP(GE$18, ECLIPSES!$G$3:$J$9, 3, FALSE)</f>
        <v>-23.28</v>
      </c>
      <c r="GF61" s="6">
        <f>VLOOKUP(GF$18, ECLIPSES!$G$3:$J$9, 3, FALSE)</f>
        <v>-23.28</v>
      </c>
      <c r="GG61" s="6">
        <f>VLOOKUP(GG$18, ECLIPSES!$G$3:$J$9, 3, FALSE)</f>
        <v>-23.28</v>
      </c>
      <c r="GH61" s="6">
        <f>VLOOKUP(GH$18, ECLIPSES!$G$3:$J$9, 3, FALSE)</f>
        <v>-23.28</v>
      </c>
      <c r="GI61" s="6">
        <f>VLOOKUP(GI$18, ECLIPSES!$G$3:$J$9, 3, FALSE)</f>
        <v>-23.28</v>
      </c>
      <c r="GJ61" s="6">
        <f>VLOOKUP(GJ$18, ECLIPSES!$G$3:$J$9, 3, FALSE)</f>
        <v>-23.28</v>
      </c>
      <c r="GK61" s="6">
        <f>VLOOKUP(GK$18, ECLIPSES!$G$3:$J$9, 3, FALSE)</f>
        <v>-23.28</v>
      </c>
      <c r="GL61" s="6">
        <f>VLOOKUP(GL$18, ECLIPSES!$G$3:$J$9, 3, FALSE)</f>
        <v>-23.28</v>
      </c>
      <c r="GM61" s="6">
        <f>VLOOKUP(GM$18, ECLIPSES!$G$3:$J$9, 3, FALSE)</f>
        <v>-23.28</v>
      </c>
      <c r="GN61" s="6">
        <f>VLOOKUP(GN$18, ECLIPSES!$G$3:$J$9, 3, FALSE)</f>
        <v>-23.28</v>
      </c>
      <c r="GO61" s="6">
        <f>VLOOKUP(GO$18, ECLIPSES!$G$3:$J$9, 3, FALSE)</f>
        <v>-23.28</v>
      </c>
      <c r="GP61" s="6">
        <f>VLOOKUP(GP$18, ECLIPSES!$G$3:$J$9, 3, FALSE)</f>
        <v>-23.28</v>
      </c>
      <c r="GQ61" s="6">
        <f>VLOOKUP(GQ$18, ECLIPSES!$G$3:$J$9, 3, FALSE)</f>
        <v>-23.28</v>
      </c>
      <c r="GR61" s="6">
        <f>VLOOKUP(GR$18, ECLIPSES!$G$3:$J$9, 3, FALSE)</f>
        <v>-23.28</v>
      </c>
      <c r="GS61" s="6">
        <f>VLOOKUP(GS$18, ECLIPSES!$G$3:$J$9, 3, FALSE)</f>
        <v>-23.28</v>
      </c>
      <c r="GT61" s="6">
        <f>VLOOKUP(GT$18, ECLIPSES!$G$3:$J$9, 3, FALSE)</f>
        <v>-23.28</v>
      </c>
      <c r="GU61" s="6">
        <f>VLOOKUP(GU$18, ECLIPSES!$G$3:$J$9, 3, FALSE)</f>
        <v>-23.28</v>
      </c>
      <c r="GV61" s="6">
        <f>VLOOKUP(GV$18, ECLIPSES!$G$3:$J$9, 3, FALSE)</f>
        <v>-23.28</v>
      </c>
      <c r="GW61" s="6">
        <f>VLOOKUP(GW$18, ECLIPSES!$G$3:$J$9, 3, FALSE)</f>
        <v>-23.28</v>
      </c>
      <c r="GX61" s="6">
        <f>VLOOKUP(GX$18, ECLIPSES!$G$3:$J$9, 3, FALSE)</f>
        <v>-23.28</v>
      </c>
      <c r="GY61" s="6">
        <f>VLOOKUP(GY$18, ECLIPSES!$G$3:$J$9, 3, FALSE)</f>
        <v>-23.28</v>
      </c>
      <c r="GZ61" s="6">
        <f>VLOOKUP(GZ$18, ECLIPSES!$G$3:$J$9, 3, FALSE)</f>
        <v>-23.28</v>
      </c>
      <c r="HA61" s="6">
        <f>VLOOKUP(HA$18, ECLIPSES!$G$3:$J$9, 3, FALSE)</f>
        <v>-23.28</v>
      </c>
      <c r="HB61" s="6">
        <f>VLOOKUP(HB$18, ECLIPSES!$G$3:$J$9, 3, FALSE)</f>
        <v>-23.28</v>
      </c>
      <c r="HC61" s="6">
        <f>VLOOKUP(HC$18, ECLIPSES!$G$3:$J$9, 3, FALSE)</f>
        <v>-23.28</v>
      </c>
      <c r="HD61" s="6">
        <f>VLOOKUP(HD$18, ECLIPSES!$G$3:$J$9, 3, FALSE)</f>
        <v>-23.28</v>
      </c>
      <c r="HE61" s="6">
        <f>VLOOKUP(HE$18, ECLIPSES!$G$3:$J$9, 3, FALSE)</f>
        <v>-23.28</v>
      </c>
      <c r="HF61" s="6">
        <f>VLOOKUP(HF$18, ECLIPSES!$G$3:$J$9, 3, FALSE)</f>
        <v>-23.28</v>
      </c>
      <c r="HG61" s="6">
        <f>VLOOKUP(HG$18, ECLIPSES!$G$3:$J$9, 3, FALSE)</f>
        <v>-23.28</v>
      </c>
      <c r="HH61" s="6">
        <f>VLOOKUP(HH$18, ECLIPSES!$G$3:$J$9, 3, FALSE)</f>
        <v>-23.28</v>
      </c>
      <c r="HI61" s="6">
        <f>VLOOKUP(HI$18, ECLIPSES!$G$3:$J$9, 3, FALSE)</f>
        <v>-23.28</v>
      </c>
      <c r="HJ61" s="6">
        <f>VLOOKUP(HJ$18, ECLIPSES!$G$3:$J$9, 3, FALSE)</f>
        <v>-23.28</v>
      </c>
      <c r="HK61" s="6">
        <f>VLOOKUP(HK$18, ECLIPSES!$G$3:$J$9, 3, FALSE)</f>
        <v>-23.28</v>
      </c>
      <c r="HL61" s="6">
        <f>VLOOKUP(HL$18, ECLIPSES!$G$3:$J$9, 3, FALSE)</f>
        <v>-23.28</v>
      </c>
      <c r="HM61" s="6">
        <f>VLOOKUP(HM$18, ECLIPSES!$G$3:$J$9, 3, FALSE)</f>
        <v>-23.28</v>
      </c>
      <c r="HN61" s="6">
        <f>VLOOKUP(HN$18, ECLIPSES!$G$3:$J$9, 3, FALSE)</f>
        <v>-23.28</v>
      </c>
      <c r="HO61" s="6">
        <f>VLOOKUP(HO$18, ECLIPSES!$G$3:$J$9, 3, FALSE)</f>
        <v>-23.28</v>
      </c>
      <c r="HP61" s="6">
        <f>VLOOKUP(HP$18, ECLIPSES!$G$3:$J$9, 3, FALSE)</f>
        <v>-23.28</v>
      </c>
      <c r="HQ61" s="6">
        <f>VLOOKUP(HQ$18, ECLIPSES!$G$3:$J$9, 3, FALSE)</f>
        <v>-23.28</v>
      </c>
      <c r="HR61" s="6">
        <f>VLOOKUP(HR$18, ECLIPSES!$G$3:$J$9, 3, FALSE)</f>
        <v>-23.28</v>
      </c>
      <c r="HS61" s="6">
        <f>VLOOKUP(HS$18, ECLIPSES!$G$3:$J$9, 3, FALSE)</f>
        <v>-23.28</v>
      </c>
      <c r="HT61" s="6">
        <f>VLOOKUP(HT$18, ECLIPSES!$G$3:$J$9, 3, FALSE)</f>
        <v>-23.28</v>
      </c>
      <c r="HU61" s="6">
        <f>VLOOKUP(HU$18, ECLIPSES!$G$3:$J$9, 3, FALSE)</f>
        <v>-23.28</v>
      </c>
      <c r="HV61" s="6">
        <f>VLOOKUP(HV$18, ECLIPSES!$G$3:$J$9, 3, FALSE)</f>
        <v>-23.28</v>
      </c>
      <c r="HW61" s="6">
        <f>VLOOKUP(HW$18, ECLIPSES!$G$3:$J$9, 3, FALSE)</f>
        <v>-23.28</v>
      </c>
      <c r="HX61" s="6">
        <f>VLOOKUP(HX$18, ECLIPSES!$G$3:$J$9, 3, FALSE)</f>
        <v>-23.28</v>
      </c>
      <c r="HY61" s="6">
        <f>VLOOKUP(HY$18, ECLIPSES!$G$3:$J$9, 3, FALSE)</f>
        <v>-23.28</v>
      </c>
      <c r="HZ61" s="6">
        <f>VLOOKUP(HZ$18, ECLIPSES!$G$3:$J$9, 3, FALSE)</f>
        <v>-23.28</v>
      </c>
      <c r="IA61" s="6">
        <f>VLOOKUP(IA$18, ECLIPSES!$G$3:$J$9, 3, FALSE)</f>
        <v>-23.28</v>
      </c>
      <c r="IB61" s="6">
        <f>VLOOKUP(IB$18, ECLIPSES!$G$3:$J$9, 3, FALSE)</f>
        <v>-23.28</v>
      </c>
      <c r="IC61" s="6">
        <f>VLOOKUP(IC$18, ECLIPSES!$G$3:$J$9, 3, FALSE)</f>
        <v>-23.28</v>
      </c>
      <c r="ID61" s="6">
        <f>VLOOKUP(ID$18, ECLIPSES!$G$3:$J$9, 3, FALSE)</f>
        <v>0</v>
      </c>
      <c r="IE61" s="6">
        <f>VLOOKUP(IE$18, ECLIPSES!$G$3:$J$9, 3, FALSE)</f>
        <v>0</v>
      </c>
      <c r="IF61" s="6">
        <f>VLOOKUP(IF$18, ECLIPSES!$G$3:$J$9, 3, FALSE)</f>
        <v>0</v>
      </c>
      <c r="IG61" s="6">
        <f>VLOOKUP(IG$18, ECLIPSES!$G$3:$J$9, 3, FALSE)</f>
        <v>0</v>
      </c>
      <c r="IH61" s="6">
        <f>VLOOKUP(IH$18, ECLIPSES!$G$3:$J$9, 3, FALSE)</f>
        <v>-23.28</v>
      </c>
      <c r="II61" s="6">
        <f>VLOOKUP(II$18, ECLIPSES!$G$3:$J$9, 3, FALSE)</f>
        <v>-23.28</v>
      </c>
      <c r="IJ61" s="6">
        <f>VLOOKUP(IJ$18, ECLIPSES!$G$3:$J$9, 3, FALSE)</f>
        <v>-23.28</v>
      </c>
      <c r="IK61" s="6">
        <f>VLOOKUP(IK$18, ECLIPSES!$G$3:$J$9, 3, FALSE)</f>
        <v>-23.28</v>
      </c>
      <c r="IL61" s="6">
        <f>VLOOKUP(IL$18, ECLIPSES!$G$3:$J$9, 3, FALSE)</f>
        <v>-23.28</v>
      </c>
      <c r="IM61" s="6">
        <f>VLOOKUP(IM$18, ECLIPSES!$G$3:$J$9, 3, FALSE)</f>
        <v>-23.28</v>
      </c>
      <c r="IN61" s="6">
        <f>VLOOKUP(IN$18, ECLIPSES!$G$3:$J$9, 3, FALSE)</f>
        <v>-23.28</v>
      </c>
      <c r="IO61" s="6">
        <f>VLOOKUP(IO$18, ECLIPSES!$G$3:$J$9, 3, FALSE)</f>
        <v>-23.28</v>
      </c>
      <c r="IP61" s="6">
        <f>VLOOKUP(IP$18, ECLIPSES!$G$3:$J$9, 3, FALSE)</f>
        <v>-23.28</v>
      </c>
      <c r="IQ61" s="6">
        <f>VLOOKUP(IQ$18, ECLIPSES!$G$3:$J$9, 3, FALSE)</f>
        <v>-23.28</v>
      </c>
      <c r="IR61" s="6">
        <f>VLOOKUP(IR$18, ECLIPSES!$G$3:$J$9, 3, FALSE)</f>
        <v>-23.28</v>
      </c>
      <c r="IS61" s="6">
        <f>VLOOKUP(IS$18, ECLIPSES!$G$3:$J$9, 3, FALSE)</f>
        <v>-23.28</v>
      </c>
      <c r="IT61" s="6">
        <f>VLOOKUP(IT$18, ECLIPSES!$G$3:$J$9, 3, FALSE)</f>
        <v>-23.28</v>
      </c>
      <c r="IU61" s="6">
        <f>VLOOKUP(IU$18, ECLIPSES!$G$3:$J$9, 3, FALSE)</f>
        <v>-23.28</v>
      </c>
      <c r="IV61" s="6">
        <f>VLOOKUP(IV$18, ECLIPSES!$G$3:$J$9, 3, FALSE)</f>
        <v>-23.28</v>
      </c>
      <c r="IW61" s="6">
        <f>VLOOKUP(IW$18, ECLIPSES!$G$3:$J$9, 3, FALSE)</f>
        <v>-23.28</v>
      </c>
      <c r="IX61" s="6">
        <f>VLOOKUP(IX$18, ECLIPSES!$G$3:$J$9, 3, FALSE)</f>
        <v>-23.28</v>
      </c>
      <c r="IY61" s="6">
        <f>VLOOKUP(IY$18, ECLIPSES!$G$3:$J$9, 3, FALSE)</f>
        <v>-23.28</v>
      </c>
      <c r="IZ61" s="6">
        <f>VLOOKUP(IZ$18, ECLIPSES!$G$3:$J$9, 3, FALSE)</f>
        <v>-23.28</v>
      </c>
      <c r="JA61" s="6">
        <f>VLOOKUP(JA$18, ECLIPSES!$G$3:$J$9, 3, FALSE)</f>
        <v>-23.28</v>
      </c>
      <c r="JB61" s="6">
        <f>VLOOKUP(JB$18, ECLIPSES!$G$3:$J$9, 3, FALSE)</f>
        <v>-23.28</v>
      </c>
      <c r="JC61" s="6">
        <f>VLOOKUP(JC$18, ECLIPSES!$G$3:$J$9, 3, FALSE)</f>
        <v>-23.28</v>
      </c>
      <c r="JD61" s="6">
        <f>VLOOKUP(JD$18, ECLIPSES!$G$3:$J$9, 3, FALSE)</f>
        <v>-23.28</v>
      </c>
      <c r="JE61" s="6">
        <f>VLOOKUP(JE$18, ECLIPSES!$G$3:$J$9, 3, FALSE)</f>
        <v>-23.28</v>
      </c>
      <c r="JF61" s="6">
        <f>VLOOKUP(JF$18, ECLIPSES!$G$3:$J$9, 3, FALSE)</f>
        <v>-23.28</v>
      </c>
      <c r="JG61" s="6">
        <f>VLOOKUP(JG$18, ECLIPSES!$G$3:$J$9, 3, FALSE)</f>
        <v>-23.28</v>
      </c>
      <c r="JH61" s="6">
        <f>VLOOKUP(JH$18, ECLIPSES!$G$3:$J$9, 3, FALSE)</f>
        <v>-23.28</v>
      </c>
      <c r="JI61" s="6">
        <f>VLOOKUP(JI$18, ECLIPSES!$G$3:$J$9, 3, FALSE)</f>
        <v>-23.28</v>
      </c>
      <c r="JJ61" s="6">
        <f>VLOOKUP(JJ$18, ECLIPSES!$G$3:$J$9, 3, FALSE)</f>
        <v>-23.28</v>
      </c>
      <c r="JK61" s="6">
        <f>VLOOKUP(JK$18, ECLIPSES!$G$3:$J$9, 3, FALSE)</f>
        <v>-23.28</v>
      </c>
      <c r="JL61" s="6">
        <f>VLOOKUP(JL$18, ECLIPSES!$G$3:$J$9, 3, FALSE)</f>
        <v>-23.28</v>
      </c>
      <c r="JM61" s="6">
        <f>VLOOKUP(JM$18, ECLIPSES!$G$3:$J$9, 3, FALSE)</f>
        <v>-23.28</v>
      </c>
      <c r="JN61" s="6">
        <f>VLOOKUP(JN$18, ECLIPSES!$G$3:$J$9, 3, FALSE)</f>
        <v>-23.28</v>
      </c>
      <c r="JO61" s="6">
        <f>VLOOKUP(JO$18, ECLIPSES!$G$3:$J$9, 3, FALSE)</f>
        <v>-23.28</v>
      </c>
      <c r="JP61" s="6">
        <f>VLOOKUP(JP$18, ECLIPSES!$G$3:$J$9, 3, FALSE)</f>
        <v>-23.28</v>
      </c>
      <c r="JQ61" s="6">
        <f>VLOOKUP(JQ$18, ECLIPSES!$G$3:$J$9, 3, FALSE)</f>
        <v>-23.28</v>
      </c>
      <c r="JR61" s="6">
        <f>VLOOKUP(JR$18, ECLIPSES!$G$3:$J$9, 3, FALSE)</f>
        <v>-23.28</v>
      </c>
      <c r="JS61" s="6">
        <f>VLOOKUP(JS$18, ECLIPSES!$G$3:$J$9, 3, FALSE)</f>
        <v>-23.28</v>
      </c>
      <c r="JT61" s="6">
        <f>VLOOKUP(JT$18, ECLIPSES!$G$3:$J$9, 3, FALSE)</f>
        <v>-23.28</v>
      </c>
      <c r="JU61" s="6">
        <f>VLOOKUP(JU$18, ECLIPSES!$G$3:$J$9, 3, FALSE)</f>
        <v>-23.28</v>
      </c>
      <c r="JV61" s="6">
        <f>VLOOKUP(JV$18, ECLIPSES!$G$3:$J$9, 3, FALSE)</f>
        <v>-23.28</v>
      </c>
      <c r="JW61" s="6">
        <f>VLOOKUP(JW$18, ECLIPSES!$G$3:$J$9, 3, FALSE)</f>
        <v>-23.28</v>
      </c>
      <c r="JX61" s="6">
        <f>VLOOKUP(JX$18, ECLIPSES!$G$3:$J$9, 3, FALSE)</f>
        <v>-23.28</v>
      </c>
      <c r="JY61" s="6">
        <f>VLOOKUP(JY$18, ECLIPSES!$G$3:$J$9, 3, FALSE)</f>
        <v>-23.28</v>
      </c>
      <c r="JZ61" s="6">
        <f>VLOOKUP(JZ$18, ECLIPSES!$G$3:$J$9, 3, FALSE)</f>
        <v>-23.28</v>
      </c>
      <c r="KA61" s="6">
        <f>VLOOKUP(KA$18, ECLIPSES!$G$3:$J$9, 3, FALSE)</f>
        <v>-23.28</v>
      </c>
      <c r="KB61" s="6">
        <f>VLOOKUP(KB$18, ECLIPSES!$G$3:$J$9, 3, FALSE)</f>
        <v>-23.28</v>
      </c>
      <c r="KC61" s="6">
        <f>VLOOKUP(KC$18, ECLIPSES!$G$3:$J$9, 3, FALSE)</f>
        <v>-23.28</v>
      </c>
      <c r="KD61" s="6">
        <f>VLOOKUP(KD$18, ECLIPSES!$G$3:$J$9, 3, FALSE)</f>
        <v>-23.28</v>
      </c>
      <c r="KE61" s="6">
        <f>VLOOKUP(KE$18, ECLIPSES!$G$3:$J$9, 3, FALSE)</f>
        <v>-23.28</v>
      </c>
      <c r="KF61" s="6">
        <f>VLOOKUP(KF$18, ECLIPSES!$G$3:$J$9, 3, FALSE)</f>
        <v>-23.28</v>
      </c>
      <c r="KG61" s="6">
        <f>VLOOKUP(KG$18, ECLIPSES!$G$3:$J$9, 3, FALSE)</f>
        <v>-23.28</v>
      </c>
      <c r="KH61" s="6">
        <f>VLOOKUP(KH$18, ECLIPSES!$G$3:$J$9, 3, FALSE)</f>
        <v>-23.28</v>
      </c>
      <c r="KI61" s="6">
        <f>VLOOKUP(KI$18, ECLIPSES!$G$3:$J$9, 3, FALSE)</f>
        <v>-23.28</v>
      </c>
      <c r="KJ61" s="6">
        <f>VLOOKUP(KJ$18, ECLIPSES!$G$3:$J$9, 3, FALSE)</f>
        <v>-23.28</v>
      </c>
      <c r="KK61" s="6">
        <f>VLOOKUP(KK$18, ECLIPSES!$G$3:$J$9, 3, FALSE)</f>
        <v>-23.28</v>
      </c>
      <c r="KL61" s="6">
        <f>VLOOKUP(KL$18, ECLIPSES!$G$3:$J$9, 3, FALSE)</f>
        <v>-23.28</v>
      </c>
      <c r="KM61" s="6">
        <f>VLOOKUP(KM$18, ECLIPSES!$G$3:$J$9, 3, FALSE)</f>
        <v>-23.28</v>
      </c>
      <c r="KN61" s="6">
        <f>VLOOKUP(KN$18, ECLIPSES!$G$3:$J$9, 3, FALSE)</f>
        <v>-23.28</v>
      </c>
      <c r="KO61" s="6">
        <f>VLOOKUP(KO$18, ECLIPSES!$G$3:$J$9, 3, FALSE)</f>
        <v>-23.28</v>
      </c>
      <c r="KP61" s="6">
        <f>VLOOKUP(KP$18, ECLIPSES!$G$3:$J$9, 3, FALSE)</f>
        <v>-23.28</v>
      </c>
      <c r="KQ61" s="6">
        <f>VLOOKUP(KQ$18, ECLIPSES!$G$3:$J$9, 3, FALSE)</f>
        <v>-23.28</v>
      </c>
      <c r="KR61" s="6">
        <f>VLOOKUP(KR$18, ECLIPSES!$G$3:$J$9, 3, FALSE)</f>
        <v>-23.28</v>
      </c>
      <c r="KS61" s="6">
        <f>VLOOKUP(KS$18, ECLIPSES!$G$3:$J$9, 3, FALSE)</f>
        <v>-23.28</v>
      </c>
      <c r="KT61" s="6">
        <f>VLOOKUP(KT$18, ECLIPSES!$G$3:$J$9, 3, FALSE)</f>
        <v>-23.28</v>
      </c>
      <c r="KU61" s="6">
        <f>VLOOKUP(KU$18, ECLIPSES!$G$3:$J$9, 3, FALSE)</f>
        <v>-23.28</v>
      </c>
      <c r="KV61" s="6">
        <f>VLOOKUP(KV$18, ECLIPSES!$G$3:$J$9, 3, FALSE)</f>
        <v>-23.28</v>
      </c>
      <c r="KW61" s="6">
        <f>VLOOKUP(KW$18, ECLIPSES!$G$3:$J$9, 3, FALSE)</f>
        <v>-23.28</v>
      </c>
      <c r="KX61" s="6">
        <f>VLOOKUP(KX$18, ECLIPSES!$G$3:$J$9, 3, FALSE)</f>
        <v>0</v>
      </c>
      <c r="KY61" s="6">
        <f>VLOOKUP(KY$18, ECLIPSES!$G$3:$J$9, 3, FALSE)</f>
        <v>0</v>
      </c>
      <c r="KZ61" s="6">
        <f>VLOOKUP(KZ$18, ECLIPSES!$G$3:$J$9, 3, FALSE)</f>
        <v>0</v>
      </c>
      <c r="LA61" s="6">
        <f>VLOOKUP(LA$18, ECLIPSES!$G$3:$J$9, 3, FALSE)</f>
        <v>0</v>
      </c>
      <c r="LB61" s="6">
        <f>VLOOKUP(LB$18, ECLIPSES!$G$3:$J$9, 3, FALSE)</f>
        <v>-23.28</v>
      </c>
      <c r="LC61" s="6">
        <f>VLOOKUP(LC$18, ECLIPSES!$G$3:$J$9, 3, FALSE)</f>
        <v>-23.28</v>
      </c>
      <c r="LD61" s="6">
        <f>VLOOKUP(LD$18, ECLIPSES!$G$3:$J$9, 3, FALSE)</f>
        <v>-23.28</v>
      </c>
      <c r="LE61" s="6">
        <f>VLOOKUP(LE$18, ECLIPSES!$G$3:$J$9, 3, FALSE)</f>
        <v>-23.28</v>
      </c>
      <c r="LF61" s="6">
        <f>VLOOKUP(LF$18, ECLIPSES!$G$3:$J$9, 3, FALSE)</f>
        <v>-23.28</v>
      </c>
      <c r="LG61" s="6">
        <f>VLOOKUP(LG$18, ECLIPSES!$G$3:$J$9, 3, FALSE)</f>
        <v>-23.28</v>
      </c>
      <c r="LH61" s="6">
        <f>VLOOKUP(LH$18, ECLIPSES!$G$3:$J$9, 3, FALSE)</f>
        <v>-23.28</v>
      </c>
      <c r="LI61" s="6">
        <f>VLOOKUP(LI$18, ECLIPSES!$G$3:$J$9, 3, FALSE)</f>
        <v>-23.28</v>
      </c>
      <c r="LJ61" s="6">
        <f>VLOOKUP(LJ$18, ECLIPSES!$G$3:$J$9, 3, FALSE)</f>
        <v>-23.28</v>
      </c>
      <c r="LK61" s="6">
        <f>VLOOKUP(LK$18, ECLIPSES!$G$3:$J$9, 3, FALSE)</f>
        <v>-23.28</v>
      </c>
      <c r="LL61" s="6">
        <f>VLOOKUP(LL$18, ECLIPSES!$G$3:$J$9, 3, FALSE)</f>
        <v>-23.28</v>
      </c>
      <c r="LM61" s="6">
        <f>VLOOKUP(LM$18, ECLIPSES!$G$3:$J$9, 3, FALSE)</f>
        <v>-23.28</v>
      </c>
      <c r="LN61" s="6">
        <f>VLOOKUP(LN$18, ECLIPSES!$G$3:$J$9, 3, FALSE)</f>
        <v>-23.28</v>
      </c>
      <c r="LO61" s="6">
        <f>VLOOKUP(LO$18, ECLIPSES!$G$3:$J$9, 3, FALSE)</f>
        <v>-23.28</v>
      </c>
      <c r="LP61" s="6">
        <f>VLOOKUP(LP$18, ECLIPSES!$G$3:$J$9, 3, FALSE)</f>
        <v>-23.28</v>
      </c>
      <c r="LQ61" s="6">
        <f>VLOOKUP(LQ$18, ECLIPSES!$G$3:$J$9, 3, FALSE)</f>
        <v>-23.28</v>
      </c>
      <c r="LR61" s="6">
        <f>VLOOKUP(LR$18, ECLIPSES!$G$3:$J$9, 3, FALSE)</f>
        <v>-23.28</v>
      </c>
      <c r="LS61" s="6">
        <f>VLOOKUP(LS$18, ECLIPSES!$G$3:$J$9, 3, FALSE)</f>
        <v>-23.28</v>
      </c>
      <c r="LT61" s="6">
        <f>VLOOKUP(LT$18, ECLIPSES!$G$3:$J$9, 3, FALSE)</f>
        <v>-23.28</v>
      </c>
      <c r="LU61" s="6">
        <f>VLOOKUP(LU$18, ECLIPSES!$G$3:$J$9, 3, FALSE)</f>
        <v>-23.28</v>
      </c>
      <c r="LV61" s="6">
        <f>VLOOKUP(LV$18, ECLIPSES!$G$3:$J$9, 3, FALSE)</f>
        <v>-23.28</v>
      </c>
      <c r="LW61" s="6">
        <f>VLOOKUP(LW$18, ECLIPSES!$G$3:$J$9, 3, FALSE)</f>
        <v>-23.28</v>
      </c>
      <c r="LX61" s="6">
        <f>VLOOKUP(LX$18, ECLIPSES!$G$3:$J$9, 3, FALSE)</f>
        <v>-23.28</v>
      </c>
      <c r="LY61" s="6">
        <f>VLOOKUP(LY$18, ECLIPSES!$G$3:$J$9, 3, FALSE)</f>
        <v>-23.28</v>
      </c>
      <c r="LZ61" s="6">
        <f>VLOOKUP(LZ$18, ECLIPSES!$G$3:$J$9, 3, FALSE)</f>
        <v>-23.28</v>
      </c>
      <c r="MA61" s="6">
        <f>VLOOKUP(MA$18, ECLIPSES!$G$3:$J$9, 3, FALSE)</f>
        <v>-23.28</v>
      </c>
      <c r="MB61" s="6">
        <f>VLOOKUP(MB$18, ECLIPSES!$G$3:$J$9, 3, FALSE)</f>
        <v>-23.28</v>
      </c>
      <c r="MC61" s="6">
        <f>VLOOKUP(MC$18, ECLIPSES!$G$3:$J$9, 3, FALSE)</f>
        <v>-23.28</v>
      </c>
      <c r="MD61" s="6">
        <f>VLOOKUP(MD$18, ECLIPSES!$G$3:$J$9, 3, FALSE)</f>
        <v>-23.28</v>
      </c>
      <c r="ME61" s="6">
        <f>VLOOKUP(ME$18, ECLIPSES!$G$3:$J$9, 3, FALSE)</f>
        <v>-23.28</v>
      </c>
      <c r="MF61" s="6">
        <f>VLOOKUP(MF$18, ECLIPSES!$G$3:$J$9, 3, FALSE)</f>
        <v>-23.28</v>
      </c>
      <c r="MG61" s="6">
        <f>VLOOKUP(MG$18, ECLIPSES!$G$3:$J$9, 3, FALSE)</f>
        <v>-23.28</v>
      </c>
      <c r="MH61" s="6">
        <f>VLOOKUP(MH$18, ECLIPSES!$G$3:$J$9, 3, FALSE)</f>
        <v>-23.28</v>
      </c>
      <c r="MI61" s="6">
        <f>VLOOKUP(MI$18, ECLIPSES!$G$3:$J$9, 3, FALSE)</f>
        <v>-23.28</v>
      </c>
      <c r="MJ61" s="6">
        <f>VLOOKUP(MJ$18, ECLIPSES!$G$3:$J$9, 3, FALSE)</f>
        <v>-23.28</v>
      </c>
      <c r="MK61" s="6">
        <f>VLOOKUP(MK$18, ECLIPSES!$G$3:$J$9, 3, FALSE)</f>
        <v>-23.28</v>
      </c>
      <c r="ML61" s="6">
        <f>VLOOKUP(ML$18, ECLIPSES!$G$3:$J$9, 3, FALSE)</f>
        <v>-23.28</v>
      </c>
      <c r="MM61" s="6">
        <f>VLOOKUP(MM$18, ECLIPSES!$G$3:$J$9, 3, FALSE)</f>
        <v>-23.28</v>
      </c>
      <c r="MN61" s="6">
        <f>VLOOKUP(MN$18, ECLIPSES!$G$3:$J$9, 3, FALSE)</f>
        <v>-23.28</v>
      </c>
      <c r="MO61" s="6">
        <f>VLOOKUP(MO$18, ECLIPSES!$G$3:$J$9, 3, FALSE)</f>
        <v>-23.28</v>
      </c>
      <c r="MP61" s="6">
        <f>VLOOKUP(MP$18, ECLIPSES!$G$3:$J$9, 3, FALSE)</f>
        <v>-23.28</v>
      </c>
      <c r="MQ61" s="6">
        <f>VLOOKUP(MQ$18, ECLIPSES!$G$3:$J$9, 3, FALSE)</f>
        <v>-23.28</v>
      </c>
      <c r="MR61" s="6">
        <f>VLOOKUP(MR$18, ECLIPSES!$G$3:$J$9, 3, FALSE)</f>
        <v>-23.28</v>
      </c>
      <c r="MS61" s="6">
        <f>VLOOKUP(MS$18, ECLIPSES!$G$3:$J$9, 3, FALSE)</f>
        <v>-23.28</v>
      </c>
      <c r="MT61" s="6">
        <f>VLOOKUP(MT$18, ECLIPSES!$G$3:$J$9, 3, FALSE)</f>
        <v>-23.28</v>
      </c>
      <c r="MU61" s="6">
        <f>VLOOKUP(MU$18, ECLIPSES!$G$3:$J$9, 3, FALSE)</f>
        <v>-23.28</v>
      </c>
      <c r="MV61" s="6">
        <f>VLOOKUP(MV$18, ECLIPSES!$G$3:$J$9, 3, FALSE)</f>
        <v>-23.28</v>
      </c>
      <c r="MW61" s="6">
        <f>VLOOKUP(MW$18, ECLIPSES!$G$3:$J$9, 3, FALSE)</f>
        <v>-23.28</v>
      </c>
      <c r="MX61" s="6">
        <f>VLOOKUP(MX$18, ECLIPSES!$G$3:$J$9, 3, FALSE)</f>
        <v>-23.28</v>
      </c>
      <c r="MY61" s="6">
        <f>VLOOKUP(MY$18, ECLIPSES!$G$3:$J$9, 3, FALSE)</f>
        <v>-23.28</v>
      </c>
      <c r="MZ61" s="6">
        <f>VLOOKUP(MZ$18, ECLIPSES!$G$3:$J$9, 3, FALSE)</f>
        <v>-23.28</v>
      </c>
      <c r="NA61" s="6">
        <f>VLOOKUP(NA$18, ECLIPSES!$G$3:$J$9, 3, FALSE)</f>
        <v>-23.28</v>
      </c>
      <c r="NB61" s="6">
        <f>VLOOKUP(NB$18, ECLIPSES!$G$3:$J$9, 3, FALSE)</f>
        <v>-23.28</v>
      </c>
      <c r="NC61" s="6">
        <f>VLOOKUP(NC$18, ECLIPSES!$G$3:$J$9, 3, FALSE)</f>
        <v>-23.28</v>
      </c>
      <c r="ND61" s="6">
        <f>VLOOKUP(ND$18, ECLIPSES!$G$3:$J$9, 3, FALSE)</f>
        <v>-23.28</v>
      </c>
      <c r="NE61" s="6">
        <f>VLOOKUP(NE$18, ECLIPSES!$G$3:$J$9, 3, FALSE)</f>
        <v>-23.28</v>
      </c>
      <c r="NF61" s="6">
        <f>VLOOKUP(NF$18, ECLIPSES!$G$3:$J$9, 3, FALSE)</f>
        <v>-23.28</v>
      </c>
      <c r="NG61" s="6">
        <f>VLOOKUP(NG$18, ECLIPSES!$G$3:$J$9, 3, FALSE)</f>
        <v>-23.28</v>
      </c>
      <c r="NH61" s="6">
        <f>VLOOKUP(NH$18, ECLIPSES!$G$3:$J$9, 3, FALSE)</f>
        <v>-23.28</v>
      </c>
      <c r="NI61" s="6">
        <f>VLOOKUP(NI$18, ECLIPSES!$G$3:$J$9, 3, FALSE)</f>
        <v>-23.28</v>
      </c>
      <c r="NJ61" s="6">
        <f>VLOOKUP(NJ$18, ECLIPSES!$G$3:$J$9, 3, FALSE)</f>
        <v>-23.28</v>
      </c>
      <c r="NK61" s="6">
        <f>VLOOKUP(NK$18, ECLIPSES!$G$3:$J$9, 3, FALSE)</f>
        <v>-23.28</v>
      </c>
      <c r="NL61" s="6">
        <f>VLOOKUP(NL$18, ECLIPSES!$G$3:$J$9, 3, FALSE)</f>
        <v>-23.28</v>
      </c>
      <c r="NM61" s="6">
        <f>VLOOKUP(NM$18, ECLIPSES!$G$3:$J$9, 3, FALSE)</f>
        <v>-23.28</v>
      </c>
      <c r="NN61" s="6">
        <f>VLOOKUP(NN$18, ECLIPSES!$G$3:$J$9, 3, FALSE)</f>
        <v>-23.28</v>
      </c>
      <c r="NO61" s="6">
        <f>VLOOKUP(NO$18, ECLIPSES!$G$3:$J$9, 3, FALSE)</f>
        <v>-23.28</v>
      </c>
      <c r="NP61" s="6">
        <f>VLOOKUP(NP$18, ECLIPSES!$G$3:$J$9, 3, FALSE)</f>
        <v>-23.28</v>
      </c>
      <c r="NQ61" s="6">
        <f>VLOOKUP(NQ$18, ECLIPSES!$G$3:$J$9, 3, FALSE)</f>
        <v>-23.28</v>
      </c>
      <c r="NR61" s="6">
        <f>VLOOKUP(NR$18, ECLIPSES!$G$3:$J$9, 3, FALSE)</f>
        <v>0</v>
      </c>
      <c r="NS61" s="6">
        <f>VLOOKUP(NS$18, ECLIPSES!$G$3:$J$9, 3, FALSE)</f>
        <v>0</v>
      </c>
      <c r="NT61" s="6">
        <f>VLOOKUP(NT$18, ECLIPSES!$G$3:$J$9, 3, FALSE)</f>
        <v>0</v>
      </c>
      <c r="NU61" s="6">
        <f>VLOOKUP(NU$18, ECLIPSES!$G$3:$J$9, 3, FALSE)</f>
        <v>0</v>
      </c>
      <c r="NV61" s="6">
        <f>VLOOKUP(NV$18, ECLIPSES!$G$3:$J$9, 3, FALSE)</f>
        <v>-23.28</v>
      </c>
      <c r="NW61" s="6">
        <f>VLOOKUP(NW$18, ECLIPSES!$G$3:$J$9, 3, FALSE)</f>
        <v>-23.28</v>
      </c>
      <c r="NX61" s="6">
        <f>VLOOKUP(NX$18, ECLIPSES!$G$3:$J$9, 3, FALSE)</f>
        <v>-23.28</v>
      </c>
      <c r="NY61" s="6">
        <f>VLOOKUP(NY$18, ECLIPSES!$G$3:$J$9, 3, FALSE)</f>
        <v>-23.28</v>
      </c>
      <c r="NZ61" s="6">
        <f>VLOOKUP(NZ$18, ECLIPSES!$G$3:$J$9, 3, FALSE)</f>
        <v>-23.28</v>
      </c>
      <c r="OA61" s="6">
        <f>VLOOKUP(OA$18, ECLIPSES!$G$3:$J$9, 3, FALSE)</f>
        <v>-23.28</v>
      </c>
      <c r="OB61" s="6">
        <f>VLOOKUP(OB$18, ECLIPSES!$G$3:$J$9, 3, FALSE)</f>
        <v>-23.28</v>
      </c>
      <c r="OC61" s="6">
        <f>VLOOKUP(OC$18, ECLIPSES!$G$3:$J$9, 3, FALSE)</f>
        <v>-23.28</v>
      </c>
      <c r="OD61" s="6">
        <f>VLOOKUP(OD$18, ECLIPSES!$G$3:$J$9, 3, FALSE)</f>
        <v>-23.28</v>
      </c>
      <c r="OE61" s="6">
        <f>VLOOKUP(OE$18, ECLIPSES!$G$3:$J$9, 3, FALSE)</f>
        <v>-23.28</v>
      </c>
      <c r="OF61" s="6">
        <f>VLOOKUP(OF$18, ECLIPSES!$G$3:$J$9, 3, FALSE)</f>
        <v>-23.28</v>
      </c>
      <c r="OG61" s="6">
        <f>VLOOKUP(OG$18, ECLIPSES!$G$3:$J$9, 3, FALSE)</f>
        <v>-23.28</v>
      </c>
      <c r="OH61" s="6">
        <f>VLOOKUP(OH$18, ECLIPSES!$G$3:$J$9, 3, FALSE)</f>
        <v>-23.28</v>
      </c>
      <c r="OI61" s="6">
        <f>VLOOKUP(OI$18, ECLIPSES!$G$3:$J$9, 3, FALSE)</f>
        <v>-23.28</v>
      </c>
      <c r="OJ61" s="6">
        <f>VLOOKUP(OJ$18, ECLIPSES!$G$3:$J$9, 3, FALSE)</f>
        <v>-23.28</v>
      </c>
      <c r="OK61" s="6">
        <f>VLOOKUP(OK$18, ECLIPSES!$G$3:$J$9, 3, FALSE)</f>
        <v>-23.28</v>
      </c>
      <c r="OL61" s="6">
        <f>VLOOKUP(OL$18, ECLIPSES!$G$3:$J$9, 3, FALSE)</f>
        <v>-23.28</v>
      </c>
      <c r="OM61" s="6">
        <f>VLOOKUP(OM$18, ECLIPSES!$G$3:$J$9, 3, FALSE)</f>
        <v>-23.28</v>
      </c>
      <c r="ON61" s="6">
        <f>VLOOKUP(ON$18, ECLIPSES!$G$3:$J$9, 3, FALSE)</f>
        <v>-23.28</v>
      </c>
      <c r="OO61" s="6">
        <f>VLOOKUP(OO$18, ECLIPSES!$G$3:$J$9, 3, FALSE)</f>
        <v>-23.28</v>
      </c>
      <c r="OP61" s="6">
        <f>VLOOKUP(OP$18, ECLIPSES!$G$3:$J$9, 3, FALSE)</f>
        <v>-23.28</v>
      </c>
      <c r="OQ61" s="6">
        <f>VLOOKUP(OQ$18, ECLIPSES!$G$3:$J$9, 3, FALSE)</f>
        <v>-23.28</v>
      </c>
      <c r="OR61" s="6">
        <f>VLOOKUP(OR$18, ECLIPSES!$G$3:$J$9, 3, FALSE)</f>
        <v>-23.28</v>
      </c>
      <c r="OS61" s="6">
        <f>VLOOKUP(OS$18, ECLIPSES!$G$3:$J$9, 3, FALSE)</f>
        <v>-23.28</v>
      </c>
      <c r="OT61" s="6">
        <f>VLOOKUP(OT$18, ECLIPSES!$G$3:$J$9, 3, FALSE)</f>
        <v>-23.28</v>
      </c>
      <c r="OU61" s="6">
        <f>VLOOKUP(OU$18, ECLIPSES!$G$3:$J$9, 3, FALSE)</f>
        <v>-23.28</v>
      </c>
      <c r="OV61" s="6">
        <f>VLOOKUP(OV$18, ECLIPSES!$G$3:$J$9, 3, FALSE)</f>
        <v>-23.28</v>
      </c>
      <c r="OW61" s="6">
        <f>VLOOKUP(OW$18, ECLIPSES!$G$3:$J$9, 3, FALSE)</f>
        <v>-23.28</v>
      </c>
      <c r="OX61" s="6">
        <f>VLOOKUP(OX$18, ECLIPSES!$G$3:$J$9, 3, FALSE)</f>
        <v>-23.28</v>
      </c>
      <c r="OY61" s="6">
        <f>VLOOKUP(OY$18, ECLIPSES!$G$3:$J$9, 3, FALSE)</f>
        <v>-23.28</v>
      </c>
      <c r="OZ61" s="6">
        <f>VLOOKUP(OZ$18, ECLIPSES!$G$3:$J$9, 3, FALSE)</f>
        <v>-23.28</v>
      </c>
      <c r="PA61" s="6">
        <f>VLOOKUP(PA$18, ECLIPSES!$G$3:$J$9, 3, FALSE)</f>
        <v>-23.28</v>
      </c>
      <c r="PB61" s="6">
        <f>VLOOKUP(PB$18, ECLIPSES!$G$3:$J$9, 3, FALSE)</f>
        <v>-23.28</v>
      </c>
      <c r="PC61" s="6">
        <f>VLOOKUP(PC$18, ECLIPSES!$G$3:$J$9, 3, FALSE)</f>
        <v>-23.28</v>
      </c>
      <c r="PD61" s="6">
        <f>VLOOKUP(PD$18, ECLIPSES!$G$3:$J$9, 3, FALSE)</f>
        <v>-23.28</v>
      </c>
      <c r="PE61" s="6">
        <f>VLOOKUP(PE$18, ECLIPSES!$G$3:$J$9, 3, FALSE)</f>
        <v>-23.28</v>
      </c>
      <c r="PF61" s="6">
        <f>VLOOKUP(PF$18, ECLIPSES!$G$3:$J$9, 3, FALSE)</f>
        <v>-23.28</v>
      </c>
      <c r="PG61" s="6">
        <f>VLOOKUP(PG$18, ECLIPSES!$G$3:$J$9, 3, FALSE)</f>
        <v>-23.28</v>
      </c>
      <c r="PH61" s="6">
        <f>VLOOKUP(PH$18, ECLIPSES!$G$3:$J$9, 3, FALSE)</f>
        <v>-23.28</v>
      </c>
      <c r="PI61" s="6">
        <f>VLOOKUP(PI$18, ECLIPSES!$G$3:$J$9, 3, FALSE)</f>
        <v>-23.28</v>
      </c>
      <c r="PJ61" s="6">
        <f>VLOOKUP(PJ$18, ECLIPSES!$G$3:$J$9, 3, FALSE)</f>
        <v>-23.28</v>
      </c>
      <c r="PK61" s="6">
        <f>VLOOKUP(PK$18, ECLIPSES!$G$3:$J$9, 3, FALSE)</f>
        <v>-23.28</v>
      </c>
      <c r="PL61" s="6">
        <f>VLOOKUP(PL$18, ECLIPSES!$G$3:$J$9, 3, FALSE)</f>
        <v>-23.28</v>
      </c>
      <c r="PM61" s="6">
        <f>VLOOKUP(PM$18, ECLIPSES!$G$3:$J$9, 3, FALSE)</f>
        <v>-23.28</v>
      </c>
      <c r="PN61" s="6">
        <f>VLOOKUP(PN$18, ECLIPSES!$G$3:$J$9, 3, FALSE)</f>
        <v>-23.28</v>
      </c>
      <c r="PO61" s="6">
        <f>VLOOKUP(PO$18, ECLIPSES!$G$3:$J$9, 3, FALSE)</f>
        <v>-23.28</v>
      </c>
      <c r="PP61" s="6">
        <f>VLOOKUP(PP$18, ECLIPSES!$G$3:$J$9, 3, FALSE)</f>
        <v>-23.28</v>
      </c>
      <c r="PQ61" s="6">
        <f>VLOOKUP(PQ$18, ECLIPSES!$G$3:$J$9, 3, FALSE)</f>
        <v>-23.28</v>
      </c>
      <c r="PR61" s="6">
        <f>VLOOKUP(PR$18, ECLIPSES!$G$3:$J$9, 3, FALSE)</f>
        <v>-23.28</v>
      </c>
      <c r="PS61" s="6">
        <f>VLOOKUP(PS$18, ECLIPSES!$G$3:$J$9, 3, FALSE)</f>
        <v>-23.28</v>
      </c>
      <c r="PT61" s="6">
        <f>VLOOKUP(PT$18, ECLIPSES!$G$3:$J$9, 3, FALSE)</f>
        <v>-23.28</v>
      </c>
      <c r="PU61" s="6">
        <f>VLOOKUP(PU$18, ECLIPSES!$G$3:$J$9, 3, FALSE)</f>
        <v>-23.28</v>
      </c>
      <c r="PV61" s="6">
        <f>VLOOKUP(PV$18, ECLIPSES!$G$3:$J$9, 3, FALSE)</f>
        <v>-23.28</v>
      </c>
      <c r="PW61" s="6">
        <f>VLOOKUP(PW$18, ECLIPSES!$G$3:$J$9, 3, FALSE)</f>
        <v>-23.28</v>
      </c>
      <c r="PX61" s="6">
        <f>VLOOKUP(PX$18, ECLIPSES!$G$3:$J$9, 3, FALSE)</f>
        <v>-23.28</v>
      </c>
      <c r="PY61" s="6">
        <f>VLOOKUP(PY$18, ECLIPSES!$G$3:$J$9, 3, FALSE)</f>
        <v>-23.28</v>
      </c>
      <c r="PZ61" s="6">
        <f>VLOOKUP(PZ$18, ECLIPSES!$G$3:$J$9, 3, FALSE)</f>
        <v>-23.28</v>
      </c>
      <c r="QA61" s="6">
        <f>VLOOKUP(QA$18, ECLIPSES!$G$3:$J$9, 3, FALSE)</f>
        <v>-23.28</v>
      </c>
      <c r="QB61" s="6">
        <f>VLOOKUP(QB$18, ECLIPSES!$G$3:$J$9, 3, FALSE)</f>
        <v>-23.28</v>
      </c>
      <c r="QC61" s="6">
        <f>VLOOKUP(QC$18, ECLIPSES!$G$3:$J$9, 3, FALSE)</f>
        <v>-23.28</v>
      </c>
      <c r="QD61" s="6">
        <f>VLOOKUP(QD$18, ECLIPSES!$G$3:$J$9, 3, FALSE)</f>
        <v>-23.28</v>
      </c>
      <c r="QE61" s="6">
        <f>VLOOKUP(QE$18, ECLIPSES!$G$3:$J$9, 3, FALSE)</f>
        <v>-23.28</v>
      </c>
      <c r="QF61" s="6">
        <f>VLOOKUP(QF$18, ECLIPSES!$G$3:$J$9, 3, FALSE)</f>
        <v>-23.28</v>
      </c>
      <c r="QG61" s="6">
        <f>VLOOKUP(QG$18, ECLIPSES!$G$3:$J$9, 3, FALSE)</f>
        <v>-23.28</v>
      </c>
      <c r="QH61" s="6">
        <f>VLOOKUP(QH$18, ECLIPSES!$G$3:$J$9, 3, FALSE)</f>
        <v>-23.28</v>
      </c>
      <c r="QI61" s="6">
        <f>VLOOKUP(QI$18, ECLIPSES!$G$3:$J$9, 3, FALSE)</f>
        <v>-23.28</v>
      </c>
      <c r="QJ61" s="6">
        <f>VLOOKUP(QJ$18, ECLIPSES!$G$3:$J$9, 3, FALSE)</f>
        <v>-23.28</v>
      </c>
      <c r="QK61" s="6">
        <f>VLOOKUP(QK$18, ECLIPSES!$G$3:$J$9, 3, FALSE)</f>
        <v>-23.28</v>
      </c>
      <c r="QL61" s="6">
        <f>VLOOKUP(QL$18, ECLIPSES!$G$3:$J$9, 3, FALSE)</f>
        <v>0</v>
      </c>
      <c r="QM61" s="6">
        <f>VLOOKUP(QM$18, ECLIPSES!$G$3:$J$9, 3, FALSE)</f>
        <v>0</v>
      </c>
      <c r="QN61" s="6">
        <f>VLOOKUP(QN$18, ECLIPSES!$G$3:$J$9, 3, FALSE)</f>
        <v>0</v>
      </c>
      <c r="QO61" s="6">
        <f>VLOOKUP(QO$18, ECLIPSES!$G$3:$J$9, 3, FALSE)</f>
        <v>0</v>
      </c>
      <c r="QP61" s="6">
        <f>VLOOKUP(QP$18, ECLIPSES!$G$3:$J$9, 3, FALSE)</f>
        <v>-23.28</v>
      </c>
      <c r="QQ61" s="6">
        <f>VLOOKUP(QQ$18, ECLIPSES!$G$3:$J$9, 3, FALSE)</f>
        <v>-23.28</v>
      </c>
      <c r="QR61" s="6">
        <f>VLOOKUP(QR$18, ECLIPSES!$G$3:$J$9, 3, FALSE)</f>
        <v>-23.28</v>
      </c>
      <c r="QS61" s="6">
        <f>VLOOKUP(QS$18, ECLIPSES!$G$3:$J$9, 3, FALSE)</f>
        <v>-23.28</v>
      </c>
      <c r="QT61" s="6">
        <f>VLOOKUP(QT$18, ECLIPSES!$G$3:$J$9, 3, FALSE)</f>
        <v>-23.28</v>
      </c>
      <c r="QU61" s="6">
        <f>VLOOKUP(QU$18, ECLIPSES!$G$3:$J$9, 3, FALSE)</f>
        <v>-23.28</v>
      </c>
      <c r="QV61" s="6">
        <f>VLOOKUP(QV$18, ECLIPSES!$G$3:$J$9, 3, FALSE)</f>
        <v>-23.28</v>
      </c>
      <c r="QW61" s="6">
        <f>VLOOKUP(QW$18, ECLIPSES!$G$3:$J$9, 3, FALSE)</f>
        <v>-23.28</v>
      </c>
      <c r="QX61" s="6">
        <f>VLOOKUP(QX$18, ECLIPSES!$G$3:$J$9, 3, FALSE)</f>
        <v>-23.28</v>
      </c>
      <c r="QY61" s="6">
        <f>VLOOKUP(QY$18, ECLIPSES!$G$3:$J$9, 3, FALSE)</f>
        <v>-23.28</v>
      </c>
      <c r="QZ61" s="6">
        <f>VLOOKUP(QZ$18, ECLIPSES!$G$3:$J$9, 3, FALSE)</f>
        <v>-23.28</v>
      </c>
      <c r="RA61" s="6">
        <f>VLOOKUP(RA$18, ECLIPSES!$G$3:$J$9, 3, FALSE)</f>
        <v>-23.28</v>
      </c>
      <c r="RB61" s="6">
        <f>VLOOKUP(RB$18, ECLIPSES!$G$3:$J$9, 3, FALSE)</f>
        <v>-23.28</v>
      </c>
      <c r="RC61" s="6">
        <f>VLOOKUP(RC$18, ECLIPSES!$G$3:$J$9, 3, FALSE)</f>
        <v>-23.28</v>
      </c>
      <c r="RD61" s="6">
        <f>VLOOKUP(RD$18, ECLIPSES!$G$3:$J$9, 3, FALSE)</f>
        <v>-23.28</v>
      </c>
      <c r="RE61" s="6">
        <f>VLOOKUP(RE$18, ECLIPSES!$G$3:$J$9, 3, FALSE)</f>
        <v>-23.28</v>
      </c>
      <c r="RF61" s="6">
        <f>VLOOKUP(RF$18, ECLIPSES!$G$3:$J$9, 3, FALSE)</f>
        <v>-23.28</v>
      </c>
      <c r="RG61" s="6">
        <f>VLOOKUP(RG$18, ECLIPSES!$G$3:$J$9, 3, FALSE)</f>
        <v>-23.28</v>
      </c>
      <c r="RH61" s="6">
        <f>VLOOKUP(RH$18, ECLIPSES!$G$3:$J$9, 3, FALSE)</f>
        <v>-23.28</v>
      </c>
      <c r="RI61" s="6">
        <f>VLOOKUP(RI$18, ECLIPSES!$G$3:$J$9, 3, FALSE)</f>
        <v>-23.28</v>
      </c>
      <c r="RJ61" s="6">
        <f>VLOOKUP(RJ$18, ECLIPSES!$G$3:$J$9, 3, FALSE)</f>
        <v>-23.28</v>
      </c>
      <c r="RK61" s="6">
        <f>VLOOKUP(RK$18, ECLIPSES!$G$3:$J$9, 3, FALSE)</f>
        <v>-23.28</v>
      </c>
      <c r="RL61" s="6">
        <f>VLOOKUP(RL$18, ECLIPSES!$G$3:$J$9, 3, FALSE)</f>
        <v>-23.28</v>
      </c>
      <c r="RM61" s="6">
        <f>VLOOKUP(RM$18, ECLIPSES!$G$3:$J$9, 3, FALSE)</f>
        <v>-23.28</v>
      </c>
      <c r="RN61" s="6">
        <f>VLOOKUP(RN$18, ECLIPSES!$G$3:$J$9, 3, FALSE)</f>
        <v>-23.28</v>
      </c>
      <c r="RO61" s="6">
        <f>VLOOKUP(RO$18, ECLIPSES!$G$3:$J$9, 3, FALSE)</f>
        <v>-23.28</v>
      </c>
      <c r="RP61" s="6">
        <f>VLOOKUP(RP$18, ECLIPSES!$G$3:$J$9, 3, FALSE)</f>
        <v>-23.28</v>
      </c>
      <c r="RQ61" s="6">
        <f>VLOOKUP(RQ$18, ECLIPSES!$G$3:$J$9, 3, FALSE)</f>
        <v>-23.28</v>
      </c>
      <c r="RR61" s="6">
        <f>VLOOKUP(RR$18, ECLIPSES!$G$3:$J$9, 3, FALSE)</f>
        <v>-23.28</v>
      </c>
      <c r="RS61" s="6">
        <f>VLOOKUP(RS$18, ECLIPSES!$G$3:$J$9, 3, FALSE)</f>
        <v>-23.28</v>
      </c>
      <c r="RT61" s="6">
        <f>VLOOKUP(RT$18, ECLIPSES!$G$3:$J$9, 3, FALSE)</f>
        <v>-23.28</v>
      </c>
      <c r="RU61" s="6">
        <f>VLOOKUP(RU$18, ECLIPSES!$G$3:$J$9, 3, FALSE)</f>
        <v>-23.28</v>
      </c>
      <c r="RV61" s="6">
        <f>VLOOKUP(RV$18, ECLIPSES!$G$3:$J$9, 3, FALSE)</f>
        <v>-23.28</v>
      </c>
      <c r="RW61" s="6">
        <f>VLOOKUP(RW$18, ECLIPSES!$G$3:$J$9, 3, FALSE)</f>
        <v>-23.28</v>
      </c>
      <c r="RX61" s="6">
        <f>VLOOKUP(RX$18, ECLIPSES!$G$3:$J$9, 3, FALSE)</f>
        <v>-23.28</v>
      </c>
      <c r="RY61" s="6">
        <f>VLOOKUP(RY$18, ECLIPSES!$G$3:$J$9, 3, FALSE)</f>
        <v>-23.28</v>
      </c>
      <c r="RZ61" s="6">
        <f>VLOOKUP(RZ$18, ECLIPSES!$G$3:$J$9, 3, FALSE)</f>
        <v>-23.28</v>
      </c>
      <c r="SA61" s="6">
        <f>VLOOKUP(SA$18, ECLIPSES!$G$3:$J$9, 3, FALSE)</f>
        <v>-23.28</v>
      </c>
      <c r="SB61" s="6">
        <f>VLOOKUP(SB$18, ECLIPSES!$G$3:$J$9, 3, FALSE)</f>
        <v>-23.28</v>
      </c>
      <c r="SC61" s="6">
        <f>VLOOKUP(SC$18, ECLIPSES!$G$3:$J$9, 3, FALSE)</f>
        <v>-23.28</v>
      </c>
      <c r="SD61" s="6">
        <f>VLOOKUP(SD$18, ECLIPSES!$G$3:$J$9, 3, FALSE)</f>
        <v>-23.28</v>
      </c>
      <c r="SE61" s="6">
        <f>VLOOKUP(SE$18, ECLIPSES!$G$3:$J$9, 3, FALSE)</f>
        <v>-23.28</v>
      </c>
      <c r="SF61" s="6">
        <f>VLOOKUP(SF$18, ECLIPSES!$G$3:$J$9, 3, FALSE)</f>
        <v>-23.28</v>
      </c>
      <c r="SG61" s="6">
        <f>VLOOKUP(SG$18, ECLIPSES!$G$3:$J$9, 3, FALSE)</f>
        <v>-23.28</v>
      </c>
      <c r="SH61" s="6">
        <f>VLOOKUP(SH$18, ECLIPSES!$G$3:$J$9, 3, FALSE)</f>
        <v>-23.28</v>
      </c>
      <c r="SI61" s="6">
        <f>VLOOKUP(SI$18, ECLIPSES!$G$3:$J$9, 3, FALSE)</f>
        <v>-23.28</v>
      </c>
      <c r="SJ61" s="6">
        <f>VLOOKUP(SJ$18, ECLIPSES!$G$3:$J$9, 3, FALSE)</f>
        <v>-23.28</v>
      </c>
      <c r="SK61" s="6">
        <f>VLOOKUP(SK$18, ECLIPSES!$G$3:$J$9, 3, FALSE)</f>
        <v>-23.28</v>
      </c>
      <c r="SL61" s="6">
        <f>VLOOKUP(SL$18, ECLIPSES!$G$3:$J$9, 3, FALSE)</f>
        <v>-23.28</v>
      </c>
      <c r="SM61" s="6">
        <f>VLOOKUP(SM$18, ECLIPSES!$G$3:$J$9, 3, FALSE)</f>
        <v>-23.28</v>
      </c>
      <c r="SN61" s="6">
        <f>VLOOKUP(SN$18, ECLIPSES!$G$3:$J$9, 3, FALSE)</f>
        <v>-23.28</v>
      </c>
      <c r="SO61" s="6">
        <f>VLOOKUP(SO$18, ECLIPSES!$G$3:$J$9, 3, FALSE)</f>
        <v>-23.28</v>
      </c>
      <c r="SP61" s="6">
        <f>VLOOKUP(SP$18, ECLIPSES!$G$3:$J$9, 3, FALSE)</f>
        <v>-23.28</v>
      </c>
      <c r="SQ61" s="6">
        <f>VLOOKUP(SQ$18, ECLIPSES!$G$3:$J$9, 3, FALSE)</f>
        <v>-23.28</v>
      </c>
      <c r="SR61" s="6">
        <f>VLOOKUP(SR$18, ECLIPSES!$G$3:$J$9, 3, FALSE)</f>
        <v>-23.28</v>
      </c>
      <c r="SS61" s="6">
        <f>VLOOKUP(SS$18, ECLIPSES!$G$3:$J$9, 3, FALSE)</f>
        <v>-23.28</v>
      </c>
      <c r="ST61" s="6">
        <f>VLOOKUP(ST$18, ECLIPSES!$G$3:$J$9, 3, FALSE)</f>
        <v>-23.28</v>
      </c>
      <c r="SU61" s="6">
        <f>VLOOKUP(SU$18, ECLIPSES!$G$3:$J$9, 3, FALSE)</f>
        <v>-23.28</v>
      </c>
      <c r="SV61" s="6">
        <f>VLOOKUP(SV$18, ECLIPSES!$G$3:$J$9, 3, FALSE)</f>
        <v>-23.28</v>
      </c>
      <c r="SW61" s="6">
        <f>VLOOKUP(SW$18, ECLIPSES!$G$3:$J$9, 3, FALSE)</f>
        <v>-23.28</v>
      </c>
      <c r="SX61" s="6">
        <f>VLOOKUP(SX$18, ECLIPSES!$G$3:$J$9, 3, FALSE)</f>
        <v>-23.28</v>
      </c>
      <c r="SY61" s="6">
        <f>VLOOKUP(SY$18, ECLIPSES!$G$3:$J$9, 3, FALSE)</f>
        <v>-23.28</v>
      </c>
      <c r="SZ61" s="6">
        <f>VLOOKUP(SZ$18, ECLIPSES!$G$3:$J$9, 3, FALSE)</f>
        <v>-23.28</v>
      </c>
      <c r="TA61" s="6">
        <f>VLOOKUP(TA$18, ECLIPSES!$G$3:$J$9, 3, FALSE)</f>
        <v>-23.28</v>
      </c>
      <c r="TB61" s="6">
        <f>VLOOKUP(TB$18, ECLIPSES!$G$3:$J$9, 3, FALSE)</f>
        <v>-23.28</v>
      </c>
      <c r="TC61" s="6">
        <f>VLOOKUP(TC$18, ECLIPSES!$G$3:$J$9, 3, FALSE)</f>
        <v>-23.28</v>
      </c>
      <c r="TD61" s="6">
        <f>VLOOKUP(TD$18, ECLIPSES!$G$3:$J$9, 3, FALSE)</f>
        <v>-23.28</v>
      </c>
      <c r="TE61" s="6">
        <f>VLOOKUP(TE$18, ECLIPSES!$G$3:$J$9, 3, FALSE)</f>
        <v>-23.28</v>
      </c>
      <c r="TF61" s="6">
        <f>VLOOKUP(TF$18, ECLIPSES!$G$3:$J$9, 3, FALSE)</f>
        <v>0</v>
      </c>
      <c r="TG61" s="6">
        <f>VLOOKUP(TG$18, ECLIPSES!$G$3:$J$9, 3, FALSE)</f>
        <v>0</v>
      </c>
      <c r="TH61" s="6">
        <f>VLOOKUP(TH$18, ECLIPSES!$G$3:$J$9, 3, FALSE)</f>
        <v>0</v>
      </c>
      <c r="TI61" s="6">
        <f>VLOOKUP(TI$18, ECLIPSES!$G$3:$J$9, 3, FALSE)</f>
        <v>0</v>
      </c>
      <c r="TJ61" s="6">
        <f>VLOOKUP(TJ$18, ECLIPSES!$G$3:$J$9, 3, FALSE)</f>
        <v>-23.28</v>
      </c>
      <c r="TK61" s="6">
        <f>VLOOKUP(TK$18, ECLIPSES!$G$3:$J$9, 3, FALSE)</f>
        <v>-23.28</v>
      </c>
      <c r="TL61" s="6">
        <f>VLOOKUP(TL$18, ECLIPSES!$G$3:$J$9, 3, FALSE)</f>
        <v>-23.28</v>
      </c>
      <c r="TM61" s="6">
        <f>VLOOKUP(TM$18, ECLIPSES!$G$3:$J$9, 3, FALSE)</f>
        <v>-23.28</v>
      </c>
      <c r="TN61" s="6">
        <f>VLOOKUP(TN$18, ECLIPSES!$G$3:$J$9, 3, FALSE)</f>
        <v>-23.28</v>
      </c>
      <c r="TO61" s="6">
        <f>VLOOKUP(TO$18, ECLIPSES!$G$3:$J$9, 3, FALSE)</f>
        <v>-23.28</v>
      </c>
      <c r="TP61" s="6">
        <f>VLOOKUP(TP$18, ECLIPSES!$G$3:$J$9, 3, FALSE)</f>
        <v>-23.28</v>
      </c>
      <c r="TQ61" s="6">
        <f>VLOOKUP(TQ$18, ECLIPSES!$G$3:$J$9, 3, FALSE)</f>
        <v>-23.28</v>
      </c>
      <c r="TR61" s="6">
        <f>VLOOKUP(TR$18, ECLIPSES!$G$3:$J$9, 3, FALSE)</f>
        <v>-23.28</v>
      </c>
      <c r="TS61" s="6">
        <f>VLOOKUP(TS$18, ECLIPSES!$G$3:$J$9, 3, FALSE)</f>
        <v>-23.28</v>
      </c>
      <c r="TT61" s="6">
        <f>VLOOKUP(TT$18, ECLIPSES!$G$3:$J$9, 3, FALSE)</f>
        <v>-23.28</v>
      </c>
      <c r="TU61" s="6">
        <f>VLOOKUP(TU$18, ECLIPSES!$G$3:$J$9, 3, FALSE)</f>
        <v>-23.28</v>
      </c>
      <c r="TV61" s="6">
        <f>VLOOKUP(TV$18, ECLIPSES!$G$3:$J$9, 3, FALSE)</f>
        <v>-23.28</v>
      </c>
      <c r="TW61" s="6">
        <f>VLOOKUP(TW$18, ECLIPSES!$G$3:$J$9, 3, FALSE)</f>
        <v>-23.28</v>
      </c>
      <c r="TX61" s="6">
        <f>VLOOKUP(TX$18, ECLIPSES!$G$3:$J$9, 3, FALSE)</f>
        <v>-23.28</v>
      </c>
      <c r="TY61" s="6">
        <f>VLOOKUP(TY$18, ECLIPSES!$G$3:$J$9, 3, FALSE)</f>
        <v>-23.28</v>
      </c>
      <c r="TZ61" s="6">
        <f>VLOOKUP(TZ$18, ECLIPSES!$G$3:$J$9, 3, FALSE)</f>
        <v>-23.28</v>
      </c>
      <c r="UA61" s="6">
        <f>VLOOKUP(UA$18, ECLIPSES!$G$3:$J$9, 3, FALSE)</f>
        <v>-23.28</v>
      </c>
      <c r="UB61" s="6">
        <f>VLOOKUP(UB$18, ECLIPSES!$G$3:$J$9, 3, FALSE)</f>
        <v>-23.28</v>
      </c>
      <c r="UC61" s="6">
        <f>VLOOKUP(UC$18, ECLIPSES!$G$3:$J$9, 3, FALSE)</f>
        <v>-23.28</v>
      </c>
      <c r="UD61" s="6">
        <f>VLOOKUP(UD$18, ECLIPSES!$G$3:$J$9, 3, FALSE)</f>
        <v>-23.28</v>
      </c>
      <c r="UE61" s="6">
        <f>VLOOKUP(UE$18, ECLIPSES!$G$3:$J$9, 3, FALSE)</f>
        <v>-23.28</v>
      </c>
      <c r="UF61" s="6">
        <f>VLOOKUP(UF$18, ECLIPSES!$G$3:$J$9, 3, FALSE)</f>
        <v>-23.28</v>
      </c>
      <c r="UG61" s="6">
        <f>VLOOKUP(UG$18, ECLIPSES!$G$3:$J$9, 3, FALSE)</f>
        <v>-23.28</v>
      </c>
      <c r="UH61" s="6">
        <f>VLOOKUP(UH$18, ECLIPSES!$G$3:$J$9, 3, FALSE)</f>
        <v>-23.28</v>
      </c>
      <c r="UI61" s="6">
        <f>VLOOKUP(UI$18, ECLIPSES!$G$3:$J$9, 3, FALSE)</f>
        <v>-23.28</v>
      </c>
      <c r="UJ61" s="6">
        <f>VLOOKUP(UJ$18, ECLIPSES!$G$3:$J$9, 3, FALSE)</f>
        <v>-23.28</v>
      </c>
      <c r="UK61" s="6">
        <f>VLOOKUP(UK$18, ECLIPSES!$G$3:$J$9, 3, FALSE)</f>
        <v>-23.28</v>
      </c>
      <c r="UL61" s="6">
        <f>VLOOKUP(UL$18, ECLIPSES!$G$3:$J$9, 3, FALSE)</f>
        <v>-23.28</v>
      </c>
      <c r="UM61" s="6">
        <f>VLOOKUP(UM$18, ECLIPSES!$G$3:$J$9, 3, FALSE)</f>
        <v>-23.28</v>
      </c>
      <c r="UN61" s="6">
        <f>VLOOKUP(UN$18, ECLIPSES!$G$3:$J$9, 3, FALSE)</f>
        <v>-23.28</v>
      </c>
      <c r="UO61" s="6">
        <f>VLOOKUP(UO$18, ECLIPSES!$G$3:$J$9, 3, FALSE)</f>
        <v>-23.28</v>
      </c>
      <c r="UP61" s="6">
        <f>VLOOKUP(UP$18, ECLIPSES!$G$3:$J$9, 3, FALSE)</f>
        <v>-23.28</v>
      </c>
      <c r="UQ61" s="6">
        <f>VLOOKUP(UQ$18, ECLIPSES!$G$3:$J$9, 3, FALSE)</f>
        <v>-23.28</v>
      </c>
      <c r="UR61" s="6">
        <f>VLOOKUP(UR$18, ECLIPSES!$G$3:$J$9, 3, FALSE)</f>
        <v>-23.28</v>
      </c>
      <c r="US61" s="6">
        <f>VLOOKUP(US$18, ECLIPSES!$G$3:$J$9, 3, FALSE)</f>
        <v>-23.28</v>
      </c>
      <c r="UT61" s="6">
        <f>VLOOKUP(UT$18, ECLIPSES!$G$3:$J$9, 3, FALSE)</f>
        <v>-23.28</v>
      </c>
      <c r="UU61" s="6">
        <f>VLOOKUP(UU$18, ECLIPSES!$G$3:$J$9, 3, FALSE)</f>
        <v>-23.28</v>
      </c>
      <c r="UV61" s="6">
        <f>VLOOKUP(UV$18, ECLIPSES!$G$3:$J$9, 3, FALSE)</f>
        <v>-23.28</v>
      </c>
      <c r="UW61" s="6">
        <f>VLOOKUP(UW$18, ECLIPSES!$G$3:$J$9, 3, FALSE)</f>
        <v>-23.28</v>
      </c>
      <c r="UX61" s="6">
        <f>VLOOKUP(UX$18, ECLIPSES!$G$3:$J$9, 3, FALSE)</f>
        <v>-23.28</v>
      </c>
      <c r="UY61" s="6">
        <f>VLOOKUP(UY$18, ECLIPSES!$G$3:$J$9, 3, FALSE)</f>
        <v>-23.28</v>
      </c>
      <c r="UZ61" s="6">
        <f>VLOOKUP(UZ$18, ECLIPSES!$G$3:$J$9, 3, FALSE)</f>
        <v>-23.28</v>
      </c>
      <c r="VA61" s="6">
        <f>VLOOKUP(VA$18, ECLIPSES!$G$3:$J$9, 3, FALSE)</f>
        <v>-23.28</v>
      </c>
      <c r="VB61" s="6">
        <f>VLOOKUP(VB$18, ECLIPSES!$G$3:$J$9, 3, FALSE)</f>
        <v>-23.28</v>
      </c>
      <c r="VC61" s="6">
        <f>VLOOKUP(VC$18, ECLIPSES!$G$3:$J$9, 3, FALSE)</f>
        <v>-23.28</v>
      </c>
      <c r="VD61" s="6">
        <f>VLOOKUP(VD$18, ECLIPSES!$G$3:$J$9, 3, FALSE)</f>
        <v>-23.28</v>
      </c>
      <c r="VE61" s="6">
        <f>VLOOKUP(VE$18, ECLIPSES!$G$3:$J$9, 3, FALSE)</f>
        <v>-23.28</v>
      </c>
      <c r="VF61" s="6">
        <f>VLOOKUP(VF$18, ECLIPSES!$G$3:$J$9, 3, FALSE)</f>
        <v>-23.28</v>
      </c>
      <c r="VG61" s="6">
        <f>VLOOKUP(VG$18, ECLIPSES!$G$3:$J$9, 3, FALSE)</f>
        <v>-23.28</v>
      </c>
      <c r="VH61" s="6">
        <f>VLOOKUP(VH$18, ECLIPSES!$G$3:$J$9, 3, FALSE)</f>
        <v>-23.28</v>
      </c>
      <c r="VI61" s="6">
        <f>VLOOKUP(VI$18, ECLIPSES!$G$3:$J$9, 3, FALSE)</f>
        <v>-23.28</v>
      </c>
      <c r="VJ61" s="6">
        <f>VLOOKUP(VJ$18, ECLIPSES!$G$3:$J$9, 3, FALSE)</f>
        <v>-23.28</v>
      </c>
      <c r="VK61" s="6">
        <f>VLOOKUP(VK$18, ECLIPSES!$G$3:$J$9, 3, FALSE)</f>
        <v>-23.28</v>
      </c>
      <c r="VL61" s="6">
        <f>VLOOKUP(VL$18, ECLIPSES!$G$3:$J$9, 3, FALSE)</f>
        <v>-23.28</v>
      </c>
      <c r="VM61" s="6">
        <f>VLOOKUP(VM$18, ECLIPSES!$G$3:$J$9, 3, FALSE)</f>
        <v>-23.28</v>
      </c>
      <c r="VN61" s="6">
        <f>VLOOKUP(VN$18, ECLIPSES!$G$3:$J$9, 3, FALSE)</f>
        <v>-23.28</v>
      </c>
      <c r="VO61" s="6">
        <f>VLOOKUP(VO$18, ECLIPSES!$G$3:$J$9, 3, FALSE)</f>
        <v>-23.28</v>
      </c>
      <c r="VP61" s="6">
        <f>VLOOKUP(VP$18, ECLIPSES!$G$3:$J$9, 3, FALSE)</f>
        <v>-23.28</v>
      </c>
      <c r="VQ61" s="6">
        <f>VLOOKUP(VQ$18, ECLIPSES!$G$3:$J$9, 3, FALSE)</f>
        <v>-23.28</v>
      </c>
      <c r="VR61" s="6">
        <f>VLOOKUP(VR$18, ECLIPSES!$G$3:$J$9, 3, FALSE)</f>
        <v>-23.28</v>
      </c>
      <c r="VS61" s="6">
        <f>VLOOKUP(VS$18, ECLIPSES!$G$3:$J$9, 3, FALSE)</f>
        <v>-23.28</v>
      </c>
      <c r="VT61" s="6">
        <f>VLOOKUP(VT$18, ECLIPSES!$G$3:$J$9, 3, FALSE)</f>
        <v>-23.28</v>
      </c>
      <c r="VU61" s="6">
        <f>VLOOKUP(VU$18, ECLIPSES!$G$3:$J$9, 3, FALSE)</f>
        <v>-23.28</v>
      </c>
      <c r="VV61" s="6">
        <f>VLOOKUP(VV$18, ECLIPSES!$G$3:$J$9, 3, FALSE)</f>
        <v>-23.28</v>
      </c>
      <c r="VW61" s="6">
        <f>VLOOKUP(VW$18, ECLIPSES!$G$3:$J$9, 3, FALSE)</f>
        <v>-23.28</v>
      </c>
      <c r="VX61" s="6">
        <f>VLOOKUP(VX$18, ECLIPSES!$G$3:$J$9, 3, FALSE)</f>
        <v>-23.28</v>
      </c>
      <c r="VY61" s="6">
        <f>VLOOKUP(VY$18, ECLIPSES!$G$3:$J$9, 3, FALSE)</f>
        <v>-23.28</v>
      </c>
      <c r="VZ61" s="6">
        <f>VLOOKUP(VZ$18, ECLIPSES!$G$3:$J$9, 3, FALSE)</f>
        <v>0</v>
      </c>
      <c r="WA61" s="6">
        <f>VLOOKUP(WA$18, ECLIPSES!$G$3:$J$9, 3, FALSE)</f>
        <v>0</v>
      </c>
      <c r="WB61" s="6">
        <f>VLOOKUP(WB$18, ECLIPSES!$G$3:$J$9, 3, FALSE)</f>
        <v>0</v>
      </c>
      <c r="WC61" s="6">
        <f>VLOOKUP(WC$18, ECLIPSES!$G$3:$J$9, 3, FALSE)</f>
        <v>0</v>
      </c>
      <c r="WD61" s="6">
        <f>VLOOKUP(WD$18, ECLIPSES!$G$3:$J$9, 3, FALSE)</f>
        <v>-23.28</v>
      </c>
      <c r="WE61" s="6">
        <f>VLOOKUP(WE$18, ECLIPSES!$G$3:$J$9, 3, FALSE)</f>
        <v>-23.28</v>
      </c>
      <c r="WF61" s="6">
        <f>VLOOKUP(WF$18, ECLIPSES!$G$3:$J$9, 3, FALSE)</f>
        <v>-23.28</v>
      </c>
      <c r="WG61" s="6">
        <f>VLOOKUP(WG$18, ECLIPSES!$G$3:$J$9, 3, FALSE)</f>
        <v>-23.28</v>
      </c>
      <c r="WH61" s="6">
        <f>VLOOKUP(WH$18, ECLIPSES!$G$3:$J$9, 3, FALSE)</f>
        <v>-23.28</v>
      </c>
      <c r="WI61" s="6">
        <f>VLOOKUP(WI$18, ECLIPSES!$G$3:$J$9, 3, FALSE)</f>
        <v>-23.28</v>
      </c>
      <c r="WJ61" s="6">
        <f>VLOOKUP(WJ$18, ECLIPSES!$G$3:$J$9, 3, FALSE)</f>
        <v>-23.28</v>
      </c>
      <c r="WK61" s="6">
        <f>VLOOKUP(WK$18, ECLIPSES!$G$3:$J$9, 3, FALSE)</f>
        <v>-23.28</v>
      </c>
      <c r="WL61" s="6">
        <f>VLOOKUP(WL$18, ECLIPSES!$G$3:$J$9, 3, FALSE)</f>
        <v>-23.28</v>
      </c>
      <c r="WM61" s="6">
        <f>VLOOKUP(WM$18, ECLIPSES!$G$3:$J$9, 3, FALSE)</f>
        <v>-23.28</v>
      </c>
      <c r="WN61" s="6">
        <f>VLOOKUP(WN$18, ECLIPSES!$G$3:$J$9, 3, FALSE)</f>
        <v>-23.28</v>
      </c>
      <c r="WO61" s="6">
        <f>VLOOKUP(WO$18, ECLIPSES!$G$3:$J$9, 3, FALSE)</f>
        <v>-23.28</v>
      </c>
      <c r="WP61" s="6">
        <f>VLOOKUP(WP$18, ECLIPSES!$G$3:$J$9, 3, FALSE)</f>
        <v>-23.28</v>
      </c>
      <c r="WQ61" s="6">
        <f>VLOOKUP(WQ$18, ECLIPSES!$G$3:$J$9, 3, FALSE)</f>
        <v>-23.28</v>
      </c>
      <c r="WR61" s="6">
        <f>VLOOKUP(WR$18, ECLIPSES!$G$3:$J$9, 3, FALSE)</f>
        <v>-23.28</v>
      </c>
      <c r="WS61" s="6">
        <f>VLOOKUP(WS$18, ECLIPSES!$G$3:$J$9, 3, FALSE)</f>
        <v>-23.28</v>
      </c>
      <c r="WT61" s="6">
        <f>VLOOKUP(WT$18, ECLIPSES!$G$3:$J$9, 3, FALSE)</f>
        <v>-23.28</v>
      </c>
      <c r="WU61" s="6">
        <f>VLOOKUP(WU$18, ECLIPSES!$G$3:$J$9, 3, FALSE)</f>
        <v>-23.28</v>
      </c>
      <c r="WV61" s="6">
        <f>VLOOKUP(WV$18, ECLIPSES!$G$3:$J$9, 3, FALSE)</f>
        <v>-23.28</v>
      </c>
      <c r="WW61" s="6">
        <f>VLOOKUP(WW$18, ECLIPSES!$G$3:$J$9, 3, FALSE)</f>
        <v>-23.28</v>
      </c>
      <c r="WX61" s="6">
        <f>VLOOKUP(WX$18, ECLIPSES!$G$3:$J$9, 3, FALSE)</f>
        <v>-23.28</v>
      </c>
      <c r="WY61" s="6">
        <f>VLOOKUP(WY$18, ECLIPSES!$G$3:$J$9, 3, FALSE)</f>
        <v>-23.28</v>
      </c>
      <c r="WZ61" s="6">
        <f>VLOOKUP(WZ$18, ECLIPSES!$G$3:$J$9, 3, FALSE)</f>
        <v>-23.28</v>
      </c>
      <c r="XA61" s="6">
        <f>VLOOKUP(XA$18, ECLIPSES!$G$3:$J$9, 3, FALSE)</f>
        <v>-23.28</v>
      </c>
      <c r="XB61" s="6">
        <f>VLOOKUP(XB$18, ECLIPSES!$G$3:$J$9, 3, FALSE)</f>
        <v>-23.28</v>
      </c>
      <c r="XC61" s="6">
        <f>VLOOKUP(XC$18, ECLIPSES!$G$3:$J$9, 3, FALSE)</f>
        <v>-23.28</v>
      </c>
      <c r="XD61" s="6">
        <f>VLOOKUP(XD$18, ECLIPSES!$G$3:$J$9, 3, FALSE)</f>
        <v>-23.28</v>
      </c>
      <c r="XE61" s="6">
        <f>VLOOKUP(XE$18, ECLIPSES!$G$3:$J$9, 3, FALSE)</f>
        <v>-23.28</v>
      </c>
      <c r="XF61" s="6">
        <f>VLOOKUP(XF$18, ECLIPSES!$G$3:$J$9, 3, FALSE)</f>
        <v>-23.28</v>
      </c>
      <c r="XG61" s="6">
        <f>VLOOKUP(XG$18, ECLIPSES!$G$3:$J$9, 3, FALSE)</f>
        <v>-23.28</v>
      </c>
      <c r="XH61" s="6">
        <f>VLOOKUP(XH$18, ECLIPSES!$G$3:$J$9, 3, FALSE)</f>
        <v>-23.28</v>
      </c>
      <c r="XI61" s="6">
        <f>VLOOKUP(XI$18, ECLIPSES!$G$3:$J$9, 3, FALSE)</f>
        <v>-23.28</v>
      </c>
      <c r="XJ61" s="6">
        <f>VLOOKUP(XJ$18, ECLIPSES!$G$3:$J$9, 3, FALSE)</f>
        <v>-23.28</v>
      </c>
      <c r="XK61" s="6">
        <f>VLOOKUP(XK$18, ECLIPSES!$G$3:$J$9, 3, FALSE)</f>
        <v>-23.28</v>
      </c>
      <c r="XL61" s="6">
        <f>VLOOKUP(XL$18, ECLIPSES!$G$3:$J$9, 3, FALSE)</f>
        <v>-23.28</v>
      </c>
      <c r="XM61" s="6">
        <f>VLOOKUP(XM$18, ECLIPSES!$G$3:$J$9, 3, FALSE)</f>
        <v>-23.28</v>
      </c>
      <c r="XN61" s="6">
        <f>VLOOKUP(XN$18, ECLIPSES!$G$3:$J$9, 3, FALSE)</f>
        <v>-23.28</v>
      </c>
      <c r="XO61" s="6">
        <f>VLOOKUP(XO$18, ECLIPSES!$G$3:$J$9, 3, FALSE)</f>
        <v>-23.28</v>
      </c>
      <c r="XP61" s="6">
        <f>VLOOKUP(XP$18, ECLIPSES!$G$3:$J$9, 3, FALSE)</f>
        <v>-23.28</v>
      </c>
      <c r="XQ61" s="6">
        <f>VLOOKUP(XQ$18, ECLIPSES!$G$3:$J$9, 3, FALSE)</f>
        <v>-23.28</v>
      </c>
      <c r="XR61" s="6">
        <f>VLOOKUP(XR$18, ECLIPSES!$G$3:$J$9, 3, FALSE)</f>
        <v>-23.28</v>
      </c>
      <c r="XS61" s="6">
        <f>VLOOKUP(XS$18, ECLIPSES!$G$3:$J$9, 3, FALSE)</f>
        <v>-23.28</v>
      </c>
      <c r="XT61" s="6">
        <f>VLOOKUP(XT$18, ECLIPSES!$G$3:$J$9, 3, FALSE)</f>
        <v>-23.28</v>
      </c>
      <c r="XU61" s="6">
        <f>VLOOKUP(XU$18, ECLIPSES!$G$3:$J$9, 3, FALSE)</f>
        <v>-23.28</v>
      </c>
      <c r="XV61" s="6">
        <f>VLOOKUP(XV$18, ECLIPSES!$G$3:$J$9, 3, FALSE)</f>
        <v>-23.28</v>
      </c>
      <c r="XW61" s="6">
        <f>VLOOKUP(XW$18, ECLIPSES!$G$3:$J$9, 3, FALSE)</f>
        <v>-23.28</v>
      </c>
      <c r="XX61" s="6">
        <f>VLOOKUP(XX$18, ECLIPSES!$G$3:$J$9, 3, FALSE)</f>
        <v>-23.28</v>
      </c>
      <c r="XY61" s="6">
        <f>VLOOKUP(XY$18, ECLIPSES!$G$3:$J$9, 3, FALSE)</f>
        <v>-23.28</v>
      </c>
      <c r="XZ61" s="6">
        <f>VLOOKUP(XZ$18, ECLIPSES!$G$3:$J$9, 3, FALSE)</f>
        <v>-23.28</v>
      </c>
      <c r="YA61" s="6">
        <f>VLOOKUP(YA$18, ECLIPSES!$G$3:$J$9, 3, FALSE)</f>
        <v>-23.28</v>
      </c>
      <c r="YB61" s="6">
        <f>VLOOKUP(YB$18, ECLIPSES!$G$3:$J$9, 3, FALSE)</f>
        <v>-23.28</v>
      </c>
      <c r="YC61" s="6">
        <f>VLOOKUP(YC$18, ECLIPSES!$G$3:$J$9, 3, FALSE)</f>
        <v>-23.28</v>
      </c>
      <c r="YD61" s="6">
        <f>VLOOKUP(YD$18, ECLIPSES!$G$3:$J$9, 3, FALSE)</f>
        <v>-23.28</v>
      </c>
      <c r="YE61" s="6">
        <f>VLOOKUP(YE$18, ECLIPSES!$G$3:$J$9, 3, FALSE)</f>
        <v>-23.28</v>
      </c>
      <c r="YF61" s="6">
        <f>VLOOKUP(YF$18, ECLIPSES!$G$3:$J$9, 3, FALSE)</f>
        <v>-23.28</v>
      </c>
      <c r="YG61" s="6">
        <f>VLOOKUP(YG$18, ECLIPSES!$G$3:$J$9, 3, FALSE)</f>
        <v>-23.28</v>
      </c>
      <c r="YH61" s="6">
        <f>VLOOKUP(YH$18, ECLIPSES!$G$3:$J$9, 3, FALSE)</f>
        <v>-23.28</v>
      </c>
      <c r="YI61" s="6">
        <f>VLOOKUP(YI$18, ECLIPSES!$G$3:$J$9, 3, FALSE)</f>
        <v>-23.28</v>
      </c>
      <c r="YJ61" s="6">
        <f>VLOOKUP(YJ$18, ECLIPSES!$G$3:$J$9, 3, FALSE)</f>
        <v>-23.28</v>
      </c>
      <c r="YK61" s="6">
        <f>VLOOKUP(YK$18, ECLIPSES!$G$3:$J$9, 3, FALSE)</f>
        <v>-23.28</v>
      </c>
      <c r="YL61" s="6">
        <f>VLOOKUP(YL$18, ECLIPSES!$G$3:$J$9, 3, FALSE)</f>
        <v>-23.28</v>
      </c>
      <c r="YM61" s="6">
        <f>VLOOKUP(YM$18, ECLIPSES!$G$3:$J$9, 3, FALSE)</f>
        <v>-23.28</v>
      </c>
      <c r="YN61" s="6">
        <f>VLOOKUP(YN$18, ECLIPSES!$G$3:$J$9, 3, FALSE)</f>
        <v>-23.28</v>
      </c>
      <c r="YO61" s="6">
        <f>VLOOKUP(YO$18, ECLIPSES!$G$3:$J$9, 3, FALSE)</f>
        <v>-23.28</v>
      </c>
      <c r="YP61" s="6">
        <f>VLOOKUP(YP$18, ECLIPSES!$G$3:$J$9, 3, FALSE)</f>
        <v>-23.28</v>
      </c>
      <c r="YQ61" s="6">
        <f>VLOOKUP(YQ$18, ECLIPSES!$G$3:$J$9, 3, FALSE)</f>
        <v>-23.28</v>
      </c>
      <c r="YR61" s="6">
        <f>VLOOKUP(YR$18, ECLIPSES!$G$3:$J$9, 3, FALSE)</f>
        <v>-23.28</v>
      </c>
      <c r="YS61" s="6">
        <f>VLOOKUP(YS$18, ECLIPSES!$G$3:$J$9, 3, FALSE)</f>
        <v>-23.28</v>
      </c>
      <c r="YT61" s="6">
        <f>VLOOKUP(YT$18, ECLIPSES!$G$3:$J$9, 3, FALSE)</f>
        <v>0</v>
      </c>
      <c r="YU61" s="6">
        <f>VLOOKUP(YU$18, ECLIPSES!$G$3:$J$9, 3, FALSE)</f>
        <v>0</v>
      </c>
      <c r="YV61" s="6">
        <f>VLOOKUP(YV$18, ECLIPSES!$G$3:$J$9, 3, FALSE)</f>
        <v>0</v>
      </c>
      <c r="YW61" s="6">
        <f>VLOOKUP(YW$18, ECLIPSES!$G$3:$J$9, 3, FALSE)</f>
        <v>0</v>
      </c>
      <c r="YX61" s="6">
        <f>VLOOKUP(YX$18, ECLIPSES!$G$3:$J$9, 3, FALSE)</f>
        <v>-23.28</v>
      </c>
      <c r="YY61" s="6">
        <f>VLOOKUP(YY$18, ECLIPSES!$G$3:$J$9, 3, FALSE)</f>
        <v>-23.28</v>
      </c>
      <c r="YZ61" s="6">
        <f>VLOOKUP(YZ$18, ECLIPSES!$G$3:$J$9, 3, FALSE)</f>
        <v>-23.28</v>
      </c>
      <c r="ZA61" s="6">
        <f>VLOOKUP(ZA$18, ECLIPSES!$G$3:$J$9, 3, FALSE)</f>
        <v>-23.28</v>
      </c>
      <c r="ZB61" s="6">
        <f>VLOOKUP(ZB$18, ECLIPSES!$G$3:$J$9, 3, FALSE)</f>
        <v>-23.28</v>
      </c>
      <c r="ZC61" s="6">
        <f>VLOOKUP(ZC$18, ECLIPSES!$G$3:$J$9, 3, FALSE)</f>
        <v>-23.28</v>
      </c>
      <c r="ZD61" s="6">
        <f>VLOOKUP(ZD$18, ECLIPSES!$G$3:$J$9, 3, FALSE)</f>
        <v>-23.28</v>
      </c>
      <c r="ZE61" s="6">
        <f>VLOOKUP(ZE$18, ECLIPSES!$G$3:$J$9, 3, FALSE)</f>
        <v>-23.28</v>
      </c>
      <c r="ZF61" s="6">
        <f>VLOOKUP(ZF$18, ECLIPSES!$G$3:$J$9, 3, FALSE)</f>
        <v>-23.28</v>
      </c>
      <c r="ZG61" s="6">
        <f>VLOOKUP(ZG$18, ECLIPSES!$G$3:$J$9, 3, FALSE)</f>
        <v>-23.28</v>
      </c>
      <c r="ZH61" s="6">
        <f>VLOOKUP(ZH$18, ECLIPSES!$G$3:$J$9, 3, FALSE)</f>
        <v>-23.28</v>
      </c>
      <c r="ZI61" s="6">
        <f>VLOOKUP(ZI$18, ECLIPSES!$G$3:$J$9, 3, FALSE)</f>
        <v>-23.28</v>
      </c>
      <c r="ZJ61" s="6">
        <f>VLOOKUP(ZJ$18, ECLIPSES!$G$3:$J$9, 3, FALSE)</f>
        <v>-23.28</v>
      </c>
      <c r="ZK61" s="6">
        <f>VLOOKUP(ZK$18, ECLIPSES!$G$3:$J$9, 3, FALSE)</f>
        <v>-23.28</v>
      </c>
      <c r="ZL61" s="6">
        <f>VLOOKUP(ZL$18, ECLIPSES!$G$3:$J$9, 3, FALSE)</f>
        <v>-23.28</v>
      </c>
      <c r="ZM61" s="6">
        <f>VLOOKUP(ZM$18, ECLIPSES!$G$3:$J$9, 3, FALSE)</f>
        <v>-23.28</v>
      </c>
      <c r="ZN61" s="6">
        <f>VLOOKUP(ZN$18, ECLIPSES!$G$3:$J$9, 3, FALSE)</f>
        <v>-23.28</v>
      </c>
      <c r="ZO61" s="6">
        <f>VLOOKUP(ZO$18, ECLIPSES!$G$3:$J$9, 3, FALSE)</f>
        <v>-23.28</v>
      </c>
      <c r="ZP61" s="6">
        <f>VLOOKUP(ZP$18, ECLIPSES!$G$3:$J$9, 3, FALSE)</f>
        <v>-23.28</v>
      </c>
      <c r="ZQ61" s="6">
        <f>VLOOKUP(ZQ$18, ECLIPSES!$G$3:$J$9, 3, FALSE)</f>
        <v>-23.28</v>
      </c>
      <c r="ZR61" s="6">
        <f>VLOOKUP(ZR$18, ECLIPSES!$G$3:$J$9, 3, FALSE)</f>
        <v>-23.28</v>
      </c>
      <c r="ZS61" s="6">
        <f>VLOOKUP(ZS$18, ECLIPSES!$G$3:$J$9, 3, FALSE)</f>
        <v>-23.28</v>
      </c>
      <c r="ZT61" s="6">
        <f>VLOOKUP(ZT$18, ECLIPSES!$G$3:$J$9, 3, FALSE)</f>
        <v>-23.28</v>
      </c>
      <c r="ZU61" s="6">
        <f>VLOOKUP(ZU$18, ECLIPSES!$G$3:$J$9, 3, FALSE)</f>
        <v>-23.28</v>
      </c>
      <c r="ZV61" s="6">
        <f>VLOOKUP(ZV$18, ECLIPSES!$G$3:$J$9, 3, FALSE)</f>
        <v>-23.28</v>
      </c>
      <c r="ZW61" s="6">
        <f>VLOOKUP(ZW$18, ECLIPSES!$G$3:$J$9, 3, FALSE)</f>
        <v>-23.28</v>
      </c>
      <c r="ZX61" s="6">
        <f>VLOOKUP(ZX$18, ECLIPSES!$G$3:$J$9, 3, FALSE)</f>
        <v>-23.28</v>
      </c>
      <c r="ZY61" s="6">
        <f>VLOOKUP(ZY$18, ECLIPSES!$G$3:$J$9, 3, FALSE)</f>
        <v>-23.28</v>
      </c>
      <c r="ZZ61" s="6">
        <f>VLOOKUP(ZZ$18, ECLIPSES!$G$3:$J$9, 3, FALSE)</f>
        <v>-23.28</v>
      </c>
      <c r="AAA61" s="6">
        <f>VLOOKUP(AAA$18, ECLIPSES!$G$3:$J$9, 3, FALSE)</f>
        <v>-23.28</v>
      </c>
      <c r="AAB61" s="6">
        <f>VLOOKUP(AAB$18, ECLIPSES!$G$3:$J$9, 3, FALSE)</f>
        <v>-23.28</v>
      </c>
      <c r="AAC61" s="6">
        <f>VLOOKUP(AAC$18, ECLIPSES!$G$3:$J$9, 3, FALSE)</f>
        <v>-23.28</v>
      </c>
      <c r="AAD61" s="6">
        <f>VLOOKUP(AAD$18, ECLIPSES!$G$3:$J$9, 3, FALSE)</f>
        <v>-23.28</v>
      </c>
      <c r="AAE61" s="6">
        <f>VLOOKUP(AAE$18, ECLIPSES!$G$3:$J$9, 3, FALSE)</f>
        <v>-23.28</v>
      </c>
      <c r="AAF61" s="6">
        <f>VLOOKUP(AAF$18, ECLIPSES!$G$3:$J$9, 3, FALSE)</f>
        <v>-23.28</v>
      </c>
      <c r="AAG61" s="6">
        <f>VLOOKUP(AAG$18, ECLIPSES!$G$3:$J$9, 3, FALSE)</f>
        <v>-23.28</v>
      </c>
      <c r="AAH61" s="6">
        <f>VLOOKUP(AAH$18, ECLIPSES!$G$3:$J$9, 3, FALSE)</f>
        <v>-23.28</v>
      </c>
      <c r="AAI61" s="6">
        <f>VLOOKUP(AAI$18, ECLIPSES!$G$3:$J$9, 3, FALSE)</f>
        <v>-23.28</v>
      </c>
      <c r="AAJ61" s="6">
        <f>VLOOKUP(AAJ$18, ECLIPSES!$G$3:$J$9, 3, FALSE)</f>
        <v>-23.28</v>
      </c>
      <c r="AAK61" s="6">
        <f>VLOOKUP(AAK$18, ECLIPSES!$G$3:$J$9, 3, FALSE)</f>
        <v>-23.28</v>
      </c>
      <c r="AAL61" s="6">
        <f>VLOOKUP(AAL$18, ECLIPSES!$G$3:$J$9, 3, FALSE)</f>
        <v>-23.28</v>
      </c>
      <c r="AAM61" s="6">
        <f>VLOOKUP(AAM$18, ECLIPSES!$G$3:$J$9, 3, FALSE)</f>
        <v>-23.28</v>
      </c>
      <c r="AAN61" s="6">
        <f>VLOOKUP(AAN$18, ECLIPSES!$G$3:$J$9, 3, FALSE)</f>
        <v>-23.28</v>
      </c>
      <c r="AAO61" s="6">
        <f>VLOOKUP(AAO$18, ECLIPSES!$G$3:$J$9, 3, FALSE)</f>
        <v>-23.28</v>
      </c>
      <c r="AAP61" s="6">
        <f>VLOOKUP(AAP$18, ECLIPSES!$G$3:$J$9, 3, FALSE)</f>
        <v>-23.28</v>
      </c>
      <c r="AAQ61" s="6">
        <f>VLOOKUP(AAQ$18, ECLIPSES!$G$3:$J$9, 3, FALSE)</f>
        <v>-23.28</v>
      </c>
      <c r="AAR61" s="6">
        <f>VLOOKUP(AAR$18, ECLIPSES!$G$3:$J$9, 3, FALSE)</f>
        <v>-23.28</v>
      </c>
      <c r="AAS61" s="6">
        <f>VLOOKUP(AAS$18, ECLIPSES!$G$3:$J$9, 3, FALSE)</f>
        <v>-23.28</v>
      </c>
      <c r="AAT61" s="6">
        <f>VLOOKUP(AAT$18, ECLIPSES!$G$3:$J$9, 3, FALSE)</f>
        <v>-23.28</v>
      </c>
      <c r="AAU61" s="6">
        <f>VLOOKUP(AAU$18, ECLIPSES!$G$3:$J$9, 3, FALSE)</f>
        <v>-23.28</v>
      </c>
      <c r="AAV61" s="6">
        <f>VLOOKUP(AAV$18, ECLIPSES!$G$3:$J$9, 3, FALSE)</f>
        <v>-23.28</v>
      </c>
      <c r="AAW61" s="6">
        <f>VLOOKUP(AAW$18, ECLIPSES!$G$3:$J$9, 3, FALSE)</f>
        <v>-23.28</v>
      </c>
      <c r="AAX61" s="6">
        <f>VLOOKUP(AAX$18, ECLIPSES!$G$3:$J$9, 3, FALSE)</f>
        <v>-23.28</v>
      </c>
      <c r="AAY61" s="6">
        <f>VLOOKUP(AAY$18, ECLIPSES!$G$3:$J$9, 3, FALSE)</f>
        <v>-23.28</v>
      </c>
      <c r="AAZ61" s="6">
        <f>VLOOKUP(AAZ$18, ECLIPSES!$G$3:$J$9, 3, FALSE)</f>
        <v>-23.28</v>
      </c>
      <c r="ABA61" s="6">
        <f>VLOOKUP(ABA$18, ECLIPSES!$G$3:$J$9, 3, FALSE)</f>
        <v>-23.28</v>
      </c>
      <c r="ABB61" s="6">
        <f>VLOOKUP(ABB$18, ECLIPSES!$G$3:$J$9, 3, FALSE)</f>
        <v>-23.28</v>
      </c>
      <c r="ABC61" s="6">
        <f>VLOOKUP(ABC$18, ECLIPSES!$G$3:$J$9, 3, FALSE)</f>
        <v>-23.28</v>
      </c>
      <c r="ABD61" s="6">
        <f>VLOOKUP(ABD$18, ECLIPSES!$G$3:$J$9, 3, FALSE)</f>
        <v>-23.28</v>
      </c>
      <c r="ABE61" s="6">
        <f>VLOOKUP(ABE$18, ECLIPSES!$G$3:$J$9, 3, FALSE)</f>
        <v>-23.28</v>
      </c>
      <c r="ABF61" s="6">
        <f>VLOOKUP(ABF$18, ECLIPSES!$G$3:$J$9, 3, FALSE)</f>
        <v>-23.28</v>
      </c>
      <c r="ABG61" s="6">
        <f>VLOOKUP(ABG$18, ECLIPSES!$G$3:$J$9, 3, FALSE)</f>
        <v>-23.28</v>
      </c>
      <c r="ABH61" s="6">
        <f>VLOOKUP(ABH$18, ECLIPSES!$G$3:$J$9, 3, FALSE)</f>
        <v>-23.28</v>
      </c>
      <c r="ABI61" s="6">
        <f>VLOOKUP(ABI$18, ECLIPSES!$G$3:$J$9, 3, FALSE)</f>
        <v>-23.28</v>
      </c>
      <c r="ABJ61" s="6">
        <f>VLOOKUP(ABJ$18, ECLIPSES!$G$3:$J$9, 3, FALSE)</f>
        <v>-23.28</v>
      </c>
      <c r="ABK61" s="6">
        <f>VLOOKUP(ABK$18, ECLIPSES!$G$3:$J$9, 3, FALSE)</f>
        <v>-23.28</v>
      </c>
      <c r="ABL61" s="6">
        <f>VLOOKUP(ABL$18, ECLIPSES!$G$3:$J$9, 3, FALSE)</f>
        <v>-23.28</v>
      </c>
      <c r="ABM61" s="6">
        <f>VLOOKUP(ABM$18, ECLIPSES!$G$3:$J$9, 3, FALSE)</f>
        <v>-23.28</v>
      </c>
      <c r="ABN61" s="6">
        <f>VLOOKUP(ABN$18, ECLIPSES!$G$3:$J$9, 3, FALSE)</f>
        <v>0</v>
      </c>
      <c r="ABO61" s="6">
        <f>VLOOKUP(ABO$18, ECLIPSES!$G$3:$J$9, 3, FALSE)</f>
        <v>0</v>
      </c>
      <c r="ABP61" s="6">
        <f>VLOOKUP(ABP$18, ECLIPSES!$G$3:$J$9, 3, FALSE)</f>
        <v>0</v>
      </c>
      <c r="ABQ61" s="6">
        <f>VLOOKUP(ABQ$18, ECLIPSES!$G$3:$J$9, 3, FALSE)</f>
        <v>0</v>
      </c>
      <c r="ABR61" s="6">
        <f>VLOOKUP(ABR$18, ECLIPSES!$G$3:$J$9, 3, FALSE)</f>
        <v>-23.28</v>
      </c>
      <c r="ABS61" s="6">
        <f>VLOOKUP(ABS$18, ECLIPSES!$G$3:$J$9, 3, FALSE)</f>
        <v>-23.28</v>
      </c>
      <c r="ABT61" s="6">
        <f>VLOOKUP(ABT$18, ECLIPSES!$G$3:$J$9, 3, FALSE)</f>
        <v>-23.28</v>
      </c>
      <c r="ABU61" s="6">
        <f>VLOOKUP(ABU$18, ECLIPSES!$G$3:$J$9, 3, FALSE)</f>
        <v>-23.28</v>
      </c>
      <c r="ABV61" s="6">
        <f>VLOOKUP(ABV$18, ECLIPSES!$G$3:$J$9, 3, FALSE)</f>
        <v>-23.28</v>
      </c>
      <c r="ABW61" s="6">
        <f>VLOOKUP(ABW$18, ECLIPSES!$G$3:$J$9, 3, FALSE)</f>
        <v>-23.28</v>
      </c>
      <c r="ABX61" s="6">
        <f>VLOOKUP(ABX$18, ECLIPSES!$G$3:$J$9, 3, FALSE)</f>
        <v>-23.28</v>
      </c>
      <c r="ABY61" s="6">
        <f>VLOOKUP(ABY$18, ECLIPSES!$G$3:$J$9, 3, FALSE)</f>
        <v>-23.28</v>
      </c>
      <c r="ABZ61" s="6">
        <f>VLOOKUP(ABZ$18, ECLIPSES!$G$3:$J$9, 3, FALSE)</f>
        <v>-23.28</v>
      </c>
      <c r="ACA61" s="6">
        <f>VLOOKUP(ACA$18, ECLIPSES!$G$3:$J$9, 3, FALSE)</f>
        <v>-23.28</v>
      </c>
      <c r="ACB61" s="6">
        <f>VLOOKUP(ACB$18, ECLIPSES!$G$3:$J$9, 3, FALSE)</f>
        <v>-23.28</v>
      </c>
      <c r="ACC61" s="6">
        <f>VLOOKUP(ACC$18, ECLIPSES!$G$3:$J$9, 3, FALSE)</f>
        <v>-23.28</v>
      </c>
      <c r="ACD61" s="6">
        <f>VLOOKUP(ACD$18, ECLIPSES!$G$3:$J$9, 3, FALSE)</f>
        <v>-23.28</v>
      </c>
      <c r="ACE61" s="6">
        <f>VLOOKUP(ACE$18, ECLIPSES!$G$3:$J$9, 3, FALSE)</f>
        <v>-23.28</v>
      </c>
      <c r="ACF61" s="6">
        <f>VLOOKUP(ACF$18, ECLIPSES!$G$3:$J$9, 3, FALSE)</f>
        <v>-23.28</v>
      </c>
      <c r="ACG61" s="6">
        <f>VLOOKUP(ACG$18, ECLIPSES!$G$3:$J$9, 3, FALSE)</f>
        <v>-23.28</v>
      </c>
      <c r="ACH61" s="6">
        <f>VLOOKUP(ACH$18, ECLIPSES!$G$3:$J$9, 3, FALSE)</f>
        <v>-23.28</v>
      </c>
      <c r="ACI61" s="6">
        <f>VLOOKUP(ACI$18, ECLIPSES!$G$3:$J$9, 3, FALSE)</f>
        <v>-23.28</v>
      </c>
      <c r="ACJ61" s="6">
        <f>VLOOKUP(ACJ$18, ECLIPSES!$G$3:$J$9, 3, FALSE)</f>
        <v>-23.28</v>
      </c>
      <c r="ACK61" s="6">
        <f>VLOOKUP(ACK$18, ECLIPSES!$G$3:$J$9, 3, FALSE)</f>
        <v>-23.28</v>
      </c>
      <c r="ACL61" s="6">
        <f>VLOOKUP(ACL$18, ECLIPSES!$G$3:$J$9, 3, FALSE)</f>
        <v>-23.28</v>
      </c>
      <c r="ACM61" s="6">
        <f>VLOOKUP(ACM$18, ECLIPSES!$G$3:$J$9, 3, FALSE)</f>
        <v>-23.28</v>
      </c>
      <c r="ACN61" s="6">
        <f>VLOOKUP(ACN$18, ECLIPSES!$G$3:$J$9, 3, FALSE)</f>
        <v>-23.28</v>
      </c>
      <c r="ACO61" s="6">
        <f>VLOOKUP(ACO$18, ECLIPSES!$G$3:$J$9, 3, FALSE)</f>
        <v>-23.28</v>
      </c>
      <c r="ACP61" s="6">
        <f>VLOOKUP(ACP$18, ECLIPSES!$G$3:$J$9, 3, FALSE)</f>
        <v>-23.28</v>
      </c>
      <c r="ACQ61" s="6">
        <f>VLOOKUP(ACQ$18, ECLIPSES!$G$3:$J$9, 3, FALSE)</f>
        <v>-23.28</v>
      </c>
      <c r="ACR61" s="6">
        <f>VLOOKUP(ACR$18, ECLIPSES!$G$3:$J$9, 3, FALSE)</f>
        <v>-23.28</v>
      </c>
      <c r="ACS61" s="6">
        <f>VLOOKUP(ACS$18, ECLIPSES!$G$3:$J$9, 3, FALSE)</f>
        <v>-23.28</v>
      </c>
      <c r="ACT61" s="6">
        <f>VLOOKUP(ACT$18, ECLIPSES!$G$3:$J$9, 3, FALSE)</f>
        <v>-23.28</v>
      </c>
      <c r="ACU61" s="6">
        <f>VLOOKUP(ACU$18, ECLIPSES!$G$3:$J$9, 3, FALSE)</f>
        <v>-23.28</v>
      </c>
      <c r="ACV61" s="6">
        <f>VLOOKUP(ACV$18, ECLIPSES!$G$3:$J$9, 3, FALSE)</f>
        <v>-23.28</v>
      </c>
      <c r="ACW61" s="6">
        <f>VLOOKUP(ACW$18, ECLIPSES!$G$3:$J$9, 3, FALSE)</f>
        <v>-23.28</v>
      </c>
      <c r="ACX61" s="6">
        <f>VLOOKUP(ACX$18, ECLIPSES!$G$3:$J$9, 3, FALSE)</f>
        <v>-23.28</v>
      </c>
      <c r="ACY61" s="6">
        <f>VLOOKUP(ACY$18, ECLIPSES!$G$3:$J$9, 3, FALSE)</f>
        <v>-23.28</v>
      </c>
      <c r="ACZ61" s="6">
        <f>VLOOKUP(ACZ$18, ECLIPSES!$G$3:$J$9, 3, FALSE)</f>
        <v>-23.28</v>
      </c>
      <c r="ADA61" s="6">
        <f>VLOOKUP(ADA$18, ECLIPSES!$G$3:$J$9, 3, FALSE)</f>
        <v>-23.28</v>
      </c>
      <c r="ADB61" s="6">
        <f>VLOOKUP(ADB$18, ECLIPSES!$G$3:$J$9, 3, FALSE)</f>
        <v>-23.28</v>
      </c>
      <c r="ADC61" s="6">
        <f>VLOOKUP(ADC$18, ECLIPSES!$G$3:$J$9, 3, FALSE)</f>
        <v>-23.28</v>
      </c>
      <c r="ADD61" s="6">
        <f>VLOOKUP(ADD$18, ECLIPSES!$G$3:$J$9, 3, FALSE)</f>
        <v>-23.28</v>
      </c>
      <c r="ADE61" s="6">
        <f>VLOOKUP(ADE$18, ECLIPSES!$G$3:$J$9, 3, FALSE)</f>
        <v>-23.28</v>
      </c>
      <c r="ADF61" s="6">
        <f>VLOOKUP(ADF$18, ECLIPSES!$G$3:$J$9, 3, FALSE)</f>
        <v>-23.28</v>
      </c>
      <c r="ADG61" s="6">
        <f>VLOOKUP(ADG$18, ECLIPSES!$G$3:$J$9, 3, FALSE)</f>
        <v>-23.28</v>
      </c>
      <c r="ADH61" s="6">
        <f>VLOOKUP(ADH$18, ECLIPSES!$G$3:$J$9, 3, FALSE)</f>
        <v>-23.28</v>
      </c>
      <c r="ADI61" s="6">
        <f>VLOOKUP(ADI$18, ECLIPSES!$G$3:$J$9, 3, FALSE)</f>
        <v>-23.28</v>
      </c>
      <c r="ADJ61" s="6">
        <f>VLOOKUP(ADJ$18, ECLIPSES!$G$3:$J$9, 3, FALSE)</f>
        <v>-23.28</v>
      </c>
      <c r="ADK61" s="6">
        <f>VLOOKUP(ADK$18, ECLIPSES!$G$3:$J$9, 3, FALSE)</f>
        <v>-23.28</v>
      </c>
      <c r="ADL61" s="6">
        <f>VLOOKUP(ADL$18, ECLIPSES!$G$3:$J$9, 3, FALSE)</f>
        <v>-23.28</v>
      </c>
      <c r="ADM61" s="6">
        <f>VLOOKUP(ADM$18, ECLIPSES!$G$3:$J$9, 3, FALSE)</f>
        <v>-23.28</v>
      </c>
      <c r="ADN61" s="6">
        <f>VLOOKUP(ADN$18, ECLIPSES!$G$3:$J$9, 3, FALSE)</f>
        <v>-23.28</v>
      </c>
      <c r="ADO61" s="6">
        <f>VLOOKUP(ADO$18, ECLIPSES!$G$3:$J$9, 3, FALSE)</f>
        <v>-23.28</v>
      </c>
      <c r="ADP61" s="6">
        <f>VLOOKUP(ADP$18, ECLIPSES!$G$3:$J$9, 3, FALSE)</f>
        <v>-23.28</v>
      </c>
      <c r="ADQ61" s="6">
        <f>VLOOKUP(ADQ$18, ECLIPSES!$G$3:$J$9, 3, FALSE)</f>
        <v>-23.28</v>
      </c>
      <c r="ADR61" s="6">
        <f>VLOOKUP(ADR$18, ECLIPSES!$G$3:$J$9, 3, FALSE)</f>
        <v>-23.28</v>
      </c>
      <c r="ADS61" s="6">
        <f>VLOOKUP(ADS$18, ECLIPSES!$G$3:$J$9, 3, FALSE)</f>
        <v>-23.28</v>
      </c>
      <c r="ADT61" s="6">
        <f>VLOOKUP(ADT$18, ECLIPSES!$G$3:$J$9, 3, FALSE)</f>
        <v>-23.28</v>
      </c>
      <c r="ADU61" s="6">
        <f>VLOOKUP(ADU$18, ECLIPSES!$G$3:$J$9, 3, FALSE)</f>
        <v>-23.28</v>
      </c>
      <c r="ADV61" s="6">
        <f>VLOOKUP(ADV$18, ECLIPSES!$G$3:$J$9, 3, FALSE)</f>
        <v>-23.28</v>
      </c>
      <c r="ADW61" s="6">
        <f>VLOOKUP(ADW$18, ECLIPSES!$G$3:$J$9, 3, FALSE)</f>
        <v>-23.28</v>
      </c>
      <c r="ADX61" s="6">
        <f>VLOOKUP(ADX$18, ECLIPSES!$G$3:$J$9, 3, FALSE)</f>
        <v>-23.28</v>
      </c>
      <c r="ADY61" s="6">
        <f>VLOOKUP(ADY$18, ECLIPSES!$G$3:$J$9, 3, FALSE)</f>
        <v>-23.28</v>
      </c>
      <c r="ADZ61" s="6">
        <f>VLOOKUP(ADZ$18, ECLIPSES!$G$3:$J$9, 3, FALSE)</f>
        <v>-23.28</v>
      </c>
      <c r="AEA61" s="6">
        <f>VLOOKUP(AEA$18, ECLIPSES!$G$3:$J$9, 3, FALSE)</f>
        <v>-23.28</v>
      </c>
      <c r="AEB61" s="6">
        <f>VLOOKUP(AEB$18, ECLIPSES!$G$3:$J$9, 3, FALSE)</f>
        <v>-23.28</v>
      </c>
      <c r="AEC61" s="6">
        <f>VLOOKUP(AEC$18, ECLIPSES!$G$3:$J$9, 3, FALSE)</f>
        <v>-23.28</v>
      </c>
      <c r="AED61" s="6">
        <f>VLOOKUP(AED$18, ECLIPSES!$G$3:$J$9, 3, FALSE)</f>
        <v>-23.28</v>
      </c>
      <c r="AEE61" s="6">
        <f>VLOOKUP(AEE$18, ECLIPSES!$G$3:$J$9, 3, FALSE)</f>
        <v>-23.28</v>
      </c>
      <c r="AEF61" s="6">
        <f>VLOOKUP(AEF$18, ECLIPSES!$G$3:$J$9, 3, FALSE)</f>
        <v>-23.28</v>
      </c>
      <c r="AEG61" s="6">
        <f>VLOOKUP(AEG$18, ECLIPSES!$G$3:$J$9, 3, FALSE)</f>
        <v>-23.28</v>
      </c>
      <c r="AEH61" s="6">
        <f>VLOOKUP(AEH$18, ECLIPSES!$G$3:$J$9, 3, FALSE)</f>
        <v>0</v>
      </c>
      <c r="AEI61" s="6">
        <f>VLOOKUP(AEI$18, ECLIPSES!$G$3:$J$9, 3, FALSE)</f>
        <v>0</v>
      </c>
      <c r="AEJ61" s="6">
        <f>VLOOKUP(AEJ$18, ECLIPSES!$G$3:$J$9, 3, FALSE)</f>
        <v>0</v>
      </c>
      <c r="AEK61" s="6">
        <f>VLOOKUP(AEK$18, ECLIPSES!$G$3:$J$9, 3, FALSE)</f>
        <v>0</v>
      </c>
      <c r="AEL61" s="6">
        <f>VLOOKUP(AEL$18, ECLIPSES!$G$3:$J$9, 3, FALSE)</f>
        <v>-23.28</v>
      </c>
      <c r="AEM61" s="6">
        <f>VLOOKUP(AEM$18, ECLIPSES!$G$3:$J$9, 3, FALSE)</f>
        <v>-23.28</v>
      </c>
      <c r="AEN61" s="6">
        <f>VLOOKUP(AEN$18, ECLIPSES!$G$3:$J$9, 3, FALSE)</f>
        <v>-23.28</v>
      </c>
      <c r="AEO61" s="6">
        <f>VLOOKUP(AEO$18, ECLIPSES!$G$3:$J$9, 3, FALSE)</f>
        <v>-23.28</v>
      </c>
      <c r="AEP61" s="6">
        <f>VLOOKUP(AEP$18, ECLIPSES!$G$3:$J$9, 3, FALSE)</f>
        <v>-23.28</v>
      </c>
      <c r="AEQ61" s="6">
        <f>VLOOKUP(AEQ$18, ECLIPSES!$G$3:$J$9, 3, FALSE)</f>
        <v>-23.28</v>
      </c>
      <c r="AER61" s="6">
        <f>VLOOKUP(AER$18, ECLIPSES!$G$3:$J$9, 3, FALSE)</f>
        <v>-23.28</v>
      </c>
      <c r="AES61" s="6">
        <f>VLOOKUP(AES$18, ECLIPSES!$G$3:$J$9, 3, FALSE)</f>
        <v>-23.28</v>
      </c>
      <c r="AET61" s="6">
        <f>VLOOKUP(AET$18, ECLIPSES!$G$3:$J$9, 3, FALSE)</f>
        <v>-23.28</v>
      </c>
      <c r="AEU61" s="6">
        <f>VLOOKUP(AEU$18, ECLIPSES!$G$3:$J$9, 3, FALSE)</f>
        <v>-23.28</v>
      </c>
      <c r="AEV61" s="6">
        <f>VLOOKUP(AEV$18, ECLIPSES!$G$3:$J$9, 3, FALSE)</f>
        <v>-23.28</v>
      </c>
      <c r="AEW61" s="6">
        <f>VLOOKUP(AEW$18, ECLIPSES!$G$3:$J$9, 3, FALSE)</f>
        <v>-23.28</v>
      </c>
      <c r="AEX61" s="6">
        <f>VLOOKUP(AEX$18, ECLIPSES!$G$3:$J$9, 3, FALSE)</f>
        <v>-23.28</v>
      </c>
      <c r="AEY61" s="6">
        <f>VLOOKUP(AEY$18, ECLIPSES!$G$3:$J$9, 3, FALSE)</f>
        <v>-23.28</v>
      </c>
      <c r="AEZ61" s="6">
        <f>VLOOKUP(AEZ$18, ECLIPSES!$G$3:$J$9, 3, FALSE)</f>
        <v>-23.28</v>
      </c>
      <c r="AFA61" s="6">
        <f>VLOOKUP(AFA$18, ECLIPSES!$G$3:$J$9, 3, FALSE)</f>
        <v>-23.28</v>
      </c>
      <c r="AFB61" s="6">
        <f>VLOOKUP(AFB$18, ECLIPSES!$G$3:$J$9, 3, FALSE)</f>
        <v>-23.28</v>
      </c>
      <c r="AFC61" s="6">
        <f>VLOOKUP(AFC$18, ECLIPSES!$G$3:$J$9, 3, FALSE)</f>
        <v>-23.28</v>
      </c>
      <c r="AFD61" s="6">
        <f>VLOOKUP(AFD$18, ECLIPSES!$G$3:$J$9, 3, FALSE)</f>
        <v>-23.28</v>
      </c>
      <c r="AFE61" s="6">
        <f>VLOOKUP(AFE$18, ECLIPSES!$G$3:$J$9, 3, FALSE)</f>
        <v>-23.28</v>
      </c>
      <c r="AFF61" s="6">
        <f>VLOOKUP(AFF$18, ECLIPSES!$G$3:$J$9, 3, FALSE)</f>
        <v>-23.28</v>
      </c>
      <c r="AFG61" s="6">
        <f>VLOOKUP(AFG$18, ECLIPSES!$G$3:$J$9, 3, FALSE)</f>
        <v>-23.28</v>
      </c>
      <c r="AFH61" s="6">
        <f>VLOOKUP(AFH$18, ECLIPSES!$G$3:$J$9, 3, FALSE)</f>
        <v>-23.28</v>
      </c>
      <c r="AFI61" s="6">
        <f>VLOOKUP(AFI$18, ECLIPSES!$G$3:$J$9, 3, FALSE)</f>
        <v>-23.28</v>
      </c>
      <c r="AFJ61" s="6">
        <f>VLOOKUP(AFJ$18, ECLIPSES!$G$3:$J$9, 3, FALSE)</f>
        <v>-23.28</v>
      </c>
      <c r="AFK61" s="6">
        <f>VLOOKUP(AFK$18, ECLIPSES!$G$3:$J$9, 3, FALSE)</f>
        <v>-23.28</v>
      </c>
      <c r="AFL61" s="6">
        <f>VLOOKUP(AFL$18, ECLIPSES!$G$3:$J$9, 3, FALSE)</f>
        <v>-23.28</v>
      </c>
      <c r="AFM61" s="6">
        <f>VLOOKUP(AFM$18, ECLIPSES!$G$3:$J$9, 3, FALSE)</f>
        <v>-23.28</v>
      </c>
      <c r="AFN61" s="6">
        <f>VLOOKUP(AFN$18, ECLIPSES!$G$3:$J$9, 3, FALSE)</f>
        <v>-23.28</v>
      </c>
      <c r="AFO61" s="6">
        <f>VLOOKUP(AFO$18, ECLIPSES!$G$3:$J$9, 3, FALSE)</f>
        <v>-23.28</v>
      </c>
      <c r="AFP61" s="6">
        <f>VLOOKUP(AFP$18, ECLIPSES!$G$3:$J$9, 3, FALSE)</f>
        <v>-23.28</v>
      </c>
      <c r="AFQ61" s="6">
        <f>VLOOKUP(AFQ$18, ECLIPSES!$G$3:$J$9, 3, FALSE)</f>
        <v>-23.28</v>
      </c>
      <c r="AFR61" s="6">
        <f>VLOOKUP(AFR$18, ECLIPSES!$G$3:$J$9, 3, FALSE)</f>
        <v>-23.28</v>
      </c>
      <c r="AFS61" s="6">
        <f>VLOOKUP(AFS$18, ECLIPSES!$G$3:$J$9, 3, FALSE)</f>
        <v>-23.28</v>
      </c>
      <c r="AFT61" s="6">
        <f>VLOOKUP(AFT$18, ECLIPSES!$G$3:$J$9, 3, FALSE)</f>
        <v>-23.28</v>
      </c>
      <c r="AFU61" s="6">
        <f>VLOOKUP(AFU$18, ECLIPSES!$G$3:$J$9, 3, FALSE)</f>
        <v>-23.28</v>
      </c>
      <c r="AFV61" s="6">
        <f>VLOOKUP(AFV$18, ECLIPSES!$G$3:$J$9, 3, FALSE)</f>
        <v>-23.28</v>
      </c>
      <c r="AFW61" s="6">
        <f>VLOOKUP(AFW$18, ECLIPSES!$G$3:$J$9, 3, FALSE)</f>
        <v>-23.28</v>
      </c>
      <c r="AFX61" s="6">
        <f>VLOOKUP(AFX$18, ECLIPSES!$G$3:$J$9, 3, FALSE)</f>
        <v>-23.28</v>
      </c>
      <c r="AFY61" s="6">
        <f>VLOOKUP(AFY$18, ECLIPSES!$G$3:$J$9, 3, FALSE)</f>
        <v>-23.28</v>
      </c>
      <c r="AFZ61" s="6">
        <f>VLOOKUP(AFZ$18, ECLIPSES!$G$3:$J$9, 3, FALSE)</f>
        <v>-23.28</v>
      </c>
      <c r="AGA61" s="6">
        <f>VLOOKUP(AGA$18, ECLIPSES!$G$3:$J$9, 3, FALSE)</f>
        <v>-23.28</v>
      </c>
      <c r="AGB61" s="6">
        <f>VLOOKUP(AGB$18, ECLIPSES!$G$3:$J$9, 3, FALSE)</f>
        <v>-23.28</v>
      </c>
      <c r="AGC61" s="6">
        <f>VLOOKUP(AGC$18, ECLIPSES!$G$3:$J$9, 3, FALSE)</f>
        <v>-23.28</v>
      </c>
      <c r="AGD61" s="6">
        <f>VLOOKUP(AGD$18, ECLIPSES!$G$3:$J$9, 3, FALSE)</f>
        <v>-23.28</v>
      </c>
      <c r="AGE61" s="6">
        <f>VLOOKUP(AGE$18, ECLIPSES!$G$3:$J$9, 3, FALSE)</f>
        <v>-23.28</v>
      </c>
      <c r="AGF61" s="6">
        <f>VLOOKUP(AGF$18, ECLIPSES!$G$3:$J$9, 3, FALSE)</f>
        <v>-23.28</v>
      </c>
      <c r="AGG61" s="6">
        <f>VLOOKUP(AGG$18, ECLIPSES!$G$3:$J$9, 3, FALSE)</f>
        <v>-23.28</v>
      </c>
      <c r="AGH61" s="6">
        <f>VLOOKUP(AGH$18, ECLIPSES!$G$3:$J$9, 3, FALSE)</f>
        <v>-23.28</v>
      </c>
      <c r="AGI61" s="6">
        <f>VLOOKUP(AGI$18, ECLIPSES!$G$3:$J$9, 3, FALSE)</f>
        <v>-23.28</v>
      </c>
      <c r="AGJ61" s="6">
        <f>VLOOKUP(AGJ$18, ECLIPSES!$G$3:$J$9, 3, FALSE)</f>
        <v>-23.28</v>
      </c>
      <c r="AGK61" s="6">
        <f>VLOOKUP(AGK$18, ECLIPSES!$G$3:$J$9, 3, FALSE)</f>
        <v>-23.28</v>
      </c>
      <c r="AGL61" s="6">
        <f>VLOOKUP(AGL$18, ECLIPSES!$G$3:$J$9, 3, FALSE)</f>
        <v>-23.28</v>
      </c>
      <c r="AGM61" s="6">
        <f>VLOOKUP(AGM$18, ECLIPSES!$G$3:$J$9, 3, FALSE)</f>
        <v>-23.28</v>
      </c>
      <c r="AGN61" s="6">
        <f>VLOOKUP(AGN$18, ECLIPSES!$G$3:$J$9, 3, FALSE)</f>
        <v>-23.28</v>
      </c>
      <c r="AGO61" s="6">
        <f>VLOOKUP(AGO$18, ECLIPSES!$G$3:$J$9, 3, FALSE)</f>
        <v>-23.28</v>
      </c>
      <c r="AGP61" s="6">
        <f>VLOOKUP(AGP$18, ECLIPSES!$G$3:$J$9, 3, FALSE)</f>
        <v>-23.28</v>
      </c>
      <c r="AGQ61" s="6">
        <f>VLOOKUP(AGQ$18, ECLIPSES!$G$3:$J$9, 3, FALSE)</f>
        <v>-23.28</v>
      </c>
      <c r="AGR61" s="6">
        <f>VLOOKUP(AGR$18, ECLIPSES!$G$3:$J$9, 3, FALSE)</f>
        <v>-23.28</v>
      </c>
      <c r="AGS61" s="6">
        <f>VLOOKUP(AGS$18, ECLIPSES!$G$3:$J$9, 3, FALSE)</f>
        <v>-23.28</v>
      </c>
      <c r="AGT61" s="6">
        <f>VLOOKUP(AGT$18, ECLIPSES!$G$3:$J$9, 3, FALSE)</f>
        <v>-23.28</v>
      </c>
      <c r="AGU61" s="6">
        <f>VLOOKUP(AGU$18, ECLIPSES!$G$3:$J$9, 3, FALSE)</f>
        <v>-23.28</v>
      </c>
      <c r="AGV61" s="6">
        <f>VLOOKUP(AGV$18, ECLIPSES!$G$3:$J$9, 3, FALSE)</f>
        <v>-23.28</v>
      </c>
      <c r="AGW61" s="6">
        <f>VLOOKUP(AGW$18, ECLIPSES!$G$3:$J$9, 3, FALSE)</f>
        <v>-23.28</v>
      </c>
      <c r="AGX61" s="6">
        <f>VLOOKUP(AGX$18, ECLIPSES!$G$3:$J$9, 3, FALSE)</f>
        <v>-23.28</v>
      </c>
      <c r="AGY61" s="6">
        <f>VLOOKUP(AGY$18, ECLIPSES!$G$3:$J$9, 3, FALSE)</f>
        <v>-23.28</v>
      </c>
      <c r="AGZ61" s="6">
        <f>VLOOKUP(AGZ$18, ECLIPSES!$G$3:$J$9, 3, FALSE)</f>
        <v>-23.28</v>
      </c>
      <c r="AHA61" s="6">
        <f>VLOOKUP(AHA$18, ECLIPSES!$G$3:$J$9, 3, FALSE)</f>
        <v>-23.28</v>
      </c>
      <c r="AHB61" s="6">
        <f>VLOOKUP(AHB$18, ECLIPSES!$G$3:$J$9, 3, FALSE)</f>
        <v>0</v>
      </c>
      <c r="AHC61" s="6">
        <f>VLOOKUP(AHC$18, ECLIPSES!$G$3:$J$9, 3, FALSE)</f>
        <v>0</v>
      </c>
      <c r="AHD61" s="6">
        <f>VLOOKUP(AHD$18, ECLIPSES!$G$3:$J$9, 3, FALSE)</f>
        <v>0</v>
      </c>
      <c r="AHE61" s="6">
        <f>VLOOKUP(AHE$18, ECLIPSES!$G$3:$J$9, 3, FALSE)</f>
        <v>0</v>
      </c>
      <c r="AHF61" s="6">
        <f>VLOOKUP(AHF$18, ECLIPSES!$G$3:$J$9, 3, FALSE)</f>
        <v>-23.28</v>
      </c>
      <c r="AHG61" s="6">
        <f>VLOOKUP(AHG$18, ECLIPSES!$G$3:$J$9, 3, FALSE)</f>
        <v>-23.28</v>
      </c>
      <c r="AHH61" s="6">
        <f>VLOOKUP(AHH$18, ECLIPSES!$G$3:$J$9, 3, FALSE)</f>
        <v>-23.28</v>
      </c>
      <c r="AHI61" s="6">
        <f>VLOOKUP(AHI$18, ECLIPSES!$G$3:$J$9, 3, FALSE)</f>
        <v>-23.28</v>
      </c>
      <c r="AHJ61" s="6">
        <f>VLOOKUP(AHJ$18, ECLIPSES!$G$3:$J$9, 3, FALSE)</f>
        <v>-23.28</v>
      </c>
      <c r="AHK61" s="6">
        <f>VLOOKUP(AHK$18, ECLIPSES!$G$3:$J$9, 3, FALSE)</f>
        <v>-23.28</v>
      </c>
      <c r="AHL61" s="6">
        <f>VLOOKUP(AHL$18, ECLIPSES!$G$3:$J$9, 3, FALSE)</f>
        <v>-23.28</v>
      </c>
      <c r="AHM61" s="6">
        <f>VLOOKUP(AHM$18, ECLIPSES!$G$3:$J$9, 3, FALSE)</f>
        <v>-23.28</v>
      </c>
      <c r="AHN61" s="6">
        <f>VLOOKUP(AHN$18, ECLIPSES!$G$3:$J$9, 3, FALSE)</f>
        <v>-23.28</v>
      </c>
      <c r="AHO61" s="6">
        <f>VLOOKUP(AHO$18, ECLIPSES!$G$3:$J$9, 3, FALSE)</f>
        <v>-23.28</v>
      </c>
      <c r="AHP61" s="6">
        <f>VLOOKUP(AHP$18, ECLIPSES!$G$3:$J$9, 3, FALSE)</f>
        <v>-23.28</v>
      </c>
      <c r="AHQ61" s="6">
        <f>VLOOKUP(AHQ$18, ECLIPSES!$G$3:$J$9, 3, FALSE)</f>
        <v>-23.28</v>
      </c>
      <c r="AHR61" s="6">
        <f>VLOOKUP(AHR$18, ECLIPSES!$G$3:$J$9, 3, FALSE)</f>
        <v>-23.28</v>
      </c>
      <c r="AHS61" s="6">
        <f>VLOOKUP(AHS$18, ECLIPSES!$G$3:$J$9, 3, FALSE)</f>
        <v>-23.28</v>
      </c>
      <c r="AHT61" s="6">
        <f>VLOOKUP(AHT$18, ECLIPSES!$G$3:$J$9, 3, FALSE)</f>
        <v>-23.28</v>
      </c>
      <c r="AHU61" s="6">
        <f>VLOOKUP(AHU$18, ECLIPSES!$G$3:$J$9, 3, FALSE)</f>
        <v>-23.28</v>
      </c>
      <c r="AHV61" s="6">
        <f>VLOOKUP(AHV$18, ECLIPSES!$G$3:$J$9, 3, FALSE)</f>
        <v>-23.28</v>
      </c>
      <c r="AHW61" s="6">
        <f>VLOOKUP(AHW$18, ECLIPSES!$G$3:$J$9, 3, FALSE)</f>
        <v>-23.28</v>
      </c>
      <c r="AHX61" s="6">
        <f>VLOOKUP(AHX$18, ECLIPSES!$G$3:$J$9, 3, FALSE)</f>
        <v>-23.28</v>
      </c>
      <c r="AHY61" s="6">
        <f>VLOOKUP(AHY$18, ECLIPSES!$G$3:$J$9, 3, FALSE)</f>
        <v>-23.28</v>
      </c>
      <c r="AHZ61" s="6">
        <f>VLOOKUP(AHZ$18, ECLIPSES!$G$3:$J$9, 3, FALSE)</f>
        <v>-23.28</v>
      </c>
      <c r="AIA61" s="6">
        <f>VLOOKUP(AIA$18, ECLIPSES!$G$3:$J$9, 3, FALSE)</f>
        <v>-23.28</v>
      </c>
      <c r="AIB61" s="6">
        <f>VLOOKUP(AIB$18, ECLIPSES!$G$3:$J$9, 3, FALSE)</f>
        <v>-23.28</v>
      </c>
      <c r="AIC61" s="6">
        <f>VLOOKUP(AIC$18, ECLIPSES!$G$3:$J$9, 3, FALSE)</f>
        <v>-23.28</v>
      </c>
      <c r="AID61" s="6">
        <f>VLOOKUP(AID$18, ECLIPSES!$G$3:$J$9, 3, FALSE)</f>
        <v>-23.28</v>
      </c>
      <c r="AIE61" s="6">
        <f>VLOOKUP(AIE$18, ECLIPSES!$G$3:$J$9, 3, FALSE)</f>
        <v>-23.28</v>
      </c>
      <c r="AIF61" s="6">
        <f>VLOOKUP(AIF$18, ECLIPSES!$G$3:$J$9, 3, FALSE)</f>
        <v>-23.28</v>
      </c>
      <c r="AIG61" s="6">
        <f>VLOOKUP(AIG$18, ECLIPSES!$G$3:$J$9, 3, FALSE)</f>
        <v>-23.28</v>
      </c>
      <c r="AIH61" s="6">
        <f>VLOOKUP(AIH$18, ECLIPSES!$G$3:$J$9, 3, FALSE)</f>
        <v>-23.28</v>
      </c>
      <c r="AII61" s="6">
        <f>VLOOKUP(AII$18, ECLIPSES!$G$3:$J$9, 3, FALSE)</f>
        <v>-23.28</v>
      </c>
      <c r="AIJ61" s="6">
        <f>VLOOKUP(AIJ$18, ECLIPSES!$G$3:$J$9, 3, FALSE)</f>
        <v>-23.28</v>
      </c>
      <c r="AIK61" s="6">
        <f>VLOOKUP(AIK$18, ECLIPSES!$G$3:$J$9, 3, FALSE)</f>
        <v>-23.28</v>
      </c>
      <c r="AIL61" s="6">
        <f>VLOOKUP(AIL$18, ECLIPSES!$G$3:$J$9, 3, FALSE)</f>
        <v>-23.28</v>
      </c>
      <c r="AIM61" s="6">
        <f>VLOOKUP(AIM$18, ECLIPSES!$G$3:$J$9, 3, FALSE)</f>
        <v>-23.28</v>
      </c>
      <c r="AIN61" s="6">
        <f>VLOOKUP(AIN$18, ECLIPSES!$G$3:$J$9, 3, FALSE)</f>
        <v>-23.28</v>
      </c>
      <c r="AIO61" s="6">
        <f>VLOOKUP(AIO$18, ECLIPSES!$G$3:$J$9, 3, FALSE)</f>
        <v>-23.28</v>
      </c>
      <c r="AIP61" s="6">
        <f>VLOOKUP(AIP$18, ECLIPSES!$G$3:$J$9, 3, FALSE)</f>
        <v>-23.28</v>
      </c>
      <c r="AIQ61" s="6">
        <f>VLOOKUP(AIQ$18, ECLIPSES!$G$3:$J$9, 3, FALSE)</f>
        <v>-23.28</v>
      </c>
      <c r="AIR61" s="6">
        <f>VLOOKUP(AIR$18, ECLIPSES!$G$3:$J$9, 3, FALSE)</f>
        <v>-23.28</v>
      </c>
      <c r="AIS61" s="6">
        <f>VLOOKUP(AIS$18, ECLIPSES!$G$3:$J$9, 3, FALSE)</f>
        <v>-23.28</v>
      </c>
      <c r="AIT61" s="6">
        <f>VLOOKUP(AIT$18, ECLIPSES!$G$3:$J$9, 3, FALSE)</f>
        <v>-23.28</v>
      </c>
      <c r="AIU61" s="6">
        <f>VLOOKUP(AIU$18, ECLIPSES!$G$3:$J$9, 3, FALSE)</f>
        <v>-23.28</v>
      </c>
      <c r="AIV61" s="6">
        <f>VLOOKUP(AIV$18, ECLIPSES!$G$3:$J$9, 3, FALSE)</f>
        <v>-23.28</v>
      </c>
      <c r="AIW61" s="6">
        <f>VLOOKUP(AIW$18, ECLIPSES!$G$3:$J$9, 3, FALSE)</f>
        <v>-23.28</v>
      </c>
      <c r="AIX61" s="6">
        <f>VLOOKUP(AIX$18, ECLIPSES!$G$3:$J$9, 3, FALSE)</f>
        <v>-23.28</v>
      </c>
      <c r="AIY61" s="6">
        <f>VLOOKUP(AIY$18, ECLIPSES!$G$3:$J$9, 3, FALSE)</f>
        <v>-23.28</v>
      </c>
      <c r="AIZ61" s="6">
        <f>VLOOKUP(AIZ$18, ECLIPSES!$G$3:$J$9, 3, FALSE)</f>
        <v>-23.28</v>
      </c>
      <c r="AJA61" s="6">
        <f>VLOOKUP(AJA$18, ECLIPSES!$G$3:$J$9, 3, FALSE)</f>
        <v>-23.28</v>
      </c>
      <c r="AJB61" s="6">
        <f>VLOOKUP(AJB$18, ECLIPSES!$G$3:$J$9, 3, FALSE)</f>
        <v>-23.28</v>
      </c>
      <c r="AJC61" s="6">
        <f>VLOOKUP(AJC$18, ECLIPSES!$G$3:$J$9, 3, FALSE)</f>
        <v>-23.28</v>
      </c>
      <c r="AJD61" s="6">
        <f>VLOOKUP(AJD$18, ECLIPSES!$G$3:$J$9, 3, FALSE)</f>
        <v>-23.28</v>
      </c>
      <c r="AJE61" s="6">
        <f>VLOOKUP(AJE$18, ECLIPSES!$G$3:$J$9, 3, FALSE)</f>
        <v>-23.28</v>
      </c>
      <c r="AJF61" s="6">
        <f>VLOOKUP(AJF$18, ECLIPSES!$G$3:$J$9, 3, FALSE)</f>
        <v>-23.28</v>
      </c>
      <c r="AJG61" s="6">
        <f>VLOOKUP(AJG$18, ECLIPSES!$G$3:$J$9, 3, FALSE)</f>
        <v>-23.28</v>
      </c>
      <c r="AJH61" s="6">
        <f>VLOOKUP(AJH$18, ECLIPSES!$G$3:$J$9, 3, FALSE)</f>
        <v>-23.28</v>
      </c>
      <c r="AJI61" s="6">
        <f>VLOOKUP(AJI$18, ECLIPSES!$G$3:$J$9, 3, FALSE)</f>
        <v>-23.28</v>
      </c>
      <c r="AJJ61" s="6">
        <f>VLOOKUP(AJJ$18, ECLIPSES!$G$3:$J$9, 3, FALSE)</f>
        <v>-23.28</v>
      </c>
      <c r="AJK61" s="6">
        <f>VLOOKUP(AJK$18, ECLIPSES!$G$3:$J$9, 3, FALSE)</f>
        <v>-23.28</v>
      </c>
      <c r="AJL61" s="6">
        <f>VLOOKUP(AJL$18, ECLIPSES!$G$3:$J$9, 3, FALSE)</f>
        <v>-23.28</v>
      </c>
      <c r="AJM61" s="6">
        <f>VLOOKUP(AJM$18, ECLIPSES!$G$3:$J$9, 3, FALSE)</f>
        <v>-23.28</v>
      </c>
      <c r="AJN61" s="6">
        <f>VLOOKUP(AJN$18, ECLIPSES!$G$3:$J$9, 3, FALSE)</f>
        <v>-23.28</v>
      </c>
      <c r="AJO61" s="6">
        <f>VLOOKUP(AJO$18, ECLIPSES!$G$3:$J$9, 3, FALSE)</f>
        <v>-23.28</v>
      </c>
      <c r="AJP61" s="6">
        <f>VLOOKUP(AJP$18, ECLIPSES!$G$3:$J$9, 3, FALSE)</f>
        <v>-23.28</v>
      </c>
      <c r="AJQ61" s="6">
        <f>VLOOKUP(AJQ$18, ECLIPSES!$G$3:$J$9, 3, FALSE)</f>
        <v>-23.28</v>
      </c>
      <c r="AJR61" s="6">
        <f>VLOOKUP(AJR$18, ECLIPSES!$G$3:$J$9, 3, FALSE)</f>
        <v>-23.28</v>
      </c>
      <c r="AJS61" s="6">
        <f>VLOOKUP(AJS$18, ECLIPSES!$G$3:$J$9, 3, FALSE)</f>
        <v>-23.28</v>
      </c>
      <c r="AJT61" s="6">
        <f>VLOOKUP(AJT$18, ECLIPSES!$G$3:$J$9, 3, FALSE)</f>
        <v>-23.28</v>
      </c>
      <c r="AJU61" s="6">
        <f>VLOOKUP(AJU$18, ECLIPSES!$G$3:$J$9, 3, FALSE)</f>
        <v>-23.28</v>
      </c>
      <c r="AJV61" s="6">
        <f>VLOOKUP(AJV$18, ECLIPSES!$G$3:$J$9, 3, FALSE)</f>
        <v>0</v>
      </c>
      <c r="AJW61" s="6">
        <f>VLOOKUP(AJW$18, ECLIPSES!$G$3:$J$9, 3, FALSE)</f>
        <v>0</v>
      </c>
      <c r="AJX61" s="6">
        <f>VLOOKUP(AJX$18, ECLIPSES!$G$3:$J$9, 3, FALSE)</f>
        <v>0</v>
      </c>
      <c r="AJY61" s="6">
        <f>VLOOKUP(AJY$18, ECLIPSES!$G$3:$J$9, 3, FALSE)</f>
        <v>0</v>
      </c>
      <c r="AJZ61" s="6">
        <f>VLOOKUP(AJZ$18, ECLIPSES!$G$3:$J$9, 3, FALSE)</f>
        <v>-23.28</v>
      </c>
      <c r="AKA61" s="6">
        <f>VLOOKUP(AKA$18, ECLIPSES!$G$3:$J$9, 3, FALSE)</f>
        <v>-23.28</v>
      </c>
      <c r="AKB61" s="6">
        <f>VLOOKUP(AKB$18, ECLIPSES!$G$3:$J$9, 3, FALSE)</f>
        <v>-23.28</v>
      </c>
      <c r="AKC61" s="6">
        <f>VLOOKUP(AKC$18, ECLIPSES!$G$3:$J$9, 3, FALSE)</f>
        <v>-23.28</v>
      </c>
      <c r="AKD61" s="6">
        <f>VLOOKUP(AKD$18, ECLIPSES!$G$3:$J$9, 3, FALSE)</f>
        <v>-23.28</v>
      </c>
      <c r="AKE61" s="6">
        <f>VLOOKUP(AKE$18, ECLIPSES!$G$3:$J$9, 3, FALSE)</f>
        <v>-23.28</v>
      </c>
      <c r="AKF61" s="6">
        <f>VLOOKUP(AKF$18, ECLIPSES!$G$3:$J$9, 3, FALSE)</f>
        <v>-23.28</v>
      </c>
      <c r="AKG61" s="6">
        <f>VLOOKUP(AKG$18, ECLIPSES!$G$3:$J$9, 3, FALSE)</f>
        <v>-23.28</v>
      </c>
      <c r="AKH61" s="6">
        <f>VLOOKUP(AKH$18, ECLIPSES!$G$3:$J$9, 3, FALSE)</f>
        <v>-23.28</v>
      </c>
      <c r="AKI61" s="6">
        <f>VLOOKUP(AKI$18, ECLIPSES!$G$3:$J$9, 3, FALSE)</f>
        <v>-23.28</v>
      </c>
      <c r="AKJ61" s="6">
        <f>VLOOKUP(AKJ$18, ECLIPSES!$G$3:$J$9, 3, FALSE)</f>
        <v>-23.28</v>
      </c>
      <c r="AKK61" s="6">
        <f>VLOOKUP(AKK$18, ECLIPSES!$G$3:$J$9, 3, FALSE)</f>
        <v>-23.28</v>
      </c>
      <c r="AKL61" s="6">
        <f>VLOOKUP(AKL$18, ECLIPSES!$G$3:$J$9, 3, FALSE)</f>
        <v>-23.28</v>
      </c>
      <c r="AKM61" s="6">
        <f>VLOOKUP(AKM$18, ECLIPSES!$G$3:$J$9, 3, FALSE)</f>
        <v>-23.28</v>
      </c>
      <c r="AKN61" s="6">
        <f>VLOOKUP(AKN$18, ECLIPSES!$G$3:$J$9, 3, FALSE)</f>
        <v>-23.28</v>
      </c>
      <c r="AKO61" s="6">
        <f>VLOOKUP(AKO$18, ECLIPSES!$G$3:$J$9, 3, FALSE)</f>
        <v>-23.28</v>
      </c>
      <c r="AKP61" s="6">
        <f>VLOOKUP(AKP$18, ECLIPSES!$G$3:$J$9, 3, FALSE)</f>
        <v>-23.28</v>
      </c>
      <c r="AKQ61" s="6">
        <f>VLOOKUP(AKQ$18, ECLIPSES!$G$3:$J$9, 3, FALSE)</f>
        <v>-23.28</v>
      </c>
      <c r="AKR61" s="6">
        <f>VLOOKUP(AKR$18, ECLIPSES!$G$3:$J$9, 3, FALSE)</f>
        <v>-23.28</v>
      </c>
      <c r="AKS61" s="6">
        <f>VLOOKUP(AKS$18, ECLIPSES!$G$3:$J$9, 3, FALSE)</f>
        <v>-23.28</v>
      </c>
      <c r="AKT61" s="6">
        <f>VLOOKUP(AKT$18, ECLIPSES!$G$3:$J$9, 3, FALSE)</f>
        <v>-23.28</v>
      </c>
      <c r="AKU61" s="6">
        <f>VLOOKUP(AKU$18, ECLIPSES!$G$3:$J$9, 3, FALSE)</f>
        <v>-23.28</v>
      </c>
      <c r="AKV61" s="6">
        <f>VLOOKUP(AKV$18, ECLIPSES!$G$3:$J$9, 3, FALSE)</f>
        <v>-23.28</v>
      </c>
      <c r="AKW61" s="6">
        <f>VLOOKUP(AKW$18, ECLIPSES!$G$3:$J$9, 3, FALSE)</f>
        <v>-23.28</v>
      </c>
      <c r="AKX61" s="6">
        <f>VLOOKUP(AKX$18, ECLIPSES!$G$3:$J$9, 3, FALSE)</f>
        <v>-23.28</v>
      </c>
      <c r="AKY61" s="6">
        <f>VLOOKUP(AKY$18, ECLIPSES!$G$3:$J$9, 3, FALSE)</f>
        <v>-23.28</v>
      </c>
      <c r="AKZ61" s="6">
        <f>VLOOKUP(AKZ$18, ECLIPSES!$G$3:$J$9, 3, FALSE)</f>
        <v>-23.28</v>
      </c>
      <c r="ALA61" s="6">
        <f>VLOOKUP(ALA$18, ECLIPSES!$G$3:$J$9, 3, FALSE)</f>
        <v>-23.28</v>
      </c>
      <c r="ALB61" s="6">
        <f>VLOOKUP(ALB$18, ECLIPSES!$G$3:$J$9, 3, FALSE)</f>
        <v>-23.28</v>
      </c>
      <c r="ALC61" s="6">
        <f>VLOOKUP(ALC$18, ECLIPSES!$G$3:$J$9, 3, FALSE)</f>
        <v>-23.28</v>
      </c>
      <c r="ALD61" s="6">
        <f>VLOOKUP(ALD$18, ECLIPSES!$G$3:$J$9, 3, FALSE)</f>
        <v>-23.28</v>
      </c>
      <c r="ALE61" s="6">
        <f>VLOOKUP(ALE$18, ECLIPSES!$G$3:$J$9, 3, FALSE)</f>
        <v>-23.28</v>
      </c>
      <c r="ALF61" s="6">
        <f>VLOOKUP(ALF$18, ECLIPSES!$G$3:$J$9, 3, FALSE)</f>
        <v>-23.28</v>
      </c>
      <c r="ALG61" s="6">
        <f>VLOOKUP(ALG$18, ECLIPSES!$G$3:$J$9, 3, FALSE)</f>
        <v>-23.28</v>
      </c>
      <c r="ALH61" s="6">
        <f>VLOOKUP(ALH$18, ECLIPSES!$G$3:$J$9, 3, FALSE)</f>
        <v>-23.28</v>
      </c>
      <c r="ALI61" s="6">
        <f>VLOOKUP(ALI$18, ECLIPSES!$G$3:$J$9, 3, FALSE)</f>
        <v>-23.28</v>
      </c>
      <c r="ALJ61" s="6">
        <f>VLOOKUP(ALJ$18, ECLIPSES!$G$3:$J$9, 3, FALSE)</f>
        <v>-23.28</v>
      </c>
      <c r="ALK61" s="6">
        <f>VLOOKUP(ALK$18, ECLIPSES!$G$3:$J$9, 3, FALSE)</f>
        <v>-23.28</v>
      </c>
      <c r="ALL61" s="6">
        <f>VLOOKUP(ALL$18, ECLIPSES!$G$3:$J$9, 3, FALSE)</f>
        <v>-23.28</v>
      </c>
      <c r="ALM61" s="6">
        <f>VLOOKUP(ALM$18, ECLIPSES!$G$3:$J$9, 3, FALSE)</f>
        <v>-23.28</v>
      </c>
      <c r="ALN61" s="6">
        <f>VLOOKUP(ALN$18, ECLIPSES!$G$3:$J$9, 3, FALSE)</f>
        <v>-23.28</v>
      </c>
      <c r="ALO61" s="6">
        <f>VLOOKUP(ALO$18, ECLIPSES!$G$3:$J$9, 3, FALSE)</f>
        <v>-23.28</v>
      </c>
      <c r="ALP61" s="6">
        <f>VLOOKUP(ALP$18, ECLIPSES!$G$3:$J$9, 3, FALSE)</f>
        <v>-23.28</v>
      </c>
      <c r="ALQ61" s="6">
        <f>VLOOKUP(ALQ$18, ECLIPSES!$G$3:$J$9, 3, FALSE)</f>
        <v>-23.28</v>
      </c>
      <c r="ALR61" s="6">
        <f>VLOOKUP(ALR$18, ECLIPSES!$G$3:$J$9, 3, FALSE)</f>
        <v>-23.28</v>
      </c>
      <c r="ALS61" s="6">
        <f>VLOOKUP(ALS$18, ECLIPSES!$G$3:$J$9, 3, FALSE)</f>
        <v>-23.28</v>
      </c>
      <c r="ALT61" s="6">
        <f>VLOOKUP(ALT$18, ECLIPSES!$G$3:$J$9, 3, FALSE)</f>
        <v>-23.28</v>
      </c>
      <c r="ALU61" s="6">
        <f>VLOOKUP(ALU$18, ECLIPSES!$G$3:$J$9, 3, FALSE)</f>
        <v>-23.28</v>
      </c>
      <c r="ALV61" s="6">
        <f>VLOOKUP(ALV$18, ECLIPSES!$G$3:$J$9, 3, FALSE)</f>
        <v>-23.28</v>
      </c>
      <c r="ALW61" s="6">
        <f>VLOOKUP(ALW$18, ECLIPSES!$G$3:$J$9, 3, FALSE)</f>
        <v>-23.28</v>
      </c>
    </row>
    <row r="62" spans="2:1011" x14ac:dyDescent="0.25">
      <c r="B62" s="9" t="s">
        <v>64</v>
      </c>
      <c r="C62" s="5"/>
      <c r="D62" s="6">
        <f t="shared" ref="D62:BO62" si="1294">SUM(D63:D66)</f>
        <v>1.5999999999999999E-5</v>
      </c>
      <c r="E62" s="6">
        <f t="shared" si="1294"/>
        <v>1.5999999999999999E-5</v>
      </c>
      <c r="F62" s="6">
        <f t="shared" si="1294"/>
        <v>1.5999999999999999E-5</v>
      </c>
      <c r="G62" s="6">
        <f t="shared" si="1294"/>
        <v>1.5999999999999999E-5</v>
      </c>
      <c r="H62" s="6">
        <f t="shared" si="1294"/>
        <v>1.5999999999999999E-5</v>
      </c>
      <c r="I62" s="6">
        <f t="shared" si="1294"/>
        <v>1.5999999999999999E-5</v>
      </c>
      <c r="J62" s="6">
        <f t="shared" si="1294"/>
        <v>1.5999999999999999E-5</v>
      </c>
      <c r="K62" s="6">
        <f t="shared" si="1294"/>
        <v>1.5999999999999999E-5</v>
      </c>
      <c r="L62" s="6">
        <f t="shared" si="1294"/>
        <v>1.5999999999999999E-5</v>
      </c>
      <c r="M62" s="6">
        <f t="shared" si="1294"/>
        <v>1.5999999999999999E-5</v>
      </c>
      <c r="N62" s="6">
        <f t="shared" si="1294"/>
        <v>1.5999999999999999E-5</v>
      </c>
      <c r="O62" s="6">
        <f t="shared" si="1294"/>
        <v>1.5999999999999999E-5</v>
      </c>
      <c r="P62" s="6">
        <f t="shared" si="1294"/>
        <v>1.5999999999999999E-5</v>
      </c>
      <c r="Q62" s="6">
        <f t="shared" si="1294"/>
        <v>1.5999999999999999E-5</v>
      </c>
      <c r="R62" s="6">
        <f t="shared" si="1294"/>
        <v>1.5999999999999999E-5</v>
      </c>
      <c r="S62" s="6">
        <f t="shared" si="1294"/>
        <v>1.5999999999999999E-5</v>
      </c>
      <c r="T62" s="6">
        <f t="shared" si="1294"/>
        <v>1.5999999999999999E-5</v>
      </c>
      <c r="U62" s="6">
        <f t="shared" si="1294"/>
        <v>1.5999999999999999E-5</v>
      </c>
      <c r="V62" s="6">
        <f t="shared" si="1294"/>
        <v>1.5999999999999999E-5</v>
      </c>
      <c r="W62" s="6">
        <f t="shared" si="1294"/>
        <v>1.5999999999999999E-5</v>
      </c>
      <c r="X62" s="6">
        <f t="shared" si="1294"/>
        <v>1.5999999999999999E-5</v>
      </c>
      <c r="Y62" s="6">
        <f t="shared" si="1294"/>
        <v>1.5999999999999999E-5</v>
      </c>
      <c r="Z62" s="6">
        <f t="shared" si="1294"/>
        <v>1.5999999999999999E-5</v>
      </c>
      <c r="AA62" s="6">
        <f t="shared" si="1294"/>
        <v>1.5999999999999999E-5</v>
      </c>
      <c r="AB62" s="6">
        <f t="shared" si="1294"/>
        <v>1.5999999999999999E-5</v>
      </c>
      <c r="AC62" s="6">
        <f t="shared" si="1294"/>
        <v>9.6000000000000002E-2</v>
      </c>
      <c r="AD62" s="6">
        <f t="shared" si="1294"/>
        <v>9.6000000000000002E-2</v>
      </c>
      <c r="AE62" s="6">
        <f t="shared" si="1294"/>
        <v>9.6000000000000002E-2</v>
      </c>
      <c r="AF62" s="6">
        <f t="shared" si="1294"/>
        <v>9.6000000000000002E-2</v>
      </c>
      <c r="AG62" s="6">
        <f t="shared" si="1294"/>
        <v>9.6000000000000002E-2</v>
      </c>
      <c r="AH62" s="6">
        <f t="shared" si="1294"/>
        <v>9.6000000000000002E-2</v>
      </c>
      <c r="AI62" s="6">
        <f t="shared" si="1294"/>
        <v>9.6000000000000002E-2</v>
      </c>
      <c r="AJ62" s="6">
        <f t="shared" si="1294"/>
        <v>9.6000000000000002E-2</v>
      </c>
      <c r="AK62" s="6">
        <f t="shared" si="1294"/>
        <v>9.6000000000000002E-2</v>
      </c>
      <c r="AL62" s="6">
        <f t="shared" si="1294"/>
        <v>9.6000000000000002E-2</v>
      </c>
      <c r="AM62" s="6">
        <f t="shared" si="1294"/>
        <v>9.6000000000000002E-2</v>
      </c>
      <c r="AN62" s="6">
        <f t="shared" si="1294"/>
        <v>9.6000000000000002E-2</v>
      </c>
      <c r="AO62" s="6">
        <f t="shared" si="1294"/>
        <v>9.6000000000000002E-2</v>
      </c>
      <c r="AP62" s="6">
        <f t="shared" si="1294"/>
        <v>9.6000000000000002E-2</v>
      </c>
      <c r="AQ62" s="6">
        <f t="shared" si="1294"/>
        <v>9.6000000000000002E-2</v>
      </c>
      <c r="AR62" s="6">
        <f t="shared" si="1294"/>
        <v>1.5999999999999999E-5</v>
      </c>
      <c r="AS62" s="6">
        <f t="shared" si="1294"/>
        <v>1.5999999999999999E-5</v>
      </c>
      <c r="AT62" s="6">
        <f t="shared" si="1294"/>
        <v>1.5999999999999999E-5</v>
      </c>
      <c r="AU62" s="6">
        <f t="shared" si="1294"/>
        <v>1.5999999999999999E-5</v>
      </c>
      <c r="AV62" s="6">
        <f t="shared" si="1294"/>
        <v>1.5999999999999999E-5</v>
      </c>
      <c r="AW62" s="6">
        <f t="shared" si="1294"/>
        <v>1.5999999999999999E-5</v>
      </c>
      <c r="AX62" s="6">
        <f t="shared" si="1294"/>
        <v>1.5999999999999999E-5</v>
      </c>
      <c r="AY62" s="6">
        <f t="shared" si="1294"/>
        <v>1.5999999999999999E-5</v>
      </c>
      <c r="AZ62" s="6">
        <f t="shared" si="1294"/>
        <v>1.5999999999999999E-5</v>
      </c>
      <c r="BA62" s="6">
        <f t="shared" si="1294"/>
        <v>1.5999999999999999E-5</v>
      </c>
      <c r="BB62" s="6">
        <f t="shared" si="1294"/>
        <v>1.5999999999999999E-5</v>
      </c>
      <c r="BC62" s="6">
        <f t="shared" si="1294"/>
        <v>1.5999999999999999E-5</v>
      </c>
      <c r="BD62" s="6">
        <f t="shared" si="1294"/>
        <v>1.5999999999999999E-5</v>
      </c>
      <c r="BE62" s="6">
        <f t="shared" si="1294"/>
        <v>1.5999999999999999E-5</v>
      </c>
      <c r="BF62" s="6">
        <f t="shared" si="1294"/>
        <v>1.5999999999999999E-5</v>
      </c>
      <c r="BG62" s="6">
        <f t="shared" si="1294"/>
        <v>1.5999999999999999E-5</v>
      </c>
      <c r="BH62" s="6">
        <f t="shared" si="1294"/>
        <v>1.5999999999999999E-5</v>
      </c>
      <c r="BI62" s="6">
        <f t="shared" si="1294"/>
        <v>9.6000000000000002E-2</v>
      </c>
      <c r="BJ62" s="6">
        <f t="shared" si="1294"/>
        <v>9.6000000000000002E-2</v>
      </c>
      <c r="BK62" s="6">
        <f t="shared" si="1294"/>
        <v>9.6000000000000002E-2</v>
      </c>
      <c r="BL62" s="6">
        <f t="shared" si="1294"/>
        <v>9.6000000000000002E-2</v>
      </c>
      <c r="BM62" s="6">
        <f t="shared" si="1294"/>
        <v>9.6000000000000002E-2</v>
      </c>
      <c r="BN62" s="6">
        <f t="shared" si="1294"/>
        <v>9.6000000000000002E-2</v>
      </c>
      <c r="BO62" s="6">
        <f t="shared" si="1294"/>
        <v>9.6000000000000002E-2</v>
      </c>
      <c r="BP62" s="6">
        <f t="shared" ref="BP62:EA62" si="1295">SUM(BP63:BP66)</f>
        <v>9.6000000000000002E-2</v>
      </c>
      <c r="BQ62" s="6">
        <f t="shared" si="1295"/>
        <v>9.6000000000000002E-2</v>
      </c>
      <c r="BR62" s="6">
        <f t="shared" si="1295"/>
        <v>9.6000000000000002E-2</v>
      </c>
      <c r="BS62" s="6">
        <f t="shared" si="1295"/>
        <v>9.6000000000000002E-2</v>
      </c>
      <c r="BT62" s="6">
        <f t="shared" si="1295"/>
        <v>9.6000000000000002E-2</v>
      </c>
      <c r="BU62" s="6">
        <f t="shared" si="1295"/>
        <v>9.6000000000000002E-2</v>
      </c>
      <c r="BV62" s="6">
        <f t="shared" si="1295"/>
        <v>9.6000000000000002E-2</v>
      </c>
      <c r="BW62" s="6">
        <f t="shared" si="1295"/>
        <v>9.6000000000000002E-2</v>
      </c>
      <c r="BX62" s="6">
        <f t="shared" si="1295"/>
        <v>1.5999999999999999E-5</v>
      </c>
      <c r="BY62" s="6">
        <f t="shared" si="1295"/>
        <v>1.5999999999999999E-5</v>
      </c>
      <c r="BZ62" s="6">
        <f t="shared" si="1295"/>
        <v>1.5999999999999999E-5</v>
      </c>
      <c r="CA62" s="6">
        <f t="shared" si="1295"/>
        <v>1.5999999999999999E-5</v>
      </c>
      <c r="CB62" s="6">
        <f t="shared" si="1295"/>
        <v>1.5999999999999999E-5</v>
      </c>
      <c r="CC62" s="6">
        <f t="shared" si="1295"/>
        <v>1.5999999999999999E-5</v>
      </c>
      <c r="CD62" s="6">
        <f t="shared" si="1295"/>
        <v>1.5999999999999999E-5</v>
      </c>
      <c r="CE62" s="6">
        <f t="shared" si="1295"/>
        <v>1.5999999999999999E-5</v>
      </c>
      <c r="CF62" s="6">
        <f t="shared" si="1295"/>
        <v>1.5999999999999999E-5</v>
      </c>
      <c r="CG62" s="6">
        <f t="shared" si="1295"/>
        <v>1.5999999999999999E-5</v>
      </c>
      <c r="CH62" s="6">
        <f t="shared" si="1295"/>
        <v>1.5999999999999999E-5</v>
      </c>
      <c r="CI62" s="6">
        <f t="shared" si="1295"/>
        <v>1.5999999999999999E-5</v>
      </c>
      <c r="CJ62" s="6">
        <f t="shared" si="1295"/>
        <v>1.5999999999999999E-5</v>
      </c>
      <c r="CK62" s="6">
        <f t="shared" si="1295"/>
        <v>1.5999999999999999E-5</v>
      </c>
      <c r="CL62" s="6">
        <f t="shared" si="1295"/>
        <v>1.5999999999999999E-5</v>
      </c>
      <c r="CM62" s="6">
        <f t="shared" si="1295"/>
        <v>1.5999999999999999E-5</v>
      </c>
      <c r="CN62" s="6">
        <f t="shared" si="1295"/>
        <v>1.5999999999999999E-5</v>
      </c>
      <c r="CO62" s="6">
        <f t="shared" si="1295"/>
        <v>1.5999999999999999E-5</v>
      </c>
      <c r="CP62" s="6">
        <f t="shared" si="1295"/>
        <v>1.5999999999999999E-5</v>
      </c>
      <c r="CQ62" s="6">
        <f t="shared" si="1295"/>
        <v>1.5999999999999999E-5</v>
      </c>
      <c r="CR62" s="6">
        <f t="shared" si="1295"/>
        <v>1.5999999999999999E-5</v>
      </c>
      <c r="CS62" s="6">
        <f t="shared" si="1295"/>
        <v>1.5999999999999999E-5</v>
      </c>
      <c r="CT62" s="6">
        <f t="shared" si="1295"/>
        <v>1.5999999999999999E-5</v>
      </c>
      <c r="CU62" s="6">
        <f t="shared" si="1295"/>
        <v>1.5999999999999999E-5</v>
      </c>
      <c r="CV62" s="6">
        <f t="shared" si="1295"/>
        <v>1.5999999999999999E-5</v>
      </c>
      <c r="CW62" s="6">
        <f t="shared" si="1295"/>
        <v>9.6000000000000002E-2</v>
      </c>
      <c r="CX62" s="6">
        <f t="shared" si="1295"/>
        <v>9.6000000000000002E-2</v>
      </c>
      <c r="CY62" s="6">
        <f t="shared" si="1295"/>
        <v>9.6000000000000002E-2</v>
      </c>
      <c r="CZ62" s="6">
        <f t="shared" si="1295"/>
        <v>9.6000000000000002E-2</v>
      </c>
      <c r="DA62" s="6">
        <f t="shared" si="1295"/>
        <v>9.6000000000000002E-2</v>
      </c>
      <c r="DB62" s="6">
        <f t="shared" si="1295"/>
        <v>9.6000000000000002E-2</v>
      </c>
      <c r="DC62" s="6">
        <f t="shared" si="1295"/>
        <v>9.6000000000000002E-2</v>
      </c>
      <c r="DD62" s="6">
        <f t="shared" si="1295"/>
        <v>9.6000000000000002E-2</v>
      </c>
      <c r="DE62" s="6">
        <f t="shared" si="1295"/>
        <v>9.6000000000000002E-2</v>
      </c>
      <c r="DF62" s="6">
        <f t="shared" si="1295"/>
        <v>9.6000000000000002E-2</v>
      </c>
      <c r="DG62" s="6">
        <f t="shared" si="1295"/>
        <v>9.6000000000000002E-2</v>
      </c>
      <c r="DH62" s="6">
        <f t="shared" si="1295"/>
        <v>9.6000000000000002E-2</v>
      </c>
      <c r="DI62" s="6">
        <f t="shared" si="1295"/>
        <v>9.6000000000000002E-2</v>
      </c>
      <c r="DJ62" s="6">
        <f t="shared" si="1295"/>
        <v>9.6000000000000002E-2</v>
      </c>
      <c r="DK62" s="6">
        <f t="shared" si="1295"/>
        <v>9.6000000000000002E-2</v>
      </c>
      <c r="DL62" s="6">
        <f t="shared" si="1295"/>
        <v>1.5999999999999999E-5</v>
      </c>
      <c r="DM62" s="6">
        <f t="shared" si="1295"/>
        <v>1.5999999999999999E-5</v>
      </c>
      <c r="DN62" s="6">
        <f t="shared" si="1295"/>
        <v>1.5999999999999999E-5</v>
      </c>
      <c r="DO62" s="6">
        <f t="shared" si="1295"/>
        <v>1.5999999999999999E-5</v>
      </c>
      <c r="DP62" s="6">
        <f t="shared" si="1295"/>
        <v>0</v>
      </c>
      <c r="DQ62" s="6">
        <f t="shared" si="1295"/>
        <v>0</v>
      </c>
      <c r="DR62" s="6">
        <f t="shared" si="1295"/>
        <v>0</v>
      </c>
      <c r="DS62" s="6">
        <f t="shared" si="1295"/>
        <v>0</v>
      </c>
      <c r="DT62" s="6">
        <f t="shared" si="1295"/>
        <v>0</v>
      </c>
      <c r="DU62" s="6">
        <f t="shared" si="1295"/>
        <v>0</v>
      </c>
      <c r="DV62" s="6">
        <f t="shared" si="1295"/>
        <v>0</v>
      </c>
      <c r="DW62" s="6">
        <f t="shared" si="1295"/>
        <v>0</v>
      </c>
      <c r="DX62" s="6">
        <f t="shared" si="1295"/>
        <v>0</v>
      </c>
      <c r="DY62" s="6">
        <f t="shared" si="1295"/>
        <v>0</v>
      </c>
      <c r="DZ62" s="6">
        <f t="shared" si="1295"/>
        <v>0</v>
      </c>
      <c r="EA62" s="6">
        <f t="shared" si="1295"/>
        <v>0</v>
      </c>
      <c r="EB62" s="6">
        <f t="shared" ref="EB62:GM62" si="1296">SUM(EB63:EB66)</f>
        <v>0</v>
      </c>
      <c r="EC62" s="6">
        <f t="shared" si="1296"/>
        <v>0</v>
      </c>
      <c r="ED62" s="6">
        <f t="shared" si="1296"/>
        <v>0</v>
      </c>
      <c r="EE62" s="6">
        <f t="shared" si="1296"/>
        <v>0</v>
      </c>
      <c r="EF62" s="6">
        <f t="shared" si="1296"/>
        <v>0</v>
      </c>
      <c r="EG62" s="6">
        <f t="shared" si="1296"/>
        <v>0</v>
      </c>
      <c r="EH62" s="6">
        <f t="shared" si="1296"/>
        <v>0</v>
      </c>
      <c r="EI62" s="6">
        <f t="shared" si="1296"/>
        <v>0</v>
      </c>
      <c r="EJ62" s="6">
        <f t="shared" si="1296"/>
        <v>0</v>
      </c>
      <c r="EK62" s="6">
        <f t="shared" si="1296"/>
        <v>0</v>
      </c>
      <c r="EL62" s="6">
        <f t="shared" si="1296"/>
        <v>0</v>
      </c>
      <c r="EM62" s="6">
        <f t="shared" si="1296"/>
        <v>0</v>
      </c>
      <c r="EN62" s="6">
        <f t="shared" si="1296"/>
        <v>0</v>
      </c>
      <c r="EO62" s="6">
        <f t="shared" si="1296"/>
        <v>0</v>
      </c>
      <c r="EP62" s="6">
        <f t="shared" si="1296"/>
        <v>0</v>
      </c>
      <c r="EQ62" s="6">
        <f t="shared" si="1296"/>
        <v>0</v>
      </c>
      <c r="ER62" s="6">
        <f t="shared" si="1296"/>
        <v>0</v>
      </c>
      <c r="ES62" s="6">
        <f t="shared" si="1296"/>
        <v>0</v>
      </c>
      <c r="ET62" s="6">
        <f t="shared" si="1296"/>
        <v>0</v>
      </c>
      <c r="EU62" s="6">
        <f t="shared" si="1296"/>
        <v>0</v>
      </c>
      <c r="EV62" s="6">
        <f t="shared" si="1296"/>
        <v>0</v>
      </c>
      <c r="EW62" s="6">
        <f t="shared" si="1296"/>
        <v>0</v>
      </c>
      <c r="EX62" s="6">
        <f t="shared" si="1296"/>
        <v>0</v>
      </c>
      <c r="EY62" s="6">
        <f t="shared" si="1296"/>
        <v>0</v>
      </c>
      <c r="EZ62" s="6">
        <f t="shared" si="1296"/>
        <v>0</v>
      </c>
      <c r="FA62" s="6">
        <f t="shared" si="1296"/>
        <v>0</v>
      </c>
      <c r="FB62" s="6">
        <f t="shared" si="1296"/>
        <v>0</v>
      </c>
      <c r="FC62" s="6">
        <f t="shared" si="1296"/>
        <v>0</v>
      </c>
      <c r="FD62" s="6">
        <f t="shared" si="1296"/>
        <v>0</v>
      </c>
      <c r="FE62" s="6">
        <f t="shared" si="1296"/>
        <v>0</v>
      </c>
      <c r="FF62" s="6">
        <f t="shared" si="1296"/>
        <v>0</v>
      </c>
      <c r="FG62" s="6">
        <f t="shared" si="1296"/>
        <v>0</v>
      </c>
      <c r="FH62" s="6">
        <f t="shared" si="1296"/>
        <v>0</v>
      </c>
      <c r="FI62" s="6">
        <f t="shared" si="1296"/>
        <v>0</v>
      </c>
      <c r="FJ62" s="6">
        <f t="shared" si="1296"/>
        <v>0</v>
      </c>
      <c r="FK62" s="6">
        <f t="shared" si="1296"/>
        <v>0</v>
      </c>
      <c r="FL62" s="6">
        <f t="shared" si="1296"/>
        <v>0</v>
      </c>
      <c r="FM62" s="6">
        <f t="shared" si="1296"/>
        <v>0</v>
      </c>
      <c r="FN62" s="6">
        <f t="shared" si="1296"/>
        <v>0</v>
      </c>
      <c r="FO62" s="6">
        <f t="shared" si="1296"/>
        <v>0</v>
      </c>
      <c r="FP62" s="6">
        <f t="shared" si="1296"/>
        <v>0</v>
      </c>
      <c r="FQ62" s="6">
        <f t="shared" si="1296"/>
        <v>0</v>
      </c>
      <c r="FR62" s="6">
        <f t="shared" si="1296"/>
        <v>0</v>
      </c>
      <c r="FS62" s="6">
        <f t="shared" si="1296"/>
        <v>0</v>
      </c>
      <c r="FT62" s="6">
        <f t="shared" si="1296"/>
        <v>0</v>
      </c>
      <c r="FU62" s="6">
        <f t="shared" si="1296"/>
        <v>0</v>
      </c>
      <c r="FV62" s="6">
        <f t="shared" si="1296"/>
        <v>0</v>
      </c>
      <c r="FW62" s="6">
        <f t="shared" si="1296"/>
        <v>0</v>
      </c>
      <c r="FX62" s="6">
        <f t="shared" si="1296"/>
        <v>0</v>
      </c>
      <c r="FY62" s="6">
        <f t="shared" si="1296"/>
        <v>0</v>
      </c>
      <c r="FZ62" s="6">
        <f t="shared" si="1296"/>
        <v>0</v>
      </c>
      <c r="GA62" s="6">
        <f t="shared" si="1296"/>
        <v>0</v>
      </c>
      <c r="GB62" s="6">
        <f t="shared" si="1296"/>
        <v>0</v>
      </c>
      <c r="GC62" s="6">
        <f t="shared" si="1296"/>
        <v>0</v>
      </c>
      <c r="GD62" s="6">
        <f t="shared" si="1296"/>
        <v>0</v>
      </c>
      <c r="GE62" s="6">
        <f t="shared" si="1296"/>
        <v>0</v>
      </c>
      <c r="GF62" s="6">
        <f t="shared" si="1296"/>
        <v>0</v>
      </c>
      <c r="GG62" s="6">
        <f t="shared" si="1296"/>
        <v>0</v>
      </c>
      <c r="GH62" s="6">
        <f t="shared" si="1296"/>
        <v>0</v>
      </c>
      <c r="GI62" s="6">
        <f t="shared" si="1296"/>
        <v>0</v>
      </c>
      <c r="GJ62" s="6">
        <f t="shared" si="1296"/>
        <v>0</v>
      </c>
      <c r="GK62" s="6">
        <f t="shared" si="1296"/>
        <v>0</v>
      </c>
      <c r="GL62" s="6">
        <f t="shared" si="1296"/>
        <v>0</v>
      </c>
      <c r="GM62" s="6">
        <f t="shared" si="1296"/>
        <v>0</v>
      </c>
      <c r="GN62" s="6">
        <f t="shared" ref="GN62:IY62" si="1297">SUM(GN63:GN66)</f>
        <v>0</v>
      </c>
      <c r="GO62" s="6">
        <f t="shared" si="1297"/>
        <v>0</v>
      </c>
      <c r="GP62" s="6">
        <f t="shared" si="1297"/>
        <v>0</v>
      </c>
      <c r="GQ62" s="6">
        <f t="shared" si="1297"/>
        <v>0</v>
      </c>
      <c r="GR62" s="6">
        <f t="shared" si="1297"/>
        <v>0</v>
      </c>
      <c r="GS62" s="6">
        <f t="shared" si="1297"/>
        <v>0</v>
      </c>
      <c r="GT62" s="6">
        <f t="shared" si="1297"/>
        <v>0</v>
      </c>
      <c r="GU62" s="6">
        <f t="shared" si="1297"/>
        <v>0</v>
      </c>
      <c r="GV62" s="6">
        <f t="shared" si="1297"/>
        <v>0</v>
      </c>
      <c r="GW62" s="6">
        <f t="shared" si="1297"/>
        <v>0</v>
      </c>
      <c r="GX62" s="6">
        <f t="shared" si="1297"/>
        <v>0</v>
      </c>
      <c r="GY62" s="6">
        <f t="shared" si="1297"/>
        <v>0</v>
      </c>
      <c r="GZ62" s="6">
        <f t="shared" si="1297"/>
        <v>0</v>
      </c>
      <c r="HA62" s="6">
        <f t="shared" si="1297"/>
        <v>0</v>
      </c>
      <c r="HB62" s="6">
        <f t="shared" si="1297"/>
        <v>0</v>
      </c>
      <c r="HC62" s="6">
        <f t="shared" si="1297"/>
        <v>0</v>
      </c>
      <c r="HD62" s="6">
        <f t="shared" si="1297"/>
        <v>0</v>
      </c>
      <c r="HE62" s="6">
        <f t="shared" si="1297"/>
        <v>0</v>
      </c>
      <c r="HF62" s="6">
        <f t="shared" si="1297"/>
        <v>0</v>
      </c>
      <c r="HG62" s="6">
        <f t="shared" si="1297"/>
        <v>0</v>
      </c>
      <c r="HH62" s="6">
        <f t="shared" si="1297"/>
        <v>0</v>
      </c>
      <c r="HI62" s="6">
        <f t="shared" si="1297"/>
        <v>0</v>
      </c>
      <c r="HJ62" s="6">
        <f t="shared" si="1297"/>
        <v>0</v>
      </c>
      <c r="HK62" s="6">
        <f t="shared" si="1297"/>
        <v>0</v>
      </c>
      <c r="HL62" s="6">
        <f t="shared" si="1297"/>
        <v>0</v>
      </c>
      <c r="HM62" s="6">
        <f t="shared" si="1297"/>
        <v>0</v>
      </c>
      <c r="HN62" s="6">
        <f t="shared" si="1297"/>
        <v>0</v>
      </c>
      <c r="HO62" s="6">
        <f t="shared" si="1297"/>
        <v>0</v>
      </c>
      <c r="HP62" s="6">
        <f t="shared" si="1297"/>
        <v>0</v>
      </c>
      <c r="HQ62" s="6">
        <f t="shared" si="1297"/>
        <v>0</v>
      </c>
      <c r="HR62" s="6">
        <f t="shared" si="1297"/>
        <v>0</v>
      </c>
      <c r="HS62" s="6">
        <f t="shared" si="1297"/>
        <v>0</v>
      </c>
      <c r="HT62" s="6">
        <f t="shared" si="1297"/>
        <v>0</v>
      </c>
      <c r="HU62" s="6">
        <f t="shared" si="1297"/>
        <v>0</v>
      </c>
      <c r="HV62" s="6">
        <f t="shared" si="1297"/>
        <v>0</v>
      </c>
      <c r="HW62" s="6">
        <f t="shared" si="1297"/>
        <v>0</v>
      </c>
      <c r="HX62" s="6">
        <f t="shared" si="1297"/>
        <v>0</v>
      </c>
      <c r="HY62" s="6">
        <f t="shared" si="1297"/>
        <v>0</v>
      </c>
      <c r="HZ62" s="6">
        <f t="shared" si="1297"/>
        <v>0</v>
      </c>
      <c r="IA62" s="6">
        <f t="shared" si="1297"/>
        <v>0</v>
      </c>
      <c r="IB62" s="6">
        <f t="shared" si="1297"/>
        <v>0</v>
      </c>
      <c r="IC62" s="6">
        <f t="shared" si="1297"/>
        <v>0</v>
      </c>
      <c r="ID62" s="6">
        <f t="shared" si="1297"/>
        <v>0</v>
      </c>
      <c r="IE62" s="6">
        <f t="shared" si="1297"/>
        <v>0</v>
      </c>
      <c r="IF62" s="6">
        <f t="shared" si="1297"/>
        <v>0</v>
      </c>
      <c r="IG62" s="6">
        <f t="shared" si="1297"/>
        <v>0</v>
      </c>
      <c r="IH62" s="6">
        <f t="shared" si="1297"/>
        <v>0</v>
      </c>
      <c r="II62" s="6">
        <f t="shared" si="1297"/>
        <v>0</v>
      </c>
      <c r="IJ62" s="6">
        <f t="shared" si="1297"/>
        <v>0</v>
      </c>
      <c r="IK62" s="6">
        <f t="shared" si="1297"/>
        <v>0</v>
      </c>
      <c r="IL62" s="6">
        <f t="shared" si="1297"/>
        <v>0</v>
      </c>
      <c r="IM62" s="6">
        <f t="shared" si="1297"/>
        <v>0</v>
      </c>
      <c r="IN62" s="6">
        <f t="shared" si="1297"/>
        <v>0</v>
      </c>
      <c r="IO62" s="6">
        <f t="shared" si="1297"/>
        <v>0</v>
      </c>
      <c r="IP62" s="6">
        <f t="shared" si="1297"/>
        <v>0</v>
      </c>
      <c r="IQ62" s="6">
        <f t="shared" si="1297"/>
        <v>0</v>
      </c>
      <c r="IR62" s="6">
        <f t="shared" si="1297"/>
        <v>0</v>
      </c>
      <c r="IS62" s="6">
        <f t="shared" si="1297"/>
        <v>0</v>
      </c>
      <c r="IT62" s="6">
        <f t="shared" si="1297"/>
        <v>0</v>
      </c>
      <c r="IU62" s="6">
        <f t="shared" si="1297"/>
        <v>0</v>
      </c>
      <c r="IV62" s="6">
        <f t="shared" si="1297"/>
        <v>0</v>
      </c>
      <c r="IW62" s="6">
        <f t="shared" si="1297"/>
        <v>0</v>
      </c>
      <c r="IX62" s="6">
        <f t="shared" si="1297"/>
        <v>0</v>
      </c>
      <c r="IY62" s="6">
        <f t="shared" si="1297"/>
        <v>0</v>
      </c>
      <c r="IZ62" s="6">
        <f t="shared" ref="IZ62:LK62" si="1298">SUM(IZ63:IZ66)</f>
        <v>0</v>
      </c>
      <c r="JA62" s="6">
        <f t="shared" si="1298"/>
        <v>0</v>
      </c>
      <c r="JB62" s="6">
        <f t="shared" si="1298"/>
        <v>0</v>
      </c>
      <c r="JC62" s="6">
        <f t="shared" si="1298"/>
        <v>0</v>
      </c>
      <c r="JD62" s="6">
        <f t="shared" si="1298"/>
        <v>1.5999999999999999E-5</v>
      </c>
      <c r="JE62" s="6">
        <f t="shared" si="1298"/>
        <v>1.5999999999999999E-5</v>
      </c>
      <c r="JF62" s="6">
        <f t="shared" si="1298"/>
        <v>1.5999999999999999E-5</v>
      </c>
      <c r="JG62" s="6">
        <f t="shared" si="1298"/>
        <v>1.5999999999999999E-5</v>
      </c>
      <c r="JH62" s="6">
        <f t="shared" si="1298"/>
        <v>1.5999999999999999E-5</v>
      </c>
      <c r="JI62" s="6">
        <f t="shared" si="1298"/>
        <v>1.5999999999999999E-5</v>
      </c>
      <c r="JJ62" s="6">
        <f t="shared" si="1298"/>
        <v>1.5999999999999999E-5</v>
      </c>
      <c r="JK62" s="6">
        <f t="shared" si="1298"/>
        <v>1.5999999999999999E-5</v>
      </c>
      <c r="JL62" s="6">
        <f t="shared" si="1298"/>
        <v>1.5999999999999999E-5</v>
      </c>
      <c r="JM62" s="6">
        <f t="shared" si="1298"/>
        <v>1.5999999999999999E-5</v>
      </c>
      <c r="JN62" s="6">
        <f t="shared" si="1298"/>
        <v>1.5999999999999999E-5</v>
      </c>
      <c r="JO62" s="6">
        <f t="shared" si="1298"/>
        <v>1.5999999999999999E-5</v>
      </c>
      <c r="JP62" s="6">
        <f t="shared" si="1298"/>
        <v>1.5999999999999999E-5</v>
      </c>
      <c r="JQ62" s="6">
        <f t="shared" si="1298"/>
        <v>1.5999999999999999E-5</v>
      </c>
      <c r="JR62" s="6">
        <f t="shared" si="1298"/>
        <v>1.5999999999999999E-5</v>
      </c>
      <c r="JS62" s="6">
        <f t="shared" si="1298"/>
        <v>1.5999999999999999E-5</v>
      </c>
      <c r="JT62" s="6">
        <f t="shared" si="1298"/>
        <v>1.5999999999999999E-5</v>
      </c>
      <c r="JU62" s="6">
        <f t="shared" si="1298"/>
        <v>1.5999999999999999E-5</v>
      </c>
      <c r="JV62" s="6">
        <f t="shared" si="1298"/>
        <v>1.5999999999999999E-5</v>
      </c>
      <c r="JW62" s="6">
        <f t="shared" si="1298"/>
        <v>1.5999999999999999E-5</v>
      </c>
      <c r="JX62" s="6">
        <f t="shared" si="1298"/>
        <v>1.5999999999999999E-5</v>
      </c>
      <c r="JY62" s="6">
        <f t="shared" si="1298"/>
        <v>1.5999999999999999E-5</v>
      </c>
      <c r="JZ62" s="6">
        <f t="shared" si="1298"/>
        <v>0</v>
      </c>
      <c r="KA62" s="6">
        <f t="shared" si="1298"/>
        <v>0</v>
      </c>
      <c r="KB62" s="6">
        <f t="shared" si="1298"/>
        <v>0</v>
      </c>
      <c r="KC62" s="6">
        <f t="shared" si="1298"/>
        <v>0</v>
      </c>
      <c r="KD62" s="6">
        <f t="shared" si="1298"/>
        <v>0</v>
      </c>
      <c r="KE62" s="6">
        <f t="shared" si="1298"/>
        <v>0</v>
      </c>
      <c r="KF62" s="6">
        <f t="shared" si="1298"/>
        <v>1.5999999999999999E-5</v>
      </c>
      <c r="KG62" s="6">
        <f t="shared" si="1298"/>
        <v>1.5999999999999999E-5</v>
      </c>
      <c r="KH62" s="6">
        <f t="shared" si="1298"/>
        <v>1.5999999999999999E-5</v>
      </c>
      <c r="KI62" s="6">
        <f t="shared" si="1298"/>
        <v>1.5999999999999999E-5</v>
      </c>
      <c r="KJ62" s="6">
        <f t="shared" si="1298"/>
        <v>1.5999999999999999E-5</v>
      </c>
      <c r="KK62" s="6">
        <f t="shared" si="1298"/>
        <v>1.5999999999999999E-5</v>
      </c>
      <c r="KL62" s="6">
        <f t="shared" si="1298"/>
        <v>1.5999999999999999E-5</v>
      </c>
      <c r="KM62" s="6">
        <f t="shared" si="1298"/>
        <v>1.5999999999999999E-5</v>
      </c>
      <c r="KN62" s="6">
        <f t="shared" si="1298"/>
        <v>1.5999999999999999E-5</v>
      </c>
      <c r="KO62" s="6">
        <f t="shared" si="1298"/>
        <v>1.5999999999999999E-5</v>
      </c>
      <c r="KP62" s="6">
        <f t="shared" si="1298"/>
        <v>1.5999999999999999E-5</v>
      </c>
      <c r="KQ62" s="6">
        <f t="shared" si="1298"/>
        <v>1.5999999999999999E-5</v>
      </c>
      <c r="KR62" s="6">
        <f t="shared" si="1298"/>
        <v>1.5999999999999999E-5</v>
      </c>
      <c r="KS62" s="6">
        <f t="shared" si="1298"/>
        <v>1.5999999999999999E-5</v>
      </c>
      <c r="KT62" s="6">
        <f t="shared" si="1298"/>
        <v>1.5999999999999999E-5</v>
      </c>
      <c r="KU62" s="6">
        <f t="shared" si="1298"/>
        <v>1.5999999999999999E-5</v>
      </c>
      <c r="KV62" s="6">
        <f t="shared" si="1298"/>
        <v>1.5999999999999999E-5</v>
      </c>
      <c r="KW62" s="6">
        <f t="shared" si="1298"/>
        <v>1.5999999999999999E-5</v>
      </c>
      <c r="KX62" s="6">
        <f t="shared" si="1298"/>
        <v>1.5999999999999999E-5</v>
      </c>
      <c r="KY62" s="6">
        <f t="shared" si="1298"/>
        <v>1.5999999999999999E-5</v>
      </c>
      <c r="KZ62" s="6">
        <f t="shared" si="1298"/>
        <v>1.5999999999999999E-5</v>
      </c>
      <c r="LA62" s="6">
        <f t="shared" si="1298"/>
        <v>1.5999999999999999E-5</v>
      </c>
      <c r="LB62" s="6">
        <f t="shared" si="1298"/>
        <v>1.5999999999999999E-5</v>
      </c>
      <c r="LC62" s="6">
        <f t="shared" si="1298"/>
        <v>1.5999999999999999E-5</v>
      </c>
      <c r="LD62" s="6">
        <f t="shared" si="1298"/>
        <v>1.5999999999999999E-5</v>
      </c>
      <c r="LE62" s="6">
        <f t="shared" si="1298"/>
        <v>9.6000000000000002E-2</v>
      </c>
      <c r="LF62" s="6">
        <f t="shared" si="1298"/>
        <v>9.6000000000000002E-2</v>
      </c>
      <c r="LG62" s="6">
        <f t="shared" si="1298"/>
        <v>9.6000000000000002E-2</v>
      </c>
      <c r="LH62" s="6">
        <f t="shared" si="1298"/>
        <v>9.6000000000000002E-2</v>
      </c>
      <c r="LI62" s="6">
        <f t="shared" si="1298"/>
        <v>9.6000000000000002E-2</v>
      </c>
      <c r="LJ62" s="6">
        <f t="shared" si="1298"/>
        <v>9.6000000000000002E-2</v>
      </c>
      <c r="LK62" s="6">
        <f t="shared" si="1298"/>
        <v>9.6000000000000002E-2</v>
      </c>
      <c r="LL62" s="6">
        <f t="shared" ref="LL62:NW62" si="1299">SUM(LL63:LL66)</f>
        <v>9.6000000000000002E-2</v>
      </c>
      <c r="LM62" s="6">
        <f t="shared" si="1299"/>
        <v>9.6000000000000002E-2</v>
      </c>
      <c r="LN62" s="6">
        <f t="shared" si="1299"/>
        <v>9.6000000000000002E-2</v>
      </c>
      <c r="LO62" s="6">
        <f t="shared" si="1299"/>
        <v>9.6000000000000002E-2</v>
      </c>
      <c r="LP62" s="6">
        <f t="shared" si="1299"/>
        <v>9.6000000000000002E-2</v>
      </c>
      <c r="LQ62" s="6">
        <f t="shared" si="1299"/>
        <v>9.6000000000000002E-2</v>
      </c>
      <c r="LR62" s="6">
        <f t="shared" si="1299"/>
        <v>9.6000000000000002E-2</v>
      </c>
      <c r="LS62" s="6">
        <f t="shared" si="1299"/>
        <v>9.6000000000000002E-2</v>
      </c>
      <c r="LT62" s="6">
        <f t="shared" si="1299"/>
        <v>1.5999999999999999E-5</v>
      </c>
      <c r="LU62" s="6">
        <f t="shared" si="1299"/>
        <v>1.5999999999999999E-5</v>
      </c>
      <c r="LV62" s="6">
        <f t="shared" si="1299"/>
        <v>1.5999999999999999E-5</v>
      </c>
      <c r="LW62" s="6">
        <f t="shared" si="1299"/>
        <v>1.5999999999999999E-5</v>
      </c>
      <c r="LX62" s="6">
        <f t="shared" si="1299"/>
        <v>1.5999999999999999E-5</v>
      </c>
      <c r="LY62" s="6">
        <f t="shared" si="1299"/>
        <v>1.5999999999999999E-5</v>
      </c>
      <c r="LZ62" s="6">
        <f t="shared" si="1299"/>
        <v>1.5999999999999999E-5</v>
      </c>
      <c r="MA62" s="6">
        <f t="shared" si="1299"/>
        <v>1.5999999999999999E-5</v>
      </c>
      <c r="MB62" s="6">
        <f t="shared" si="1299"/>
        <v>1.5999999999999999E-5</v>
      </c>
      <c r="MC62" s="6">
        <f t="shared" si="1299"/>
        <v>1.5999999999999999E-5</v>
      </c>
      <c r="MD62" s="6">
        <f t="shared" si="1299"/>
        <v>1.5999999999999999E-5</v>
      </c>
      <c r="ME62" s="6">
        <f t="shared" si="1299"/>
        <v>1.5999999999999999E-5</v>
      </c>
      <c r="MF62" s="6">
        <f t="shared" si="1299"/>
        <v>1.5999999999999999E-5</v>
      </c>
      <c r="MG62" s="6">
        <f t="shared" si="1299"/>
        <v>1.5999999999999999E-5</v>
      </c>
      <c r="MH62" s="6">
        <f t="shared" si="1299"/>
        <v>1.5999999999999999E-5</v>
      </c>
      <c r="MI62" s="6">
        <f t="shared" si="1299"/>
        <v>1.5999999999999999E-5</v>
      </c>
      <c r="MJ62" s="6">
        <f t="shared" si="1299"/>
        <v>1.5999999999999999E-5</v>
      </c>
      <c r="MK62" s="6">
        <f t="shared" si="1299"/>
        <v>9.6000000000000002E-2</v>
      </c>
      <c r="ML62" s="6">
        <f t="shared" si="1299"/>
        <v>9.6000000000000002E-2</v>
      </c>
      <c r="MM62" s="6">
        <f t="shared" si="1299"/>
        <v>9.6000000000000002E-2</v>
      </c>
      <c r="MN62" s="6">
        <f t="shared" si="1299"/>
        <v>9.6000000000000002E-2</v>
      </c>
      <c r="MO62" s="6">
        <f t="shared" si="1299"/>
        <v>9.6000000000000002E-2</v>
      </c>
      <c r="MP62" s="6">
        <f t="shared" si="1299"/>
        <v>9.6000000000000002E-2</v>
      </c>
      <c r="MQ62" s="6">
        <f t="shared" si="1299"/>
        <v>9.6000000000000002E-2</v>
      </c>
      <c r="MR62" s="6">
        <f t="shared" si="1299"/>
        <v>9.6000000000000002E-2</v>
      </c>
      <c r="MS62" s="6">
        <f t="shared" si="1299"/>
        <v>9.6000000000000002E-2</v>
      </c>
      <c r="MT62" s="6">
        <f t="shared" si="1299"/>
        <v>9.6000000000000002E-2</v>
      </c>
      <c r="MU62" s="6">
        <f t="shared" si="1299"/>
        <v>9.6000000000000002E-2</v>
      </c>
      <c r="MV62" s="6">
        <f t="shared" si="1299"/>
        <v>9.6000000000000002E-2</v>
      </c>
      <c r="MW62" s="6">
        <f t="shared" si="1299"/>
        <v>9.6000000000000002E-2</v>
      </c>
      <c r="MX62" s="6">
        <f t="shared" si="1299"/>
        <v>9.6000000000000002E-2</v>
      </c>
      <c r="MY62" s="6">
        <f t="shared" si="1299"/>
        <v>9.6000000000000002E-2</v>
      </c>
      <c r="MZ62" s="6">
        <f t="shared" si="1299"/>
        <v>1.5999999999999999E-5</v>
      </c>
      <c r="NA62" s="6">
        <f t="shared" si="1299"/>
        <v>1.5999999999999999E-5</v>
      </c>
      <c r="NB62" s="6">
        <f t="shared" si="1299"/>
        <v>1.5999999999999999E-5</v>
      </c>
      <c r="NC62" s="6">
        <f t="shared" si="1299"/>
        <v>1.5999999999999999E-5</v>
      </c>
      <c r="ND62" s="6">
        <f t="shared" si="1299"/>
        <v>1.5999999999999999E-5</v>
      </c>
      <c r="NE62" s="6">
        <f t="shared" si="1299"/>
        <v>1.5999999999999999E-5</v>
      </c>
      <c r="NF62" s="6">
        <f t="shared" si="1299"/>
        <v>1.5999999999999999E-5</v>
      </c>
      <c r="NG62" s="6">
        <f t="shared" si="1299"/>
        <v>1.5999999999999999E-5</v>
      </c>
      <c r="NH62" s="6">
        <f t="shared" si="1299"/>
        <v>1.5999999999999999E-5</v>
      </c>
      <c r="NI62" s="6">
        <f t="shared" si="1299"/>
        <v>1.5999999999999999E-5</v>
      </c>
      <c r="NJ62" s="6">
        <f t="shared" si="1299"/>
        <v>1.5999999999999999E-5</v>
      </c>
      <c r="NK62" s="6">
        <f t="shared" si="1299"/>
        <v>1.5999999999999999E-5</v>
      </c>
      <c r="NL62" s="6">
        <f t="shared" si="1299"/>
        <v>1.5999999999999999E-5</v>
      </c>
      <c r="NM62" s="6">
        <f t="shared" si="1299"/>
        <v>1.5999999999999999E-5</v>
      </c>
      <c r="NN62" s="6">
        <f t="shared" si="1299"/>
        <v>1.5999999999999999E-5</v>
      </c>
      <c r="NO62" s="6">
        <f t="shared" si="1299"/>
        <v>1.5999999999999999E-5</v>
      </c>
      <c r="NP62" s="6">
        <f t="shared" si="1299"/>
        <v>1.5999999999999999E-5</v>
      </c>
      <c r="NQ62" s="6">
        <f t="shared" si="1299"/>
        <v>1.5999999999999999E-5</v>
      </c>
      <c r="NR62" s="6">
        <f t="shared" si="1299"/>
        <v>1.5999999999999999E-5</v>
      </c>
      <c r="NS62" s="6">
        <f t="shared" si="1299"/>
        <v>1.5999999999999999E-5</v>
      </c>
      <c r="NT62" s="6">
        <f t="shared" si="1299"/>
        <v>1.5999999999999999E-5</v>
      </c>
      <c r="NU62" s="6">
        <f t="shared" si="1299"/>
        <v>1.5999999999999999E-5</v>
      </c>
      <c r="NV62" s="6">
        <f t="shared" si="1299"/>
        <v>1.5999999999999999E-5</v>
      </c>
      <c r="NW62" s="6">
        <f t="shared" si="1299"/>
        <v>1.5999999999999999E-5</v>
      </c>
      <c r="NX62" s="6">
        <f t="shared" ref="NX62:QI62" si="1300">SUM(NX63:NX66)</f>
        <v>1.5999999999999999E-5</v>
      </c>
      <c r="NY62" s="6">
        <f t="shared" si="1300"/>
        <v>9.6000000000000002E-2</v>
      </c>
      <c r="NZ62" s="6">
        <f t="shared" si="1300"/>
        <v>9.6000000000000002E-2</v>
      </c>
      <c r="OA62" s="6">
        <f t="shared" si="1300"/>
        <v>9.6000000000000002E-2</v>
      </c>
      <c r="OB62" s="6">
        <f t="shared" si="1300"/>
        <v>9.6000000000000002E-2</v>
      </c>
      <c r="OC62" s="6">
        <f t="shared" si="1300"/>
        <v>9.6000000000000002E-2</v>
      </c>
      <c r="OD62" s="6">
        <f t="shared" si="1300"/>
        <v>9.6000000000000002E-2</v>
      </c>
      <c r="OE62" s="6">
        <f t="shared" si="1300"/>
        <v>9.6000000000000002E-2</v>
      </c>
      <c r="OF62" s="6">
        <f t="shared" si="1300"/>
        <v>9.6000000000000002E-2</v>
      </c>
      <c r="OG62" s="6">
        <f t="shared" si="1300"/>
        <v>9.6000000000000002E-2</v>
      </c>
      <c r="OH62" s="6">
        <f t="shared" si="1300"/>
        <v>9.6000000000000002E-2</v>
      </c>
      <c r="OI62" s="6">
        <f t="shared" si="1300"/>
        <v>9.6000000000000002E-2</v>
      </c>
      <c r="OJ62" s="6">
        <f t="shared" si="1300"/>
        <v>9.6000000000000002E-2</v>
      </c>
      <c r="OK62" s="6">
        <f t="shared" si="1300"/>
        <v>9.6000000000000002E-2</v>
      </c>
      <c r="OL62" s="6">
        <f t="shared" si="1300"/>
        <v>9.6000000000000002E-2</v>
      </c>
      <c r="OM62" s="6">
        <f t="shared" si="1300"/>
        <v>9.6000000000000002E-2</v>
      </c>
      <c r="ON62" s="6">
        <f t="shared" si="1300"/>
        <v>1.5999999999999999E-5</v>
      </c>
      <c r="OO62" s="6">
        <f t="shared" si="1300"/>
        <v>1.5999999999999999E-5</v>
      </c>
      <c r="OP62" s="6">
        <f t="shared" si="1300"/>
        <v>1.5999999999999999E-5</v>
      </c>
      <c r="OQ62" s="6">
        <f t="shared" si="1300"/>
        <v>1.5999999999999999E-5</v>
      </c>
      <c r="OR62" s="6">
        <f t="shared" si="1300"/>
        <v>0</v>
      </c>
      <c r="OS62" s="6">
        <f t="shared" si="1300"/>
        <v>0</v>
      </c>
      <c r="OT62" s="6">
        <f t="shared" si="1300"/>
        <v>0</v>
      </c>
      <c r="OU62" s="6">
        <f t="shared" si="1300"/>
        <v>0</v>
      </c>
      <c r="OV62" s="6">
        <f t="shared" si="1300"/>
        <v>0</v>
      </c>
      <c r="OW62" s="6">
        <f t="shared" si="1300"/>
        <v>0</v>
      </c>
      <c r="OX62" s="6">
        <f t="shared" si="1300"/>
        <v>0</v>
      </c>
      <c r="OY62" s="6">
        <f t="shared" si="1300"/>
        <v>0</v>
      </c>
      <c r="OZ62" s="6">
        <f t="shared" si="1300"/>
        <v>0</v>
      </c>
      <c r="PA62" s="6">
        <f t="shared" si="1300"/>
        <v>0</v>
      </c>
      <c r="PB62" s="6">
        <f t="shared" si="1300"/>
        <v>0</v>
      </c>
      <c r="PC62" s="6">
        <f t="shared" si="1300"/>
        <v>0</v>
      </c>
      <c r="PD62" s="6">
        <f t="shared" si="1300"/>
        <v>0</v>
      </c>
      <c r="PE62" s="6">
        <f t="shared" si="1300"/>
        <v>0</v>
      </c>
      <c r="PF62" s="6">
        <f t="shared" si="1300"/>
        <v>0</v>
      </c>
      <c r="PG62" s="6">
        <f t="shared" si="1300"/>
        <v>0</v>
      </c>
      <c r="PH62" s="6">
        <f t="shared" si="1300"/>
        <v>0</v>
      </c>
      <c r="PI62" s="6">
        <f t="shared" si="1300"/>
        <v>0</v>
      </c>
      <c r="PJ62" s="6">
        <f t="shared" si="1300"/>
        <v>0</v>
      </c>
      <c r="PK62" s="6">
        <f t="shared" si="1300"/>
        <v>0</v>
      </c>
      <c r="PL62" s="6">
        <f t="shared" si="1300"/>
        <v>0</v>
      </c>
      <c r="PM62" s="6">
        <f t="shared" si="1300"/>
        <v>0</v>
      </c>
      <c r="PN62" s="6">
        <f t="shared" si="1300"/>
        <v>0</v>
      </c>
      <c r="PO62" s="6">
        <f t="shared" si="1300"/>
        <v>0</v>
      </c>
      <c r="PP62" s="6">
        <f t="shared" si="1300"/>
        <v>0</v>
      </c>
      <c r="PQ62" s="6">
        <f t="shared" si="1300"/>
        <v>0</v>
      </c>
      <c r="PR62" s="6">
        <f t="shared" si="1300"/>
        <v>0</v>
      </c>
      <c r="PS62" s="6">
        <f t="shared" si="1300"/>
        <v>0</v>
      </c>
      <c r="PT62" s="6">
        <f t="shared" si="1300"/>
        <v>1.5999999999999999E-5</v>
      </c>
      <c r="PU62" s="6">
        <f t="shared" si="1300"/>
        <v>1.5999999999999999E-5</v>
      </c>
      <c r="PV62" s="6">
        <f t="shared" si="1300"/>
        <v>1.5999999999999999E-5</v>
      </c>
      <c r="PW62" s="6">
        <f t="shared" si="1300"/>
        <v>1.5999999999999999E-5</v>
      </c>
      <c r="PX62" s="6">
        <f t="shared" si="1300"/>
        <v>1.5999999999999999E-5</v>
      </c>
      <c r="PY62" s="6">
        <f t="shared" si="1300"/>
        <v>1.5999999999999999E-5</v>
      </c>
      <c r="PZ62" s="6">
        <f t="shared" si="1300"/>
        <v>1.5999999999999999E-5</v>
      </c>
      <c r="QA62" s="6">
        <f t="shared" si="1300"/>
        <v>1.5999999999999999E-5</v>
      </c>
      <c r="QB62" s="6">
        <f t="shared" si="1300"/>
        <v>1.5999999999999999E-5</v>
      </c>
      <c r="QC62" s="6">
        <f t="shared" si="1300"/>
        <v>1.5999999999999999E-5</v>
      </c>
      <c r="QD62" s="6">
        <f t="shared" si="1300"/>
        <v>1.5999999999999999E-5</v>
      </c>
      <c r="QE62" s="6">
        <f t="shared" si="1300"/>
        <v>1.5999999999999999E-5</v>
      </c>
      <c r="QF62" s="6">
        <f t="shared" si="1300"/>
        <v>1.5999999999999999E-5</v>
      </c>
      <c r="QG62" s="6">
        <f t="shared" si="1300"/>
        <v>1.5999999999999999E-5</v>
      </c>
      <c r="QH62" s="6">
        <f t="shared" si="1300"/>
        <v>1.5999999999999999E-5</v>
      </c>
      <c r="QI62" s="6">
        <f t="shared" si="1300"/>
        <v>1.5999999999999999E-5</v>
      </c>
      <c r="QJ62" s="6">
        <f t="shared" ref="QJ62:SU62" si="1301">SUM(QJ63:QJ66)</f>
        <v>1.5999999999999999E-5</v>
      </c>
      <c r="QK62" s="6">
        <f t="shared" si="1301"/>
        <v>1.5999999999999999E-5</v>
      </c>
      <c r="QL62" s="6">
        <f t="shared" si="1301"/>
        <v>1.5999999999999999E-5</v>
      </c>
      <c r="QM62" s="6">
        <f t="shared" si="1301"/>
        <v>1.5999999999999999E-5</v>
      </c>
      <c r="QN62" s="6">
        <f t="shared" si="1301"/>
        <v>1.5999999999999999E-5</v>
      </c>
      <c r="QO62" s="6">
        <f t="shared" si="1301"/>
        <v>1.5999999999999999E-5</v>
      </c>
      <c r="QP62" s="6">
        <f t="shared" si="1301"/>
        <v>1.5999999999999999E-5</v>
      </c>
      <c r="QQ62" s="6">
        <f t="shared" si="1301"/>
        <v>1.5999999999999999E-5</v>
      </c>
      <c r="QR62" s="6">
        <f t="shared" si="1301"/>
        <v>1.5999999999999999E-5</v>
      </c>
      <c r="QS62" s="6">
        <f t="shared" si="1301"/>
        <v>9.6000000000000002E-2</v>
      </c>
      <c r="QT62" s="6">
        <f t="shared" si="1301"/>
        <v>9.6000000000000002E-2</v>
      </c>
      <c r="QU62" s="6">
        <f t="shared" si="1301"/>
        <v>9.6000000000000002E-2</v>
      </c>
      <c r="QV62" s="6">
        <f t="shared" si="1301"/>
        <v>9.6000000000000002E-2</v>
      </c>
      <c r="QW62" s="6">
        <f t="shared" si="1301"/>
        <v>9.6000000000000002E-2</v>
      </c>
      <c r="QX62" s="6">
        <f t="shared" si="1301"/>
        <v>9.6000000000000002E-2</v>
      </c>
      <c r="QY62" s="6">
        <f t="shared" si="1301"/>
        <v>9.6000000000000002E-2</v>
      </c>
      <c r="QZ62" s="6">
        <f t="shared" si="1301"/>
        <v>9.6000000000000002E-2</v>
      </c>
      <c r="RA62" s="6">
        <f t="shared" si="1301"/>
        <v>9.6000000000000002E-2</v>
      </c>
      <c r="RB62" s="6">
        <f t="shared" si="1301"/>
        <v>9.6000000000000002E-2</v>
      </c>
      <c r="RC62" s="6">
        <f t="shared" si="1301"/>
        <v>9.6000000000000002E-2</v>
      </c>
      <c r="RD62" s="6">
        <f t="shared" si="1301"/>
        <v>9.6000000000000002E-2</v>
      </c>
      <c r="RE62" s="6">
        <f t="shared" si="1301"/>
        <v>9.6000000000000002E-2</v>
      </c>
      <c r="RF62" s="6">
        <f t="shared" si="1301"/>
        <v>9.6000000000000002E-2</v>
      </c>
      <c r="RG62" s="6">
        <f t="shared" si="1301"/>
        <v>9.6000000000000002E-2</v>
      </c>
      <c r="RH62" s="6">
        <f t="shared" si="1301"/>
        <v>1.5999999999999999E-5</v>
      </c>
      <c r="RI62" s="6">
        <f t="shared" si="1301"/>
        <v>1.5999999999999999E-5</v>
      </c>
      <c r="RJ62" s="6">
        <f t="shared" si="1301"/>
        <v>1.5999999999999999E-5</v>
      </c>
      <c r="RK62" s="6">
        <f t="shared" si="1301"/>
        <v>1.5999999999999999E-5</v>
      </c>
      <c r="RL62" s="6">
        <f t="shared" si="1301"/>
        <v>1.5999999999999999E-5</v>
      </c>
      <c r="RM62" s="6">
        <f t="shared" si="1301"/>
        <v>1.5999999999999999E-5</v>
      </c>
      <c r="RN62" s="6">
        <f t="shared" si="1301"/>
        <v>1.5999999999999999E-5</v>
      </c>
      <c r="RO62" s="6">
        <f t="shared" si="1301"/>
        <v>1.5999999999999999E-5</v>
      </c>
      <c r="RP62" s="6">
        <f t="shared" si="1301"/>
        <v>1.5999999999999999E-5</v>
      </c>
      <c r="RQ62" s="6">
        <f t="shared" si="1301"/>
        <v>1.5999999999999999E-5</v>
      </c>
      <c r="RR62" s="6">
        <f t="shared" si="1301"/>
        <v>1.5999999999999999E-5</v>
      </c>
      <c r="RS62" s="6">
        <f t="shared" si="1301"/>
        <v>1.5999999999999999E-5</v>
      </c>
      <c r="RT62" s="6">
        <f t="shared" si="1301"/>
        <v>1.5999999999999999E-5</v>
      </c>
      <c r="RU62" s="6">
        <f t="shared" si="1301"/>
        <v>1.5999999999999999E-5</v>
      </c>
      <c r="RV62" s="6">
        <f t="shared" si="1301"/>
        <v>1.5999999999999999E-5</v>
      </c>
      <c r="RW62" s="6">
        <f t="shared" si="1301"/>
        <v>1.5999999999999999E-5</v>
      </c>
      <c r="RX62" s="6">
        <f t="shared" si="1301"/>
        <v>1.5999999999999999E-5</v>
      </c>
      <c r="RY62" s="6">
        <f t="shared" si="1301"/>
        <v>9.6000000000000002E-2</v>
      </c>
      <c r="RZ62" s="6">
        <f t="shared" si="1301"/>
        <v>9.6000000000000002E-2</v>
      </c>
      <c r="SA62" s="6">
        <f t="shared" si="1301"/>
        <v>9.6000000000000002E-2</v>
      </c>
      <c r="SB62" s="6">
        <f t="shared" si="1301"/>
        <v>9.6000000000000002E-2</v>
      </c>
      <c r="SC62" s="6">
        <f t="shared" si="1301"/>
        <v>9.6000000000000002E-2</v>
      </c>
      <c r="SD62" s="6">
        <f t="shared" si="1301"/>
        <v>9.6000000000000002E-2</v>
      </c>
      <c r="SE62" s="6">
        <f t="shared" si="1301"/>
        <v>9.6000000000000002E-2</v>
      </c>
      <c r="SF62" s="6">
        <f t="shared" si="1301"/>
        <v>9.6000000000000002E-2</v>
      </c>
      <c r="SG62" s="6">
        <f t="shared" si="1301"/>
        <v>9.6000000000000002E-2</v>
      </c>
      <c r="SH62" s="6">
        <f t="shared" si="1301"/>
        <v>9.6000000000000002E-2</v>
      </c>
      <c r="SI62" s="6">
        <f t="shared" si="1301"/>
        <v>9.6000000000000002E-2</v>
      </c>
      <c r="SJ62" s="6">
        <f t="shared" si="1301"/>
        <v>9.6000000000000002E-2</v>
      </c>
      <c r="SK62" s="6">
        <f t="shared" si="1301"/>
        <v>9.6000000000000002E-2</v>
      </c>
      <c r="SL62" s="6">
        <f t="shared" si="1301"/>
        <v>9.6000000000000002E-2</v>
      </c>
      <c r="SM62" s="6">
        <f t="shared" si="1301"/>
        <v>9.6000000000000002E-2</v>
      </c>
      <c r="SN62" s="6">
        <f t="shared" si="1301"/>
        <v>1.5999999999999999E-5</v>
      </c>
      <c r="SO62" s="6">
        <f t="shared" si="1301"/>
        <v>1.5999999999999999E-5</v>
      </c>
      <c r="SP62" s="6">
        <f t="shared" si="1301"/>
        <v>1.5999999999999999E-5</v>
      </c>
      <c r="SQ62" s="6">
        <f t="shared" si="1301"/>
        <v>1.5999999999999999E-5</v>
      </c>
      <c r="SR62" s="6">
        <f t="shared" si="1301"/>
        <v>1.5999999999999999E-5</v>
      </c>
      <c r="SS62" s="6">
        <f t="shared" si="1301"/>
        <v>1.5999999999999999E-5</v>
      </c>
      <c r="ST62" s="6">
        <f t="shared" si="1301"/>
        <v>1.5999999999999999E-5</v>
      </c>
      <c r="SU62" s="6">
        <f t="shared" si="1301"/>
        <v>1.5999999999999999E-5</v>
      </c>
      <c r="SV62" s="6">
        <f t="shared" ref="SV62:VG62" si="1302">SUM(SV63:SV66)</f>
        <v>1.5999999999999999E-5</v>
      </c>
      <c r="SW62" s="6">
        <f t="shared" si="1302"/>
        <v>1.5999999999999999E-5</v>
      </c>
      <c r="SX62" s="6">
        <f t="shared" si="1302"/>
        <v>1.5999999999999999E-5</v>
      </c>
      <c r="SY62" s="6">
        <f t="shared" si="1302"/>
        <v>1.5999999999999999E-5</v>
      </c>
      <c r="SZ62" s="6">
        <f t="shared" si="1302"/>
        <v>1.5999999999999999E-5</v>
      </c>
      <c r="TA62" s="6">
        <f t="shared" si="1302"/>
        <v>1.5999999999999999E-5</v>
      </c>
      <c r="TB62" s="6">
        <f t="shared" si="1302"/>
        <v>1.5999999999999999E-5</v>
      </c>
      <c r="TC62" s="6">
        <f t="shared" si="1302"/>
        <v>1.5999999999999999E-5</v>
      </c>
      <c r="TD62" s="6">
        <f t="shared" si="1302"/>
        <v>1.5999999999999999E-5</v>
      </c>
      <c r="TE62" s="6">
        <f t="shared" si="1302"/>
        <v>1.5999999999999999E-5</v>
      </c>
      <c r="TF62" s="6">
        <f t="shared" si="1302"/>
        <v>1.5999999999999999E-5</v>
      </c>
      <c r="TG62" s="6">
        <f t="shared" si="1302"/>
        <v>1.5999999999999999E-5</v>
      </c>
      <c r="TH62" s="6">
        <f t="shared" si="1302"/>
        <v>1.5999999999999999E-5</v>
      </c>
      <c r="TI62" s="6">
        <f t="shared" si="1302"/>
        <v>1.5999999999999999E-5</v>
      </c>
      <c r="TJ62" s="6">
        <f t="shared" si="1302"/>
        <v>1.5999999999999999E-5</v>
      </c>
      <c r="TK62" s="6">
        <f t="shared" si="1302"/>
        <v>1.5999999999999999E-5</v>
      </c>
      <c r="TL62" s="6">
        <f t="shared" si="1302"/>
        <v>1.5999999999999999E-5</v>
      </c>
      <c r="TM62" s="6">
        <f t="shared" si="1302"/>
        <v>9.6000000000000002E-2</v>
      </c>
      <c r="TN62" s="6">
        <f t="shared" si="1302"/>
        <v>9.6000000000000002E-2</v>
      </c>
      <c r="TO62" s="6">
        <f t="shared" si="1302"/>
        <v>9.6000000000000002E-2</v>
      </c>
      <c r="TP62" s="6">
        <f t="shared" si="1302"/>
        <v>9.6000000000000002E-2</v>
      </c>
      <c r="TQ62" s="6">
        <f t="shared" si="1302"/>
        <v>9.6000000000000002E-2</v>
      </c>
      <c r="TR62" s="6">
        <f t="shared" si="1302"/>
        <v>9.6000000000000002E-2</v>
      </c>
      <c r="TS62" s="6">
        <f t="shared" si="1302"/>
        <v>9.6000000000000002E-2</v>
      </c>
      <c r="TT62" s="6">
        <f t="shared" si="1302"/>
        <v>9.6000000000000002E-2</v>
      </c>
      <c r="TU62" s="6">
        <f t="shared" si="1302"/>
        <v>9.6000000000000002E-2</v>
      </c>
      <c r="TV62" s="6">
        <f t="shared" si="1302"/>
        <v>9.6000000000000002E-2</v>
      </c>
      <c r="TW62" s="6">
        <f t="shared" si="1302"/>
        <v>9.6000000000000002E-2</v>
      </c>
      <c r="TX62" s="6">
        <f t="shared" si="1302"/>
        <v>9.6000000000000002E-2</v>
      </c>
      <c r="TY62" s="6">
        <f t="shared" si="1302"/>
        <v>9.6000000000000002E-2</v>
      </c>
      <c r="TZ62" s="6">
        <f t="shared" si="1302"/>
        <v>9.6000000000000002E-2</v>
      </c>
      <c r="UA62" s="6">
        <f t="shared" si="1302"/>
        <v>9.6000000000000002E-2</v>
      </c>
      <c r="UB62" s="6">
        <f t="shared" si="1302"/>
        <v>1.5999999999999999E-5</v>
      </c>
      <c r="UC62" s="6">
        <f t="shared" si="1302"/>
        <v>1.5999999999999999E-5</v>
      </c>
      <c r="UD62" s="6">
        <f t="shared" si="1302"/>
        <v>1.5999999999999999E-5</v>
      </c>
      <c r="UE62" s="6">
        <f t="shared" si="1302"/>
        <v>1.5999999999999999E-5</v>
      </c>
      <c r="UF62" s="6">
        <f t="shared" si="1302"/>
        <v>0</v>
      </c>
      <c r="UG62" s="6">
        <f t="shared" si="1302"/>
        <v>0</v>
      </c>
      <c r="UH62" s="6">
        <f t="shared" si="1302"/>
        <v>0</v>
      </c>
      <c r="UI62" s="6">
        <f t="shared" si="1302"/>
        <v>0</v>
      </c>
      <c r="UJ62" s="6">
        <f t="shared" si="1302"/>
        <v>0</v>
      </c>
      <c r="UK62" s="6">
        <f t="shared" si="1302"/>
        <v>0</v>
      </c>
      <c r="UL62" s="6">
        <f t="shared" si="1302"/>
        <v>0</v>
      </c>
      <c r="UM62" s="6">
        <f t="shared" si="1302"/>
        <v>0</v>
      </c>
      <c r="UN62" s="6">
        <f t="shared" si="1302"/>
        <v>0</v>
      </c>
      <c r="UO62" s="6">
        <f t="shared" si="1302"/>
        <v>0</v>
      </c>
      <c r="UP62" s="6">
        <f t="shared" si="1302"/>
        <v>0</v>
      </c>
      <c r="UQ62" s="6">
        <f t="shared" si="1302"/>
        <v>0</v>
      </c>
      <c r="UR62" s="6">
        <f t="shared" si="1302"/>
        <v>0</v>
      </c>
      <c r="US62" s="6">
        <f t="shared" si="1302"/>
        <v>0</v>
      </c>
      <c r="UT62" s="6">
        <f t="shared" si="1302"/>
        <v>0</v>
      </c>
      <c r="UU62" s="6">
        <f t="shared" si="1302"/>
        <v>0</v>
      </c>
      <c r="UV62" s="6">
        <f t="shared" si="1302"/>
        <v>0</v>
      </c>
      <c r="UW62" s="6">
        <f t="shared" si="1302"/>
        <v>0</v>
      </c>
      <c r="UX62" s="6">
        <f t="shared" si="1302"/>
        <v>0</v>
      </c>
      <c r="UY62" s="6">
        <f t="shared" si="1302"/>
        <v>0</v>
      </c>
      <c r="UZ62" s="6">
        <f t="shared" si="1302"/>
        <v>0</v>
      </c>
      <c r="VA62" s="6">
        <f t="shared" si="1302"/>
        <v>0</v>
      </c>
      <c r="VB62" s="6">
        <f t="shared" si="1302"/>
        <v>0</v>
      </c>
      <c r="VC62" s="6">
        <f t="shared" si="1302"/>
        <v>0</v>
      </c>
      <c r="VD62" s="6">
        <f t="shared" si="1302"/>
        <v>0</v>
      </c>
      <c r="VE62" s="6">
        <f t="shared" si="1302"/>
        <v>0</v>
      </c>
      <c r="VF62" s="6">
        <f t="shared" si="1302"/>
        <v>0</v>
      </c>
      <c r="VG62" s="6">
        <f t="shared" si="1302"/>
        <v>0</v>
      </c>
      <c r="VH62" s="6">
        <f t="shared" ref="VH62:XS62" si="1303">SUM(VH63:VH66)</f>
        <v>1.5999999999999999E-5</v>
      </c>
      <c r="VI62" s="6">
        <f t="shared" si="1303"/>
        <v>1.5999999999999999E-5</v>
      </c>
      <c r="VJ62" s="6">
        <f t="shared" si="1303"/>
        <v>1.5999999999999999E-5</v>
      </c>
      <c r="VK62" s="6">
        <f t="shared" si="1303"/>
        <v>1.5999999999999999E-5</v>
      </c>
      <c r="VL62" s="6">
        <f t="shared" si="1303"/>
        <v>1.5999999999999999E-5</v>
      </c>
      <c r="VM62" s="6">
        <f t="shared" si="1303"/>
        <v>1.5999999999999999E-5</v>
      </c>
      <c r="VN62" s="6">
        <f t="shared" si="1303"/>
        <v>1.5999999999999999E-5</v>
      </c>
      <c r="VO62" s="6">
        <f t="shared" si="1303"/>
        <v>1.5999999999999999E-5</v>
      </c>
      <c r="VP62" s="6">
        <f t="shared" si="1303"/>
        <v>1.5999999999999999E-5</v>
      </c>
      <c r="VQ62" s="6">
        <f t="shared" si="1303"/>
        <v>1.5999999999999999E-5</v>
      </c>
      <c r="VR62" s="6">
        <f t="shared" si="1303"/>
        <v>1.5999999999999999E-5</v>
      </c>
      <c r="VS62" s="6">
        <f t="shared" si="1303"/>
        <v>1.5999999999999999E-5</v>
      </c>
      <c r="VT62" s="6">
        <f t="shared" si="1303"/>
        <v>1.5999999999999999E-5</v>
      </c>
      <c r="VU62" s="6">
        <f t="shared" si="1303"/>
        <v>1.5999999999999999E-5</v>
      </c>
      <c r="VV62" s="6">
        <f t="shared" si="1303"/>
        <v>1.5999999999999999E-5</v>
      </c>
      <c r="VW62" s="6">
        <f t="shared" si="1303"/>
        <v>1.5999999999999999E-5</v>
      </c>
      <c r="VX62" s="6">
        <f t="shared" si="1303"/>
        <v>1.5999999999999999E-5</v>
      </c>
      <c r="VY62" s="6">
        <f t="shared" si="1303"/>
        <v>1.5999999999999999E-5</v>
      </c>
      <c r="VZ62" s="6">
        <f t="shared" si="1303"/>
        <v>1.5999999999999999E-5</v>
      </c>
      <c r="WA62" s="6">
        <f t="shared" si="1303"/>
        <v>1.5999999999999999E-5</v>
      </c>
      <c r="WB62" s="6">
        <f t="shared" si="1303"/>
        <v>1.5999999999999999E-5</v>
      </c>
      <c r="WC62" s="6">
        <f t="shared" si="1303"/>
        <v>1.5999999999999999E-5</v>
      </c>
      <c r="WD62" s="6">
        <f t="shared" si="1303"/>
        <v>1.5999999999999999E-5</v>
      </c>
      <c r="WE62" s="6">
        <f t="shared" si="1303"/>
        <v>1.5999999999999999E-5</v>
      </c>
      <c r="WF62" s="6">
        <f t="shared" si="1303"/>
        <v>1.5999999999999999E-5</v>
      </c>
      <c r="WG62" s="6">
        <f t="shared" si="1303"/>
        <v>9.6000000000000002E-2</v>
      </c>
      <c r="WH62" s="6">
        <f t="shared" si="1303"/>
        <v>9.6000000000000002E-2</v>
      </c>
      <c r="WI62" s="6">
        <f t="shared" si="1303"/>
        <v>9.6000000000000002E-2</v>
      </c>
      <c r="WJ62" s="6">
        <f t="shared" si="1303"/>
        <v>9.6000000000000002E-2</v>
      </c>
      <c r="WK62" s="6">
        <f t="shared" si="1303"/>
        <v>9.6000000000000002E-2</v>
      </c>
      <c r="WL62" s="6">
        <f t="shared" si="1303"/>
        <v>9.6000000000000002E-2</v>
      </c>
      <c r="WM62" s="6">
        <f t="shared" si="1303"/>
        <v>9.6000000000000002E-2</v>
      </c>
      <c r="WN62" s="6">
        <f t="shared" si="1303"/>
        <v>9.6000000000000002E-2</v>
      </c>
      <c r="WO62" s="6">
        <f t="shared" si="1303"/>
        <v>9.6000000000000002E-2</v>
      </c>
      <c r="WP62" s="6">
        <f t="shared" si="1303"/>
        <v>9.6000000000000002E-2</v>
      </c>
      <c r="WQ62" s="6">
        <f t="shared" si="1303"/>
        <v>9.6000000000000002E-2</v>
      </c>
      <c r="WR62" s="6">
        <f t="shared" si="1303"/>
        <v>9.6000000000000002E-2</v>
      </c>
      <c r="WS62" s="6">
        <f t="shared" si="1303"/>
        <v>9.6000000000000002E-2</v>
      </c>
      <c r="WT62" s="6">
        <f t="shared" si="1303"/>
        <v>9.6000000000000002E-2</v>
      </c>
      <c r="WU62" s="6">
        <f t="shared" si="1303"/>
        <v>9.6000000000000002E-2</v>
      </c>
      <c r="WV62" s="6">
        <f t="shared" si="1303"/>
        <v>1.5999999999999999E-5</v>
      </c>
      <c r="WW62" s="6">
        <f t="shared" si="1303"/>
        <v>1.5999999999999999E-5</v>
      </c>
      <c r="WX62" s="6">
        <f t="shared" si="1303"/>
        <v>1.5999999999999999E-5</v>
      </c>
      <c r="WY62" s="6">
        <f t="shared" si="1303"/>
        <v>1.5999999999999999E-5</v>
      </c>
      <c r="WZ62" s="6">
        <f t="shared" si="1303"/>
        <v>1.5999999999999999E-5</v>
      </c>
      <c r="XA62" s="6">
        <f t="shared" si="1303"/>
        <v>1.5999999999999999E-5</v>
      </c>
      <c r="XB62" s="6">
        <f t="shared" si="1303"/>
        <v>1.5999999999999999E-5</v>
      </c>
      <c r="XC62" s="6">
        <f t="shared" si="1303"/>
        <v>1.5999999999999999E-5</v>
      </c>
      <c r="XD62" s="6">
        <f t="shared" si="1303"/>
        <v>1.5999999999999999E-5</v>
      </c>
      <c r="XE62" s="6">
        <f t="shared" si="1303"/>
        <v>1.5999999999999999E-5</v>
      </c>
      <c r="XF62" s="6">
        <f t="shared" si="1303"/>
        <v>1.5999999999999999E-5</v>
      </c>
      <c r="XG62" s="6">
        <f t="shared" si="1303"/>
        <v>1.5999999999999999E-5</v>
      </c>
      <c r="XH62" s="6">
        <f t="shared" si="1303"/>
        <v>1.5999999999999999E-5</v>
      </c>
      <c r="XI62" s="6">
        <f t="shared" si="1303"/>
        <v>1.5999999999999999E-5</v>
      </c>
      <c r="XJ62" s="6">
        <f t="shared" si="1303"/>
        <v>1.5999999999999999E-5</v>
      </c>
      <c r="XK62" s="6">
        <f t="shared" si="1303"/>
        <v>1.5999999999999999E-5</v>
      </c>
      <c r="XL62" s="6">
        <f t="shared" si="1303"/>
        <v>1.5999999999999999E-5</v>
      </c>
      <c r="XM62" s="6">
        <f t="shared" si="1303"/>
        <v>9.6000000000000002E-2</v>
      </c>
      <c r="XN62" s="6">
        <f t="shared" si="1303"/>
        <v>9.6000000000000002E-2</v>
      </c>
      <c r="XO62" s="6">
        <f t="shared" si="1303"/>
        <v>9.6000000000000002E-2</v>
      </c>
      <c r="XP62" s="6">
        <f t="shared" si="1303"/>
        <v>9.6000000000000002E-2</v>
      </c>
      <c r="XQ62" s="6">
        <f t="shared" si="1303"/>
        <v>9.6000000000000002E-2</v>
      </c>
      <c r="XR62" s="6">
        <f t="shared" si="1303"/>
        <v>9.6000000000000002E-2</v>
      </c>
      <c r="XS62" s="6">
        <f t="shared" si="1303"/>
        <v>9.6000000000000002E-2</v>
      </c>
      <c r="XT62" s="6">
        <f t="shared" ref="XT62:AAE62" si="1304">SUM(XT63:XT66)</f>
        <v>9.6000000000000002E-2</v>
      </c>
      <c r="XU62" s="6">
        <f t="shared" si="1304"/>
        <v>9.6000000000000002E-2</v>
      </c>
      <c r="XV62" s="6">
        <f t="shared" si="1304"/>
        <v>9.6000000000000002E-2</v>
      </c>
      <c r="XW62" s="6">
        <f t="shared" si="1304"/>
        <v>9.6000000000000002E-2</v>
      </c>
      <c r="XX62" s="6">
        <f t="shared" si="1304"/>
        <v>9.6000000000000002E-2</v>
      </c>
      <c r="XY62" s="6">
        <f t="shared" si="1304"/>
        <v>9.6000000000000002E-2</v>
      </c>
      <c r="XZ62" s="6">
        <f t="shared" si="1304"/>
        <v>9.6000000000000002E-2</v>
      </c>
      <c r="YA62" s="6">
        <f t="shared" si="1304"/>
        <v>9.6000000000000002E-2</v>
      </c>
      <c r="YB62" s="6">
        <f t="shared" si="1304"/>
        <v>1.5999999999999999E-5</v>
      </c>
      <c r="YC62" s="6">
        <f t="shared" si="1304"/>
        <v>1.5999999999999999E-5</v>
      </c>
      <c r="YD62" s="6">
        <f t="shared" si="1304"/>
        <v>1.5999999999999999E-5</v>
      </c>
      <c r="YE62" s="6">
        <f t="shared" si="1304"/>
        <v>1.5999999999999999E-5</v>
      </c>
      <c r="YF62" s="6">
        <f t="shared" si="1304"/>
        <v>1.5999999999999999E-5</v>
      </c>
      <c r="YG62" s="6">
        <f t="shared" si="1304"/>
        <v>1.5999999999999999E-5</v>
      </c>
      <c r="YH62" s="6">
        <f t="shared" si="1304"/>
        <v>1.5999999999999999E-5</v>
      </c>
      <c r="YI62" s="6">
        <f t="shared" si="1304"/>
        <v>1.5999999999999999E-5</v>
      </c>
      <c r="YJ62" s="6">
        <f t="shared" si="1304"/>
        <v>1.5999999999999999E-5</v>
      </c>
      <c r="YK62" s="6">
        <f t="shared" si="1304"/>
        <v>1.5999999999999999E-5</v>
      </c>
      <c r="YL62" s="6">
        <f t="shared" si="1304"/>
        <v>1.5999999999999999E-5</v>
      </c>
      <c r="YM62" s="6">
        <f t="shared" si="1304"/>
        <v>1.5999999999999999E-5</v>
      </c>
      <c r="YN62" s="6">
        <f t="shared" si="1304"/>
        <v>1.5999999999999999E-5</v>
      </c>
      <c r="YO62" s="6">
        <f t="shared" si="1304"/>
        <v>1.5999999999999999E-5</v>
      </c>
      <c r="YP62" s="6">
        <f t="shared" si="1304"/>
        <v>1.5999999999999999E-5</v>
      </c>
      <c r="YQ62" s="6">
        <f t="shared" si="1304"/>
        <v>1.5999999999999999E-5</v>
      </c>
      <c r="YR62" s="6">
        <f t="shared" si="1304"/>
        <v>1.5999999999999999E-5</v>
      </c>
      <c r="YS62" s="6">
        <f t="shared" si="1304"/>
        <v>1.5999999999999999E-5</v>
      </c>
      <c r="YT62" s="6">
        <f t="shared" si="1304"/>
        <v>1.5999999999999999E-5</v>
      </c>
      <c r="YU62" s="6">
        <f t="shared" si="1304"/>
        <v>1.5999999999999999E-5</v>
      </c>
      <c r="YV62" s="6">
        <f t="shared" si="1304"/>
        <v>1.5999999999999999E-5</v>
      </c>
      <c r="YW62" s="6">
        <f t="shared" si="1304"/>
        <v>1.5999999999999999E-5</v>
      </c>
      <c r="YX62" s="6">
        <f t="shared" si="1304"/>
        <v>1.5999999999999999E-5</v>
      </c>
      <c r="YY62" s="6">
        <f t="shared" si="1304"/>
        <v>1.5999999999999999E-5</v>
      </c>
      <c r="YZ62" s="6">
        <f t="shared" si="1304"/>
        <v>1.5999999999999999E-5</v>
      </c>
      <c r="ZA62" s="6">
        <f t="shared" si="1304"/>
        <v>9.6000000000000002E-2</v>
      </c>
      <c r="ZB62" s="6">
        <f t="shared" si="1304"/>
        <v>9.6000000000000002E-2</v>
      </c>
      <c r="ZC62" s="6">
        <f t="shared" si="1304"/>
        <v>9.6000000000000002E-2</v>
      </c>
      <c r="ZD62" s="6">
        <f t="shared" si="1304"/>
        <v>9.6000000000000002E-2</v>
      </c>
      <c r="ZE62" s="6">
        <f t="shared" si="1304"/>
        <v>9.6000000000000002E-2</v>
      </c>
      <c r="ZF62" s="6">
        <f t="shared" si="1304"/>
        <v>9.6000000000000002E-2</v>
      </c>
      <c r="ZG62" s="6">
        <f t="shared" si="1304"/>
        <v>9.6000000000000002E-2</v>
      </c>
      <c r="ZH62" s="6">
        <f t="shared" si="1304"/>
        <v>9.6000000000000002E-2</v>
      </c>
      <c r="ZI62" s="6">
        <f t="shared" si="1304"/>
        <v>9.6000000000000002E-2</v>
      </c>
      <c r="ZJ62" s="6">
        <f t="shared" si="1304"/>
        <v>9.6000000000000002E-2</v>
      </c>
      <c r="ZK62" s="6">
        <f t="shared" si="1304"/>
        <v>9.6000000000000002E-2</v>
      </c>
      <c r="ZL62" s="6">
        <f t="shared" si="1304"/>
        <v>9.6000000000000002E-2</v>
      </c>
      <c r="ZM62" s="6">
        <f t="shared" si="1304"/>
        <v>9.6000000000000002E-2</v>
      </c>
      <c r="ZN62" s="6">
        <f t="shared" si="1304"/>
        <v>9.6000000000000002E-2</v>
      </c>
      <c r="ZO62" s="6">
        <f t="shared" si="1304"/>
        <v>9.6000000000000002E-2</v>
      </c>
      <c r="ZP62" s="6">
        <f t="shared" si="1304"/>
        <v>1.5999999999999999E-5</v>
      </c>
      <c r="ZQ62" s="6">
        <f t="shared" si="1304"/>
        <v>1.5999999999999999E-5</v>
      </c>
      <c r="ZR62" s="6">
        <f t="shared" si="1304"/>
        <v>1.5999999999999999E-5</v>
      </c>
      <c r="ZS62" s="6">
        <f t="shared" si="1304"/>
        <v>1.5999999999999999E-5</v>
      </c>
      <c r="ZT62" s="6">
        <f t="shared" si="1304"/>
        <v>0</v>
      </c>
      <c r="ZU62" s="6">
        <f t="shared" si="1304"/>
        <v>0</v>
      </c>
      <c r="ZV62" s="6">
        <f t="shared" si="1304"/>
        <v>0</v>
      </c>
      <c r="ZW62" s="6">
        <f t="shared" si="1304"/>
        <v>0</v>
      </c>
      <c r="ZX62" s="6">
        <f t="shared" si="1304"/>
        <v>0</v>
      </c>
      <c r="ZY62" s="6">
        <f t="shared" si="1304"/>
        <v>0</v>
      </c>
      <c r="ZZ62" s="6">
        <f t="shared" si="1304"/>
        <v>0</v>
      </c>
      <c r="AAA62" s="6">
        <f t="shared" si="1304"/>
        <v>0</v>
      </c>
      <c r="AAB62" s="6">
        <f t="shared" si="1304"/>
        <v>0</v>
      </c>
      <c r="AAC62" s="6">
        <f t="shared" si="1304"/>
        <v>0</v>
      </c>
      <c r="AAD62" s="6">
        <f t="shared" si="1304"/>
        <v>0</v>
      </c>
      <c r="AAE62" s="6">
        <f t="shared" si="1304"/>
        <v>0</v>
      </c>
      <c r="AAF62" s="6">
        <f t="shared" ref="AAF62:ACQ62" si="1305">SUM(AAF63:AAF66)</f>
        <v>0</v>
      </c>
      <c r="AAG62" s="6">
        <f t="shared" si="1305"/>
        <v>0</v>
      </c>
      <c r="AAH62" s="6">
        <f t="shared" si="1305"/>
        <v>0</v>
      </c>
      <c r="AAI62" s="6">
        <f t="shared" si="1305"/>
        <v>0</v>
      </c>
      <c r="AAJ62" s="6">
        <f t="shared" si="1305"/>
        <v>0</v>
      </c>
      <c r="AAK62" s="6">
        <f t="shared" si="1305"/>
        <v>0</v>
      </c>
      <c r="AAL62" s="6">
        <f t="shared" si="1305"/>
        <v>0</v>
      </c>
      <c r="AAM62" s="6">
        <f t="shared" si="1305"/>
        <v>0</v>
      </c>
      <c r="AAN62" s="6">
        <f t="shared" si="1305"/>
        <v>0</v>
      </c>
      <c r="AAO62" s="6">
        <f t="shared" si="1305"/>
        <v>0</v>
      </c>
      <c r="AAP62" s="6">
        <f t="shared" si="1305"/>
        <v>0</v>
      </c>
      <c r="AAQ62" s="6">
        <f t="shared" si="1305"/>
        <v>0</v>
      </c>
      <c r="AAR62" s="6">
        <f t="shared" si="1305"/>
        <v>0</v>
      </c>
      <c r="AAS62" s="6">
        <f t="shared" si="1305"/>
        <v>0</v>
      </c>
      <c r="AAT62" s="6">
        <f t="shared" si="1305"/>
        <v>0</v>
      </c>
      <c r="AAU62" s="6">
        <f t="shared" si="1305"/>
        <v>0</v>
      </c>
      <c r="AAV62" s="6">
        <f t="shared" si="1305"/>
        <v>1.5999999999999999E-5</v>
      </c>
      <c r="AAW62" s="6">
        <f t="shared" si="1305"/>
        <v>1.5999999999999999E-5</v>
      </c>
      <c r="AAX62" s="6">
        <f t="shared" si="1305"/>
        <v>1.5999999999999999E-5</v>
      </c>
      <c r="AAY62" s="6">
        <f t="shared" si="1305"/>
        <v>1.5999999999999999E-5</v>
      </c>
      <c r="AAZ62" s="6">
        <f t="shared" si="1305"/>
        <v>1.5999999999999999E-5</v>
      </c>
      <c r="ABA62" s="6">
        <f t="shared" si="1305"/>
        <v>1.5999999999999999E-5</v>
      </c>
      <c r="ABB62" s="6">
        <f t="shared" si="1305"/>
        <v>1.5999999999999999E-5</v>
      </c>
      <c r="ABC62" s="6">
        <f t="shared" si="1305"/>
        <v>1.5999999999999999E-5</v>
      </c>
      <c r="ABD62" s="6">
        <f t="shared" si="1305"/>
        <v>1.5999999999999999E-5</v>
      </c>
      <c r="ABE62" s="6">
        <f t="shared" si="1305"/>
        <v>1.5999999999999999E-5</v>
      </c>
      <c r="ABF62" s="6">
        <f t="shared" si="1305"/>
        <v>1.5999999999999999E-5</v>
      </c>
      <c r="ABG62" s="6">
        <f t="shared" si="1305"/>
        <v>1.5999999999999999E-5</v>
      </c>
      <c r="ABH62" s="6">
        <f t="shared" si="1305"/>
        <v>1.5999999999999999E-5</v>
      </c>
      <c r="ABI62" s="6">
        <f t="shared" si="1305"/>
        <v>1.5999999999999999E-5</v>
      </c>
      <c r="ABJ62" s="6">
        <f t="shared" si="1305"/>
        <v>1.5999999999999999E-5</v>
      </c>
      <c r="ABK62" s="6">
        <f t="shared" si="1305"/>
        <v>1.5999999999999999E-5</v>
      </c>
      <c r="ABL62" s="6">
        <f t="shared" si="1305"/>
        <v>1.5999999999999999E-5</v>
      </c>
      <c r="ABM62" s="6">
        <f t="shared" si="1305"/>
        <v>1.5999999999999999E-5</v>
      </c>
      <c r="ABN62" s="6">
        <f t="shared" si="1305"/>
        <v>1.5999999999999999E-5</v>
      </c>
      <c r="ABO62" s="6">
        <f t="shared" si="1305"/>
        <v>1.5999999999999999E-5</v>
      </c>
      <c r="ABP62" s="6">
        <f t="shared" si="1305"/>
        <v>1.5999999999999999E-5</v>
      </c>
      <c r="ABQ62" s="6">
        <f t="shared" si="1305"/>
        <v>1.5999999999999999E-5</v>
      </c>
      <c r="ABR62" s="6">
        <f t="shared" si="1305"/>
        <v>1.5999999999999999E-5</v>
      </c>
      <c r="ABS62" s="6">
        <f t="shared" si="1305"/>
        <v>1.5999999999999999E-5</v>
      </c>
      <c r="ABT62" s="6">
        <f t="shared" si="1305"/>
        <v>1.5999999999999999E-5</v>
      </c>
      <c r="ABU62" s="6">
        <f t="shared" si="1305"/>
        <v>9.6000000000000002E-2</v>
      </c>
      <c r="ABV62" s="6">
        <f t="shared" si="1305"/>
        <v>9.6000000000000002E-2</v>
      </c>
      <c r="ABW62" s="6">
        <f t="shared" si="1305"/>
        <v>9.6000000000000002E-2</v>
      </c>
      <c r="ABX62" s="6">
        <f t="shared" si="1305"/>
        <v>9.6000000000000002E-2</v>
      </c>
      <c r="ABY62" s="6">
        <f t="shared" si="1305"/>
        <v>9.6000000000000002E-2</v>
      </c>
      <c r="ABZ62" s="6">
        <f t="shared" si="1305"/>
        <v>9.6000000000000002E-2</v>
      </c>
      <c r="ACA62" s="6">
        <f t="shared" si="1305"/>
        <v>9.6000000000000002E-2</v>
      </c>
      <c r="ACB62" s="6">
        <f t="shared" si="1305"/>
        <v>9.6000000000000002E-2</v>
      </c>
      <c r="ACC62" s="6">
        <f t="shared" si="1305"/>
        <v>9.6000000000000002E-2</v>
      </c>
      <c r="ACD62" s="6">
        <f t="shared" si="1305"/>
        <v>9.6000000000000002E-2</v>
      </c>
      <c r="ACE62" s="6">
        <f t="shared" si="1305"/>
        <v>9.6000000000000002E-2</v>
      </c>
      <c r="ACF62" s="6">
        <f t="shared" si="1305"/>
        <v>9.6000000000000002E-2</v>
      </c>
      <c r="ACG62" s="6">
        <f t="shared" si="1305"/>
        <v>9.6000000000000002E-2</v>
      </c>
      <c r="ACH62" s="6">
        <f t="shared" si="1305"/>
        <v>9.6000000000000002E-2</v>
      </c>
      <c r="ACI62" s="6">
        <f t="shared" si="1305"/>
        <v>9.6000000000000002E-2</v>
      </c>
      <c r="ACJ62" s="6">
        <f t="shared" si="1305"/>
        <v>1.5999999999999999E-5</v>
      </c>
      <c r="ACK62" s="6">
        <f t="shared" si="1305"/>
        <v>1.5999999999999999E-5</v>
      </c>
      <c r="ACL62" s="6">
        <f t="shared" si="1305"/>
        <v>1.5999999999999999E-5</v>
      </c>
      <c r="ACM62" s="6">
        <f t="shared" si="1305"/>
        <v>1.5999999999999999E-5</v>
      </c>
      <c r="ACN62" s="6">
        <f t="shared" si="1305"/>
        <v>1.5999999999999999E-5</v>
      </c>
      <c r="ACO62" s="6">
        <f t="shared" si="1305"/>
        <v>1.5999999999999999E-5</v>
      </c>
      <c r="ACP62" s="6">
        <f t="shared" si="1305"/>
        <v>1.5999999999999999E-5</v>
      </c>
      <c r="ACQ62" s="6">
        <f t="shared" si="1305"/>
        <v>1.5999999999999999E-5</v>
      </c>
      <c r="ACR62" s="6">
        <f t="shared" ref="ACR62:AFC62" si="1306">SUM(ACR63:ACR66)</f>
        <v>1.5999999999999999E-5</v>
      </c>
      <c r="ACS62" s="6">
        <f t="shared" si="1306"/>
        <v>1.5999999999999999E-5</v>
      </c>
      <c r="ACT62" s="6">
        <f t="shared" si="1306"/>
        <v>1.5999999999999999E-5</v>
      </c>
      <c r="ACU62" s="6">
        <f t="shared" si="1306"/>
        <v>1.5999999999999999E-5</v>
      </c>
      <c r="ACV62" s="6">
        <f t="shared" si="1306"/>
        <v>1.5999999999999999E-5</v>
      </c>
      <c r="ACW62" s="6">
        <f t="shared" si="1306"/>
        <v>1.5999999999999999E-5</v>
      </c>
      <c r="ACX62" s="6">
        <f t="shared" si="1306"/>
        <v>1.5999999999999999E-5</v>
      </c>
      <c r="ACY62" s="6">
        <f t="shared" si="1306"/>
        <v>1.5999999999999999E-5</v>
      </c>
      <c r="ACZ62" s="6">
        <f t="shared" si="1306"/>
        <v>1.5999999999999999E-5</v>
      </c>
      <c r="ADA62" s="6">
        <f t="shared" si="1306"/>
        <v>9.6000000000000002E-2</v>
      </c>
      <c r="ADB62" s="6">
        <f t="shared" si="1306"/>
        <v>9.6000000000000002E-2</v>
      </c>
      <c r="ADC62" s="6">
        <f t="shared" si="1306"/>
        <v>9.6000000000000002E-2</v>
      </c>
      <c r="ADD62" s="6">
        <f t="shared" si="1306"/>
        <v>9.6000000000000002E-2</v>
      </c>
      <c r="ADE62" s="6">
        <f t="shared" si="1306"/>
        <v>9.6000000000000002E-2</v>
      </c>
      <c r="ADF62" s="6">
        <f t="shared" si="1306"/>
        <v>9.6000000000000002E-2</v>
      </c>
      <c r="ADG62" s="6">
        <f t="shared" si="1306"/>
        <v>9.6000000000000002E-2</v>
      </c>
      <c r="ADH62" s="6">
        <f t="shared" si="1306"/>
        <v>9.6000000000000002E-2</v>
      </c>
      <c r="ADI62" s="6">
        <f t="shared" si="1306"/>
        <v>9.6000000000000002E-2</v>
      </c>
      <c r="ADJ62" s="6">
        <f t="shared" si="1306"/>
        <v>9.6000000000000002E-2</v>
      </c>
      <c r="ADK62" s="6">
        <f t="shared" si="1306"/>
        <v>9.6000000000000002E-2</v>
      </c>
      <c r="ADL62" s="6">
        <f t="shared" si="1306"/>
        <v>9.6000000000000002E-2</v>
      </c>
      <c r="ADM62" s="6">
        <f t="shared" si="1306"/>
        <v>9.6000000000000002E-2</v>
      </c>
      <c r="ADN62" s="6">
        <f t="shared" si="1306"/>
        <v>9.6000000000000002E-2</v>
      </c>
      <c r="ADO62" s="6">
        <f t="shared" si="1306"/>
        <v>9.6000000000000002E-2</v>
      </c>
      <c r="ADP62" s="6">
        <f t="shared" si="1306"/>
        <v>1.5999999999999999E-5</v>
      </c>
      <c r="ADQ62" s="6">
        <f t="shared" si="1306"/>
        <v>1.5999999999999999E-5</v>
      </c>
      <c r="ADR62" s="6">
        <f t="shared" si="1306"/>
        <v>1.5999999999999999E-5</v>
      </c>
      <c r="ADS62" s="6">
        <f t="shared" si="1306"/>
        <v>1.5999999999999999E-5</v>
      </c>
      <c r="ADT62" s="6">
        <f t="shared" si="1306"/>
        <v>1.5999999999999999E-5</v>
      </c>
      <c r="ADU62" s="6">
        <f t="shared" si="1306"/>
        <v>1.5999999999999999E-5</v>
      </c>
      <c r="ADV62" s="6">
        <f t="shared" si="1306"/>
        <v>1.5999999999999999E-5</v>
      </c>
      <c r="ADW62" s="6">
        <f t="shared" si="1306"/>
        <v>1.5999999999999999E-5</v>
      </c>
      <c r="ADX62" s="6">
        <f t="shared" si="1306"/>
        <v>1.5999999999999999E-5</v>
      </c>
      <c r="ADY62" s="6">
        <f t="shared" si="1306"/>
        <v>1.5999999999999999E-5</v>
      </c>
      <c r="ADZ62" s="6">
        <f t="shared" si="1306"/>
        <v>1.5999999999999999E-5</v>
      </c>
      <c r="AEA62" s="6">
        <f t="shared" si="1306"/>
        <v>1.5999999999999999E-5</v>
      </c>
      <c r="AEB62" s="6">
        <f t="shared" si="1306"/>
        <v>1.5999999999999999E-5</v>
      </c>
      <c r="AEC62" s="6">
        <f t="shared" si="1306"/>
        <v>1.5999999999999999E-5</v>
      </c>
      <c r="AED62" s="6">
        <f t="shared" si="1306"/>
        <v>1.5999999999999999E-5</v>
      </c>
      <c r="AEE62" s="6">
        <f t="shared" si="1306"/>
        <v>1.5999999999999999E-5</v>
      </c>
      <c r="AEF62" s="6">
        <f t="shared" si="1306"/>
        <v>1.5999999999999999E-5</v>
      </c>
      <c r="AEG62" s="6">
        <f t="shared" si="1306"/>
        <v>1.5999999999999999E-5</v>
      </c>
      <c r="AEH62" s="6">
        <f t="shared" si="1306"/>
        <v>1.5999999999999999E-5</v>
      </c>
      <c r="AEI62" s="6">
        <f t="shared" si="1306"/>
        <v>1.5999999999999999E-5</v>
      </c>
      <c r="AEJ62" s="6">
        <f t="shared" si="1306"/>
        <v>1.5999999999999999E-5</v>
      </c>
      <c r="AEK62" s="6">
        <f t="shared" si="1306"/>
        <v>1.5999999999999999E-5</v>
      </c>
      <c r="AEL62" s="6">
        <f t="shared" si="1306"/>
        <v>1.5999999999999999E-5</v>
      </c>
      <c r="AEM62" s="6">
        <f t="shared" si="1306"/>
        <v>1.5999999999999999E-5</v>
      </c>
      <c r="AEN62" s="6">
        <f t="shared" si="1306"/>
        <v>1.5999999999999999E-5</v>
      </c>
      <c r="AEO62" s="6">
        <f t="shared" si="1306"/>
        <v>9.6000000000000002E-2</v>
      </c>
      <c r="AEP62" s="6">
        <f t="shared" si="1306"/>
        <v>9.6000000000000002E-2</v>
      </c>
      <c r="AEQ62" s="6">
        <f t="shared" si="1306"/>
        <v>9.6000000000000002E-2</v>
      </c>
      <c r="AER62" s="6">
        <f t="shared" si="1306"/>
        <v>9.6000000000000002E-2</v>
      </c>
      <c r="AES62" s="6">
        <f t="shared" si="1306"/>
        <v>9.6000000000000002E-2</v>
      </c>
      <c r="AET62" s="6">
        <f t="shared" si="1306"/>
        <v>9.6000000000000002E-2</v>
      </c>
      <c r="AEU62" s="6">
        <f t="shared" si="1306"/>
        <v>9.6000000000000002E-2</v>
      </c>
      <c r="AEV62" s="6">
        <f t="shared" si="1306"/>
        <v>9.6000000000000002E-2</v>
      </c>
      <c r="AEW62" s="6">
        <f t="shared" si="1306"/>
        <v>9.6000000000000002E-2</v>
      </c>
      <c r="AEX62" s="6">
        <f t="shared" si="1306"/>
        <v>9.6000000000000002E-2</v>
      </c>
      <c r="AEY62" s="6">
        <f t="shared" si="1306"/>
        <v>9.6000000000000002E-2</v>
      </c>
      <c r="AEZ62" s="6">
        <f t="shared" si="1306"/>
        <v>9.6000000000000002E-2</v>
      </c>
      <c r="AFA62" s="6">
        <f t="shared" si="1306"/>
        <v>9.6000000000000002E-2</v>
      </c>
      <c r="AFB62" s="6">
        <f t="shared" si="1306"/>
        <v>9.6000000000000002E-2</v>
      </c>
      <c r="AFC62" s="6">
        <f t="shared" si="1306"/>
        <v>9.6000000000000002E-2</v>
      </c>
      <c r="AFD62" s="6">
        <f t="shared" ref="AFD62:AHO62" si="1307">SUM(AFD63:AFD66)</f>
        <v>1.5999999999999999E-5</v>
      </c>
      <c r="AFE62" s="6">
        <f t="shared" si="1307"/>
        <v>1.5999999999999999E-5</v>
      </c>
      <c r="AFF62" s="6">
        <f t="shared" si="1307"/>
        <v>1.5999999999999999E-5</v>
      </c>
      <c r="AFG62" s="6">
        <f t="shared" si="1307"/>
        <v>1.5999999999999999E-5</v>
      </c>
      <c r="AFH62" s="6">
        <f t="shared" si="1307"/>
        <v>0</v>
      </c>
      <c r="AFI62" s="6">
        <f t="shared" si="1307"/>
        <v>0</v>
      </c>
      <c r="AFJ62" s="6">
        <f t="shared" si="1307"/>
        <v>0</v>
      </c>
      <c r="AFK62" s="6">
        <f t="shared" si="1307"/>
        <v>0</v>
      </c>
      <c r="AFL62" s="6">
        <f t="shared" si="1307"/>
        <v>0</v>
      </c>
      <c r="AFM62" s="6">
        <f t="shared" si="1307"/>
        <v>0</v>
      </c>
      <c r="AFN62" s="6">
        <f t="shared" si="1307"/>
        <v>0</v>
      </c>
      <c r="AFO62" s="6">
        <f t="shared" si="1307"/>
        <v>0</v>
      </c>
      <c r="AFP62" s="6">
        <f t="shared" si="1307"/>
        <v>0</v>
      </c>
      <c r="AFQ62" s="6">
        <f t="shared" si="1307"/>
        <v>0</v>
      </c>
      <c r="AFR62" s="6">
        <f t="shared" si="1307"/>
        <v>0</v>
      </c>
      <c r="AFS62" s="6">
        <f t="shared" si="1307"/>
        <v>0</v>
      </c>
      <c r="AFT62" s="6">
        <f t="shared" si="1307"/>
        <v>0</v>
      </c>
      <c r="AFU62" s="6">
        <f t="shared" si="1307"/>
        <v>0</v>
      </c>
      <c r="AFV62" s="6">
        <f t="shared" si="1307"/>
        <v>0</v>
      </c>
      <c r="AFW62" s="6">
        <f t="shared" si="1307"/>
        <v>0</v>
      </c>
      <c r="AFX62" s="6">
        <f t="shared" si="1307"/>
        <v>0</v>
      </c>
      <c r="AFY62" s="6">
        <f t="shared" si="1307"/>
        <v>0</v>
      </c>
      <c r="AFZ62" s="6">
        <f t="shared" si="1307"/>
        <v>0</v>
      </c>
      <c r="AGA62" s="6">
        <f t="shared" si="1307"/>
        <v>0</v>
      </c>
      <c r="AGB62" s="6">
        <f t="shared" si="1307"/>
        <v>0</v>
      </c>
      <c r="AGC62" s="6">
        <f t="shared" si="1307"/>
        <v>0</v>
      </c>
      <c r="AGD62" s="6">
        <f t="shared" si="1307"/>
        <v>0</v>
      </c>
      <c r="AGE62" s="6">
        <f t="shared" si="1307"/>
        <v>0</v>
      </c>
      <c r="AGF62" s="6">
        <f t="shared" si="1307"/>
        <v>0</v>
      </c>
      <c r="AGG62" s="6">
        <f t="shared" si="1307"/>
        <v>0</v>
      </c>
      <c r="AGH62" s="6">
        <f t="shared" si="1307"/>
        <v>0</v>
      </c>
      <c r="AGI62" s="6">
        <f t="shared" si="1307"/>
        <v>0</v>
      </c>
      <c r="AGJ62" s="6">
        <f t="shared" si="1307"/>
        <v>1.5999999999999999E-5</v>
      </c>
      <c r="AGK62" s="6">
        <f t="shared" si="1307"/>
        <v>1.5999999999999999E-5</v>
      </c>
      <c r="AGL62" s="6">
        <f t="shared" si="1307"/>
        <v>1.5999999999999999E-5</v>
      </c>
      <c r="AGM62" s="6">
        <f t="shared" si="1307"/>
        <v>1.5999999999999999E-5</v>
      </c>
      <c r="AGN62" s="6">
        <f t="shared" si="1307"/>
        <v>1.5999999999999999E-5</v>
      </c>
      <c r="AGO62" s="6">
        <f t="shared" si="1307"/>
        <v>1.5999999999999999E-5</v>
      </c>
      <c r="AGP62" s="6">
        <f t="shared" si="1307"/>
        <v>1.5999999999999999E-5</v>
      </c>
      <c r="AGQ62" s="6">
        <f t="shared" si="1307"/>
        <v>1.5999999999999999E-5</v>
      </c>
      <c r="AGR62" s="6">
        <f t="shared" si="1307"/>
        <v>1.5999999999999999E-5</v>
      </c>
      <c r="AGS62" s="6">
        <f t="shared" si="1307"/>
        <v>1.5999999999999999E-5</v>
      </c>
      <c r="AGT62" s="6">
        <f t="shared" si="1307"/>
        <v>1.5999999999999999E-5</v>
      </c>
      <c r="AGU62" s="6">
        <f t="shared" si="1307"/>
        <v>1.5999999999999999E-5</v>
      </c>
      <c r="AGV62" s="6">
        <f t="shared" si="1307"/>
        <v>1.5999999999999999E-5</v>
      </c>
      <c r="AGW62" s="6">
        <f t="shared" si="1307"/>
        <v>1.5999999999999999E-5</v>
      </c>
      <c r="AGX62" s="6">
        <f t="shared" si="1307"/>
        <v>1.5999999999999999E-5</v>
      </c>
      <c r="AGY62" s="6">
        <f t="shared" si="1307"/>
        <v>1.5999999999999999E-5</v>
      </c>
      <c r="AGZ62" s="6">
        <f t="shared" si="1307"/>
        <v>1.5999999999999999E-5</v>
      </c>
      <c r="AHA62" s="6">
        <f t="shared" si="1307"/>
        <v>1.5999999999999999E-5</v>
      </c>
      <c r="AHB62" s="6">
        <f t="shared" si="1307"/>
        <v>1.5999999999999999E-5</v>
      </c>
      <c r="AHC62" s="6">
        <f t="shared" si="1307"/>
        <v>1.5999999999999999E-5</v>
      </c>
      <c r="AHD62" s="6">
        <f t="shared" si="1307"/>
        <v>1.5999999999999999E-5</v>
      </c>
      <c r="AHE62" s="6">
        <f t="shared" si="1307"/>
        <v>1.5999999999999999E-5</v>
      </c>
      <c r="AHF62" s="6">
        <f t="shared" si="1307"/>
        <v>1.5999999999999999E-5</v>
      </c>
      <c r="AHG62" s="6">
        <f t="shared" si="1307"/>
        <v>1.5999999999999999E-5</v>
      </c>
      <c r="AHH62" s="6">
        <f t="shared" si="1307"/>
        <v>1.5999999999999999E-5</v>
      </c>
      <c r="AHI62" s="6">
        <f t="shared" si="1307"/>
        <v>9.6000000000000002E-2</v>
      </c>
      <c r="AHJ62" s="6">
        <f t="shared" si="1307"/>
        <v>9.6000000000000002E-2</v>
      </c>
      <c r="AHK62" s="6">
        <f t="shared" si="1307"/>
        <v>9.6000000000000002E-2</v>
      </c>
      <c r="AHL62" s="6">
        <f t="shared" si="1307"/>
        <v>9.6000000000000002E-2</v>
      </c>
      <c r="AHM62" s="6">
        <f t="shared" si="1307"/>
        <v>9.6000000000000002E-2</v>
      </c>
      <c r="AHN62" s="6">
        <f t="shared" si="1307"/>
        <v>9.6000000000000002E-2</v>
      </c>
      <c r="AHO62" s="6">
        <f t="shared" si="1307"/>
        <v>9.6000000000000002E-2</v>
      </c>
      <c r="AHP62" s="6">
        <f t="shared" ref="AHP62:AKA62" si="1308">SUM(AHP63:AHP66)</f>
        <v>9.6000000000000002E-2</v>
      </c>
      <c r="AHQ62" s="6">
        <f t="shared" si="1308"/>
        <v>9.6000000000000002E-2</v>
      </c>
      <c r="AHR62" s="6">
        <f t="shared" si="1308"/>
        <v>9.6000000000000002E-2</v>
      </c>
      <c r="AHS62" s="6">
        <f t="shared" si="1308"/>
        <v>9.6000000000000002E-2</v>
      </c>
      <c r="AHT62" s="6">
        <f t="shared" si="1308"/>
        <v>9.6000000000000002E-2</v>
      </c>
      <c r="AHU62" s="6">
        <f t="shared" si="1308"/>
        <v>9.6000000000000002E-2</v>
      </c>
      <c r="AHV62" s="6">
        <f t="shared" si="1308"/>
        <v>9.6000000000000002E-2</v>
      </c>
      <c r="AHW62" s="6">
        <f t="shared" si="1308"/>
        <v>9.6000000000000002E-2</v>
      </c>
      <c r="AHX62" s="6">
        <f t="shared" si="1308"/>
        <v>1.5999999999999999E-5</v>
      </c>
      <c r="AHY62" s="6">
        <f t="shared" si="1308"/>
        <v>1.5999999999999999E-5</v>
      </c>
      <c r="AHZ62" s="6">
        <f t="shared" si="1308"/>
        <v>1.5999999999999999E-5</v>
      </c>
      <c r="AIA62" s="6">
        <f t="shared" si="1308"/>
        <v>1.5999999999999999E-5</v>
      </c>
      <c r="AIB62" s="6">
        <f t="shared" si="1308"/>
        <v>1.5999999999999999E-5</v>
      </c>
      <c r="AIC62" s="6">
        <f t="shared" si="1308"/>
        <v>1.5999999999999999E-5</v>
      </c>
      <c r="AID62" s="6">
        <f t="shared" si="1308"/>
        <v>1.5999999999999999E-5</v>
      </c>
      <c r="AIE62" s="6">
        <f t="shared" si="1308"/>
        <v>1.5999999999999999E-5</v>
      </c>
      <c r="AIF62" s="6">
        <f t="shared" si="1308"/>
        <v>1.5999999999999999E-5</v>
      </c>
      <c r="AIG62" s="6">
        <f t="shared" si="1308"/>
        <v>1.5999999999999999E-5</v>
      </c>
      <c r="AIH62" s="6">
        <f t="shared" si="1308"/>
        <v>1.5999999999999999E-5</v>
      </c>
      <c r="AII62" s="6">
        <f t="shared" si="1308"/>
        <v>1.5999999999999999E-5</v>
      </c>
      <c r="AIJ62" s="6">
        <f t="shared" si="1308"/>
        <v>1.5999999999999999E-5</v>
      </c>
      <c r="AIK62" s="6">
        <f t="shared" si="1308"/>
        <v>1.5999999999999999E-5</v>
      </c>
      <c r="AIL62" s="6">
        <f t="shared" si="1308"/>
        <v>1.5999999999999999E-5</v>
      </c>
      <c r="AIM62" s="6">
        <f t="shared" si="1308"/>
        <v>1.5999999999999999E-5</v>
      </c>
      <c r="AIN62" s="6">
        <f t="shared" si="1308"/>
        <v>1.5999999999999999E-5</v>
      </c>
      <c r="AIO62" s="6">
        <f t="shared" si="1308"/>
        <v>9.6000000000000002E-2</v>
      </c>
      <c r="AIP62" s="6">
        <f t="shared" si="1308"/>
        <v>9.6000000000000002E-2</v>
      </c>
      <c r="AIQ62" s="6">
        <f t="shared" si="1308"/>
        <v>9.6000000000000002E-2</v>
      </c>
      <c r="AIR62" s="6">
        <f t="shared" si="1308"/>
        <v>9.6000000000000002E-2</v>
      </c>
      <c r="AIS62" s="6">
        <f t="shared" si="1308"/>
        <v>9.6000000000000002E-2</v>
      </c>
      <c r="AIT62" s="6">
        <f t="shared" si="1308"/>
        <v>9.6000000000000002E-2</v>
      </c>
      <c r="AIU62" s="6">
        <f t="shared" si="1308"/>
        <v>9.6000000000000002E-2</v>
      </c>
      <c r="AIV62" s="6">
        <f t="shared" si="1308"/>
        <v>9.6000000000000002E-2</v>
      </c>
      <c r="AIW62" s="6">
        <f t="shared" si="1308"/>
        <v>9.6000000000000002E-2</v>
      </c>
      <c r="AIX62" s="6">
        <f t="shared" si="1308"/>
        <v>9.6000000000000002E-2</v>
      </c>
      <c r="AIY62" s="6">
        <f t="shared" si="1308"/>
        <v>9.6000000000000002E-2</v>
      </c>
      <c r="AIZ62" s="6">
        <f t="shared" si="1308"/>
        <v>9.6000000000000002E-2</v>
      </c>
      <c r="AJA62" s="6">
        <f t="shared" si="1308"/>
        <v>9.6000000000000002E-2</v>
      </c>
      <c r="AJB62" s="6">
        <f t="shared" si="1308"/>
        <v>9.6000000000000002E-2</v>
      </c>
      <c r="AJC62" s="6">
        <f t="shared" si="1308"/>
        <v>9.6000000000000002E-2</v>
      </c>
      <c r="AJD62" s="6">
        <f t="shared" si="1308"/>
        <v>1.5999999999999999E-5</v>
      </c>
      <c r="AJE62" s="6">
        <f t="shared" si="1308"/>
        <v>1.5999999999999999E-5</v>
      </c>
      <c r="AJF62" s="6">
        <f t="shared" si="1308"/>
        <v>1.5999999999999999E-5</v>
      </c>
      <c r="AJG62" s="6">
        <f t="shared" si="1308"/>
        <v>1.5999999999999999E-5</v>
      </c>
      <c r="AJH62" s="6">
        <f t="shared" si="1308"/>
        <v>1.5999999999999999E-5</v>
      </c>
      <c r="AJI62" s="6">
        <f t="shared" si="1308"/>
        <v>1.5999999999999999E-5</v>
      </c>
      <c r="AJJ62" s="6">
        <f t="shared" si="1308"/>
        <v>1.5999999999999999E-5</v>
      </c>
      <c r="AJK62" s="6">
        <f t="shared" si="1308"/>
        <v>1.5999999999999999E-5</v>
      </c>
      <c r="AJL62" s="6">
        <f t="shared" si="1308"/>
        <v>1.5999999999999999E-5</v>
      </c>
      <c r="AJM62" s="6">
        <f t="shared" si="1308"/>
        <v>1.5999999999999999E-5</v>
      </c>
      <c r="AJN62" s="6">
        <f t="shared" si="1308"/>
        <v>1.5999999999999999E-5</v>
      </c>
      <c r="AJO62" s="6">
        <f t="shared" si="1308"/>
        <v>1.5999999999999999E-5</v>
      </c>
      <c r="AJP62" s="6">
        <f t="shared" si="1308"/>
        <v>1.5999999999999999E-5</v>
      </c>
      <c r="AJQ62" s="6">
        <f t="shared" si="1308"/>
        <v>1.5999999999999999E-5</v>
      </c>
      <c r="AJR62" s="6">
        <f t="shared" si="1308"/>
        <v>1.5999999999999999E-5</v>
      </c>
      <c r="AJS62" s="6">
        <f t="shared" si="1308"/>
        <v>1.5999999999999999E-5</v>
      </c>
      <c r="AJT62" s="6">
        <f t="shared" si="1308"/>
        <v>1.5999999999999999E-5</v>
      </c>
      <c r="AJU62" s="6">
        <f t="shared" si="1308"/>
        <v>1.5999999999999999E-5</v>
      </c>
      <c r="AJV62" s="6">
        <f t="shared" si="1308"/>
        <v>1.5999999999999999E-5</v>
      </c>
      <c r="AJW62" s="6">
        <f t="shared" si="1308"/>
        <v>1.5999999999999999E-5</v>
      </c>
      <c r="AJX62" s="6">
        <f t="shared" si="1308"/>
        <v>1.5999999999999999E-5</v>
      </c>
      <c r="AJY62" s="6">
        <f t="shared" si="1308"/>
        <v>1.5999999999999999E-5</v>
      </c>
      <c r="AJZ62" s="6">
        <f t="shared" si="1308"/>
        <v>1.5999999999999999E-5</v>
      </c>
      <c r="AKA62" s="6">
        <f t="shared" si="1308"/>
        <v>1.5999999999999999E-5</v>
      </c>
      <c r="AKB62" s="6">
        <f t="shared" ref="AKB62:ALW62" si="1309">SUM(AKB63:AKB66)</f>
        <v>1.5999999999999999E-5</v>
      </c>
      <c r="AKC62" s="6">
        <f t="shared" si="1309"/>
        <v>9.6000000000000002E-2</v>
      </c>
      <c r="AKD62" s="6">
        <f t="shared" si="1309"/>
        <v>9.6000000000000002E-2</v>
      </c>
      <c r="AKE62" s="6">
        <f t="shared" si="1309"/>
        <v>9.6000000000000002E-2</v>
      </c>
      <c r="AKF62" s="6">
        <f t="shared" si="1309"/>
        <v>9.6000000000000002E-2</v>
      </c>
      <c r="AKG62" s="6">
        <f t="shared" si="1309"/>
        <v>9.6000000000000002E-2</v>
      </c>
      <c r="AKH62" s="6">
        <f t="shared" si="1309"/>
        <v>9.6000000000000002E-2</v>
      </c>
      <c r="AKI62" s="6">
        <f t="shared" si="1309"/>
        <v>9.6000000000000002E-2</v>
      </c>
      <c r="AKJ62" s="6">
        <f t="shared" si="1309"/>
        <v>9.6000000000000002E-2</v>
      </c>
      <c r="AKK62" s="6">
        <f t="shared" si="1309"/>
        <v>9.6000000000000002E-2</v>
      </c>
      <c r="AKL62" s="6">
        <f t="shared" si="1309"/>
        <v>9.6000000000000002E-2</v>
      </c>
      <c r="AKM62" s="6">
        <f t="shared" si="1309"/>
        <v>9.6000000000000002E-2</v>
      </c>
      <c r="AKN62" s="6">
        <f t="shared" si="1309"/>
        <v>9.6000000000000002E-2</v>
      </c>
      <c r="AKO62" s="6">
        <f t="shared" si="1309"/>
        <v>9.6000000000000002E-2</v>
      </c>
      <c r="AKP62" s="6">
        <f t="shared" si="1309"/>
        <v>9.6000000000000002E-2</v>
      </c>
      <c r="AKQ62" s="6">
        <f t="shared" si="1309"/>
        <v>9.6000000000000002E-2</v>
      </c>
      <c r="AKR62" s="6">
        <f t="shared" si="1309"/>
        <v>1.5999999999999999E-5</v>
      </c>
      <c r="AKS62" s="6">
        <f t="shared" si="1309"/>
        <v>1.5999999999999999E-5</v>
      </c>
      <c r="AKT62" s="6">
        <f t="shared" si="1309"/>
        <v>1.5999999999999999E-5</v>
      </c>
      <c r="AKU62" s="6">
        <f t="shared" si="1309"/>
        <v>1.5999999999999999E-5</v>
      </c>
      <c r="AKV62" s="6">
        <f t="shared" si="1309"/>
        <v>0</v>
      </c>
      <c r="AKW62" s="6">
        <f t="shared" si="1309"/>
        <v>0</v>
      </c>
      <c r="AKX62" s="6">
        <f t="shared" si="1309"/>
        <v>0</v>
      </c>
      <c r="AKY62" s="6">
        <f t="shared" si="1309"/>
        <v>0</v>
      </c>
      <c r="AKZ62" s="6">
        <f t="shared" si="1309"/>
        <v>0</v>
      </c>
      <c r="ALA62" s="6">
        <f t="shared" si="1309"/>
        <v>0</v>
      </c>
      <c r="ALB62" s="6">
        <f t="shared" si="1309"/>
        <v>0</v>
      </c>
      <c r="ALC62" s="6">
        <f t="shared" si="1309"/>
        <v>0</v>
      </c>
      <c r="ALD62" s="6">
        <f t="shared" si="1309"/>
        <v>0</v>
      </c>
      <c r="ALE62" s="6">
        <f t="shared" si="1309"/>
        <v>0</v>
      </c>
      <c r="ALF62" s="6">
        <f t="shared" si="1309"/>
        <v>0</v>
      </c>
      <c r="ALG62" s="6">
        <f t="shared" si="1309"/>
        <v>0</v>
      </c>
      <c r="ALH62" s="6">
        <f t="shared" si="1309"/>
        <v>0</v>
      </c>
      <c r="ALI62" s="6">
        <f t="shared" si="1309"/>
        <v>0</v>
      </c>
      <c r="ALJ62" s="6">
        <f t="shared" si="1309"/>
        <v>0</v>
      </c>
      <c r="ALK62" s="6">
        <f t="shared" si="1309"/>
        <v>0</v>
      </c>
      <c r="ALL62" s="6">
        <f t="shared" si="1309"/>
        <v>0</v>
      </c>
      <c r="ALM62" s="6">
        <f t="shared" si="1309"/>
        <v>0</v>
      </c>
      <c r="ALN62" s="6">
        <f t="shared" si="1309"/>
        <v>0</v>
      </c>
      <c r="ALO62" s="6">
        <f t="shared" si="1309"/>
        <v>0</v>
      </c>
      <c r="ALP62" s="6">
        <f t="shared" si="1309"/>
        <v>0</v>
      </c>
      <c r="ALQ62" s="6">
        <f t="shared" si="1309"/>
        <v>0</v>
      </c>
      <c r="ALR62" s="6">
        <f t="shared" si="1309"/>
        <v>0</v>
      </c>
      <c r="ALS62" s="6">
        <f t="shared" si="1309"/>
        <v>0</v>
      </c>
      <c r="ALT62" s="6">
        <f t="shared" si="1309"/>
        <v>0</v>
      </c>
      <c r="ALU62" s="6">
        <f t="shared" si="1309"/>
        <v>0</v>
      </c>
      <c r="ALV62" s="6">
        <f t="shared" si="1309"/>
        <v>0</v>
      </c>
      <c r="ALW62" s="6">
        <f t="shared" si="1309"/>
        <v>0</v>
      </c>
    </row>
    <row r="63" spans="2:1011" outlineLevel="1" x14ac:dyDescent="0.25">
      <c r="C63" s="5" t="s">
        <v>11</v>
      </c>
      <c r="D63" s="6">
        <f>VLOOKUP(D$26, SCOOP!$G$3:$J$9, 4, FALSE)</f>
        <v>0</v>
      </c>
      <c r="E63" s="6">
        <f>VLOOKUP(E$26, SCOOP!$G$3:$J$9, 4, FALSE)</f>
        <v>0</v>
      </c>
      <c r="F63" s="6">
        <f>VLOOKUP(F$26, SCOOP!$G$3:$J$9, 4, FALSE)</f>
        <v>0</v>
      </c>
      <c r="G63" s="6">
        <f>VLOOKUP(G$26, SCOOP!$G$3:$J$9, 4, FALSE)</f>
        <v>0</v>
      </c>
      <c r="H63" s="6">
        <f>VLOOKUP(H$26, SCOOP!$G$3:$J$9, 4, FALSE)</f>
        <v>0</v>
      </c>
      <c r="I63" s="6">
        <f>VLOOKUP(I$26, SCOOP!$G$3:$J$9, 4, FALSE)</f>
        <v>0</v>
      </c>
      <c r="J63" s="6">
        <f>VLOOKUP(J$26, SCOOP!$G$3:$J$9, 4, FALSE)</f>
        <v>0</v>
      </c>
      <c r="K63" s="6">
        <f>VLOOKUP(K$26, SCOOP!$G$3:$J$9, 4, FALSE)</f>
        <v>0</v>
      </c>
      <c r="L63" s="6">
        <f>VLOOKUP(L$26, SCOOP!$G$3:$J$9, 4, FALSE)</f>
        <v>0</v>
      </c>
      <c r="M63" s="6">
        <f>VLOOKUP(M$26, SCOOP!$G$3:$J$9, 4, FALSE)</f>
        <v>0</v>
      </c>
      <c r="N63" s="6">
        <f>VLOOKUP(N$26, SCOOP!$G$3:$J$9, 4, FALSE)</f>
        <v>0</v>
      </c>
      <c r="O63" s="6">
        <f>VLOOKUP(O$26, SCOOP!$G$3:$J$9, 4, FALSE)</f>
        <v>0</v>
      </c>
      <c r="P63" s="6">
        <f>VLOOKUP(P$26, SCOOP!$G$3:$J$9, 4, FALSE)</f>
        <v>0</v>
      </c>
      <c r="Q63" s="6">
        <f>VLOOKUP(Q$26, SCOOP!$G$3:$J$9, 4, FALSE)</f>
        <v>0</v>
      </c>
      <c r="R63" s="6">
        <f>VLOOKUP(R$26, SCOOP!$G$3:$J$9, 4, FALSE)</f>
        <v>0</v>
      </c>
      <c r="S63" s="6">
        <f>VLOOKUP(S$26, SCOOP!$G$3:$J$9, 4, FALSE)</f>
        <v>0</v>
      </c>
      <c r="T63" s="6">
        <f>VLOOKUP(T$26, SCOOP!$G$3:$J$9, 4, FALSE)</f>
        <v>0</v>
      </c>
      <c r="U63" s="6">
        <f>VLOOKUP(U$26, SCOOP!$G$3:$J$9, 4, FALSE)</f>
        <v>0</v>
      </c>
      <c r="V63" s="6">
        <f>VLOOKUP(V$26, SCOOP!$G$3:$J$9, 4, FALSE)</f>
        <v>0</v>
      </c>
      <c r="W63" s="6">
        <f>VLOOKUP(W$26, SCOOP!$G$3:$J$9, 4, FALSE)</f>
        <v>0</v>
      </c>
      <c r="X63" s="6">
        <f>VLOOKUP(X$26, SCOOP!$G$3:$J$9, 4, FALSE)</f>
        <v>0</v>
      </c>
      <c r="Y63" s="6">
        <f>VLOOKUP(Y$26, SCOOP!$G$3:$J$9, 4, FALSE)</f>
        <v>0</v>
      </c>
      <c r="Z63" s="6">
        <f>VLOOKUP(Z$26, SCOOP!$G$3:$J$9, 4, FALSE)</f>
        <v>0</v>
      </c>
      <c r="AA63" s="6">
        <f>VLOOKUP(AA$26, SCOOP!$G$3:$J$9, 4, FALSE)</f>
        <v>0</v>
      </c>
      <c r="AB63" s="6">
        <f>VLOOKUP(AB$26, SCOOP!$G$3:$J$9, 4, FALSE)</f>
        <v>0</v>
      </c>
      <c r="AC63" s="6">
        <f>VLOOKUP(AC$26, SCOOP!$G$3:$J$9, 4, FALSE)</f>
        <v>0</v>
      </c>
      <c r="AD63" s="6">
        <f>VLOOKUP(AD$26, SCOOP!$G$3:$J$9, 4, FALSE)</f>
        <v>0</v>
      </c>
      <c r="AE63" s="6">
        <f>VLOOKUP(AE$26, SCOOP!$G$3:$J$9, 4, FALSE)</f>
        <v>0</v>
      </c>
      <c r="AF63" s="6">
        <f>VLOOKUP(AF$26, SCOOP!$G$3:$J$9, 4, FALSE)</f>
        <v>0</v>
      </c>
      <c r="AG63" s="6">
        <f>VLOOKUP(AG$26, SCOOP!$G$3:$J$9, 4, FALSE)</f>
        <v>0</v>
      </c>
      <c r="AH63" s="6">
        <f>VLOOKUP(AH$26, SCOOP!$G$3:$J$9, 4, FALSE)</f>
        <v>0</v>
      </c>
      <c r="AI63" s="6">
        <f>VLOOKUP(AI$26, SCOOP!$G$3:$J$9, 4, FALSE)</f>
        <v>0</v>
      </c>
      <c r="AJ63" s="6">
        <f>VLOOKUP(AJ$26, SCOOP!$G$3:$J$9, 4, FALSE)</f>
        <v>0</v>
      </c>
      <c r="AK63" s="6">
        <f>VLOOKUP(AK$26, SCOOP!$G$3:$J$9, 4, FALSE)</f>
        <v>0</v>
      </c>
      <c r="AL63" s="6">
        <f>VLOOKUP(AL$26, SCOOP!$G$3:$J$9, 4, FALSE)</f>
        <v>0</v>
      </c>
      <c r="AM63" s="6">
        <f>VLOOKUP(AM$26, SCOOP!$G$3:$J$9, 4, FALSE)</f>
        <v>0</v>
      </c>
      <c r="AN63" s="6">
        <f>VLOOKUP(AN$26, SCOOP!$G$3:$J$9, 4, FALSE)</f>
        <v>0</v>
      </c>
      <c r="AO63" s="6">
        <f>VLOOKUP(AO$26, SCOOP!$G$3:$J$9, 4, FALSE)</f>
        <v>0</v>
      </c>
      <c r="AP63" s="6">
        <f>VLOOKUP(AP$26, SCOOP!$G$3:$J$9, 4, FALSE)</f>
        <v>0</v>
      </c>
      <c r="AQ63" s="6">
        <f>VLOOKUP(AQ$26, SCOOP!$G$3:$J$9, 4, FALSE)</f>
        <v>0</v>
      </c>
      <c r="AR63" s="6">
        <f>VLOOKUP(AR$26, SCOOP!$G$3:$J$9, 4, FALSE)</f>
        <v>0</v>
      </c>
      <c r="AS63" s="6">
        <f>VLOOKUP(AS$26, SCOOP!$G$3:$J$9, 4, FALSE)</f>
        <v>0</v>
      </c>
      <c r="AT63" s="6">
        <f>VLOOKUP(AT$26, SCOOP!$G$3:$J$9, 4, FALSE)</f>
        <v>0</v>
      </c>
      <c r="AU63" s="6">
        <f>VLOOKUP(AU$26, SCOOP!$G$3:$J$9, 4, FALSE)</f>
        <v>0</v>
      </c>
      <c r="AV63" s="6">
        <f>VLOOKUP(AV$26, SCOOP!$G$3:$J$9, 4, FALSE)</f>
        <v>0</v>
      </c>
      <c r="AW63" s="6">
        <f>VLOOKUP(AW$26, SCOOP!$G$3:$J$9, 4, FALSE)</f>
        <v>0</v>
      </c>
      <c r="AX63" s="6">
        <f>VLOOKUP(AX$26, SCOOP!$G$3:$J$9, 4, FALSE)</f>
        <v>0</v>
      </c>
      <c r="AY63" s="6">
        <f>VLOOKUP(AY$26, SCOOP!$G$3:$J$9, 4, FALSE)</f>
        <v>0</v>
      </c>
      <c r="AZ63" s="6">
        <f>VLOOKUP(AZ$26, SCOOP!$G$3:$J$9, 4, FALSE)</f>
        <v>0</v>
      </c>
      <c r="BA63" s="6">
        <f>VLOOKUP(BA$26, SCOOP!$G$3:$J$9, 4, FALSE)</f>
        <v>0</v>
      </c>
      <c r="BB63" s="6">
        <f>VLOOKUP(BB$26, SCOOP!$G$3:$J$9, 4, FALSE)</f>
        <v>0</v>
      </c>
      <c r="BC63" s="6">
        <f>VLOOKUP(BC$26, SCOOP!$G$3:$J$9, 4, FALSE)</f>
        <v>0</v>
      </c>
      <c r="BD63" s="6">
        <f>VLOOKUP(BD$26, SCOOP!$G$3:$J$9, 4, FALSE)</f>
        <v>0</v>
      </c>
      <c r="BE63" s="6">
        <f>VLOOKUP(BE$26, SCOOP!$G$3:$J$9, 4, FALSE)</f>
        <v>0</v>
      </c>
      <c r="BF63" s="6">
        <f>VLOOKUP(BF$26, SCOOP!$G$3:$J$9, 4, FALSE)</f>
        <v>0</v>
      </c>
      <c r="BG63" s="6">
        <f>VLOOKUP(BG$26, SCOOP!$G$3:$J$9, 4, FALSE)</f>
        <v>0</v>
      </c>
      <c r="BH63" s="6">
        <f>VLOOKUP(BH$26, SCOOP!$G$3:$J$9, 4, FALSE)</f>
        <v>0</v>
      </c>
      <c r="BI63" s="6">
        <f>VLOOKUP(BI$26, SCOOP!$G$3:$J$9, 4, FALSE)</f>
        <v>0</v>
      </c>
      <c r="BJ63" s="6">
        <f>VLOOKUP(BJ$26, SCOOP!$G$3:$J$9, 4, FALSE)</f>
        <v>0</v>
      </c>
      <c r="BK63" s="6">
        <f>VLOOKUP(BK$26, SCOOP!$G$3:$J$9, 4, FALSE)</f>
        <v>0</v>
      </c>
      <c r="BL63" s="6">
        <f>VLOOKUP(BL$26, SCOOP!$G$3:$J$9, 4, FALSE)</f>
        <v>0</v>
      </c>
      <c r="BM63" s="6">
        <f>VLOOKUP(BM$26, SCOOP!$G$3:$J$9, 4, FALSE)</f>
        <v>0</v>
      </c>
      <c r="BN63" s="6">
        <f>VLOOKUP(BN$26, SCOOP!$G$3:$J$9, 4, FALSE)</f>
        <v>0</v>
      </c>
      <c r="BO63" s="6">
        <f>VLOOKUP(BO$26, SCOOP!$G$3:$J$9, 4, FALSE)</f>
        <v>0</v>
      </c>
      <c r="BP63" s="6">
        <f>VLOOKUP(BP$26, SCOOP!$G$3:$J$9, 4, FALSE)</f>
        <v>0</v>
      </c>
      <c r="BQ63" s="6">
        <f>VLOOKUP(BQ$26, SCOOP!$G$3:$J$9, 4, FALSE)</f>
        <v>0</v>
      </c>
      <c r="BR63" s="6">
        <f>VLOOKUP(BR$26, SCOOP!$G$3:$J$9, 4, FALSE)</f>
        <v>0</v>
      </c>
      <c r="BS63" s="6">
        <f>VLOOKUP(BS$26, SCOOP!$G$3:$J$9, 4, FALSE)</f>
        <v>0</v>
      </c>
      <c r="BT63" s="6">
        <f>VLOOKUP(BT$26, SCOOP!$G$3:$J$9, 4, FALSE)</f>
        <v>0</v>
      </c>
      <c r="BU63" s="6">
        <f>VLOOKUP(BU$26, SCOOP!$G$3:$J$9, 4, FALSE)</f>
        <v>0</v>
      </c>
      <c r="BV63" s="6">
        <f>VLOOKUP(BV$26, SCOOP!$G$3:$J$9, 4, FALSE)</f>
        <v>0</v>
      </c>
      <c r="BW63" s="6">
        <f>VLOOKUP(BW$26, SCOOP!$G$3:$J$9, 4, FALSE)</f>
        <v>0</v>
      </c>
      <c r="BX63" s="6">
        <f>VLOOKUP(BX$26, SCOOP!$G$3:$J$9, 4, FALSE)</f>
        <v>0</v>
      </c>
      <c r="BY63" s="6">
        <f>VLOOKUP(BY$26, SCOOP!$G$3:$J$9, 4, FALSE)</f>
        <v>0</v>
      </c>
      <c r="BZ63" s="6">
        <f>VLOOKUP(BZ$26, SCOOP!$G$3:$J$9, 4, FALSE)</f>
        <v>0</v>
      </c>
      <c r="CA63" s="6">
        <f>VLOOKUP(CA$26, SCOOP!$G$3:$J$9, 4, FALSE)</f>
        <v>0</v>
      </c>
      <c r="CB63" s="6">
        <f>VLOOKUP(CB$26, SCOOP!$G$3:$J$9, 4, FALSE)</f>
        <v>0</v>
      </c>
      <c r="CC63" s="6">
        <f>VLOOKUP(CC$26, SCOOP!$G$3:$J$9, 4, FALSE)</f>
        <v>0</v>
      </c>
      <c r="CD63" s="6">
        <f>VLOOKUP(CD$26, SCOOP!$G$3:$J$9, 4, FALSE)</f>
        <v>0</v>
      </c>
      <c r="CE63" s="6">
        <f>VLOOKUP(CE$26, SCOOP!$G$3:$J$9, 4, FALSE)</f>
        <v>0</v>
      </c>
      <c r="CF63" s="6">
        <f>VLOOKUP(CF$26, SCOOP!$G$3:$J$9, 4, FALSE)</f>
        <v>0</v>
      </c>
      <c r="CG63" s="6">
        <f>VLOOKUP(CG$26, SCOOP!$G$3:$J$9, 4, FALSE)</f>
        <v>0</v>
      </c>
      <c r="CH63" s="6">
        <f>VLOOKUP(CH$26, SCOOP!$G$3:$J$9, 4, FALSE)</f>
        <v>0</v>
      </c>
      <c r="CI63" s="6">
        <f>VLOOKUP(CI$26, SCOOP!$G$3:$J$9, 4, FALSE)</f>
        <v>0</v>
      </c>
      <c r="CJ63" s="6">
        <f>VLOOKUP(CJ$26, SCOOP!$G$3:$J$9, 4, FALSE)</f>
        <v>0</v>
      </c>
      <c r="CK63" s="6">
        <f>VLOOKUP(CK$26, SCOOP!$G$3:$J$9, 4, FALSE)</f>
        <v>0</v>
      </c>
      <c r="CL63" s="6">
        <f>VLOOKUP(CL$26, SCOOP!$G$3:$J$9, 4, FALSE)</f>
        <v>0</v>
      </c>
      <c r="CM63" s="6">
        <f>VLOOKUP(CM$26, SCOOP!$G$3:$J$9, 4, FALSE)</f>
        <v>0</v>
      </c>
      <c r="CN63" s="6">
        <f>VLOOKUP(CN$26, SCOOP!$G$3:$J$9, 4, FALSE)</f>
        <v>0</v>
      </c>
      <c r="CO63" s="6">
        <f>VLOOKUP(CO$26, SCOOP!$G$3:$J$9, 4, FALSE)</f>
        <v>0</v>
      </c>
      <c r="CP63" s="6">
        <f>VLOOKUP(CP$26, SCOOP!$G$3:$J$9, 4, FALSE)</f>
        <v>0</v>
      </c>
      <c r="CQ63" s="6">
        <f>VLOOKUP(CQ$26, SCOOP!$G$3:$J$9, 4, FALSE)</f>
        <v>0</v>
      </c>
      <c r="CR63" s="6">
        <f>VLOOKUP(CR$26, SCOOP!$G$3:$J$9, 4, FALSE)</f>
        <v>0</v>
      </c>
      <c r="CS63" s="6">
        <f>VLOOKUP(CS$26, SCOOP!$G$3:$J$9, 4, FALSE)</f>
        <v>0</v>
      </c>
      <c r="CT63" s="6">
        <f>VLOOKUP(CT$26, SCOOP!$G$3:$J$9, 4, FALSE)</f>
        <v>0</v>
      </c>
      <c r="CU63" s="6">
        <f>VLOOKUP(CU$26, SCOOP!$G$3:$J$9, 4, FALSE)</f>
        <v>0</v>
      </c>
      <c r="CV63" s="6">
        <f>VLOOKUP(CV$26, SCOOP!$G$3:$J$9, 4, FALSE)</f>
        <v>0</v>
      </c>
      <c r="CW63" s="6">
        <f>VLOOKUP(CW$26, SCOOP!$G$3:$J$9, 4, FALSE)</f>
        <v>0</v>
      </c>
      <c r="CX63" s="6">
        <f>VLOOKUP(CX$26, SCOOP!$G$3:$J$9, 4, FALSE)</f>
        <v>0</v>
      </c>
      <c r="CY63" s="6">
        <f>VLOOKUP(CY$26, SCOOP!$G$3:$J$9, 4, FALSE)</f>
        <v>0</v>
      </c>
      <c r="CZ63" s="6">
        <f>VLOOKUP(CZ$26, SCOOP!$G$3:$J$9, 4, FALSE)</f>
        <v>0</v>
      </c>
      <c r="DA63" s="6">
        <f>VLOOKUP(DA$26, SCOOP!$G$3:$J$9, 4, FALSE)</f>
        <v>0</v>
      </c>
      <c r="DB63" s="6">
        <f>VLOOKUP(DB$26, SCOOP!$G$3:$J$9, 4, FALSE)</f>
        <v>0</v>
      </c>
      <c r="DC63" s="6">
        <f>VLOOKUP(DC$26, SCOOP!$G$3:$J$9, 4, FALSE)</f>
        <v>0</v>
      </c>
      <c r="DD63" s="6">
        <f>VLOOKUP(DD$26, SCOOP!$G$3:$J$9, 4, FALSE)</f>
        <v>0</v>
      </c>
      <c r="DE63" s="6">
        <f>VLOOKUP(DE$26, SCOOP!$G$3:$J$9, 4, FALSE)</f>
        <v>0</v>
      </c>
      <c r="DF63" s="6">
        <f>VLOOKUP(DF$26, SCOOP!$G$3:$J$9, 4, FALSE)</f>
        <v>0</v>
      </c>
      <c r="DG63" s="6">
        <f>VLOOKUP(DG$26, SCOOP!$G$3:$J$9, 4, FALSE)</f>
        <v>0</v>
      </c>
      <c r="DH63" s="6">
        <f>VLOOKUP(DH$26, SCOOP!$G$3:$J$9, 4, FALSE)</f>
        <v>0</v>
      </c>
      <c r="DI63" s="6">
        <f>VLOOKUP(DI$26, SCOOP!$G$3:$J$9, 4, FALSE)</f>
        <v>0</v>
      </c>
      <c r="DJ63" s="6">
        <f>VLOOKUP(DJ$26, SCOOP!$G$3:$J$9, 4, FALSE)</f>
        <v>0</v>
      </c>
      <c r="DK63" s="6">
        <f>VLOOKUP(DK$26, SCOOP!$G$3:$J$9, 4, FALSE)</f>
        <v>0</v>
      </c>
      <c r="DL63" s="6">
        <f>VLOOKUP(DL$26, SCOOP!$G$3:$J$9, 4, FALSE)</f>
        <v>0</v>
      </c>
      <c r="DM63" s="6">
        <f>VLOOKUP(DM$26, SCOOP!$G$3:$J$9, 4, FALSE)</f>
        <v>0</v>
      </c>
      <c r="DN63" s="6">
        <f>VLOOKUP(DN$26, SCOOP!$G$3:$J$9, 4, FALSE)</f>
        <v>0</v>
      </c>
      <c r="DO63" s="6">
        <f>VLOOKUP(DO$26, SCOOP!$G$3:$J$9, 4, FALSE)</f>
        <v>0</v>
      </c>
      <c r="DP63" s="6">
        <f>VLOOKUP(DP$26, SCOOP!$G$3:$J$9, 4, FALSE)</f>
        <v>0</v>
      </c>
      <c r="DQ63" s="6">
        <f>VLOOKUP(DQ$26, SCOOP!$G$3:$J$9, 4, FALSE)</f>
        <v>0</v>
      </c>
      <c r="DR63" s="6">
        <f>VLOOKUP(DR$26, SCOOP!$G$3:$J$9, 4, FALSE)</f>
        <v>0</v>
      </c>
      <c r="DS63" s="6">
        <f>VLOOKUP(DS$26, SCOOP!$G$3:$J$9, 4, FALSE)</f>
        <v>0</v>
      </c>
      <c r="DT63" s="6">
        <f>VLOOKUP(DT$26, SCOOP!$G$3:$J$9, 4, FALSE)</f>
        <v>0</v>
      </c>
      <c r="DU63" s="6">
        <f>VLOOKUP(DU$26, SCOOP!$G$3:$J$9, 4, FALSE)</f>
        <v>0</v>
      </c>
      <c r="DV63" s="6">
        <f>VLOOKUP(DV$26, SCOOP!$G$3:$J$9, 4, FALSE)</f>
        <v>0</v>
      </c>
      <c r="DW63" s="6">
        <f>VLOOKUP(DW$26, SCOOP!$G$3:$J$9, 4, FALSE)</f>
        <v>0</v>
      </c>
      <c r="DX63" s="6">
        <f>VLOOKUP(DX$26, SCOOP!$G$3:$J$9, 4, FALSE)</f>
        <v>0</v>
      </c>
      <c r="DY63" s="6">
        <f>VLOOKUP(DY$26, SCOOP!$G$3:$J$9, 4, FALSE)</f>
        <v>0</v>
      </c>
      <c r="DZ63" s="6">
        <f>VLOOKUP(DZ$26, SCOOP!$G$3:$J$9, 4, FALSE)</f>
        <v>0</v>
      </c>
      <c r="EA63" s="6">
        <f>VLOOKUP(EA$26, SCOOP!$G$3:$J$9, 4, FALSE)</f>
        <v>0</v>
      </c>
      <c r="EB63" s="6">
        <f>VLOOKUP(EB$26, SCOOP!$G$3:$J$9, 4, FALSE)</f>
        <v>0</v>
      </c>
      <c r="EC63" s="6">
        <f>VLOOKUP(EC$26, SCOOP!$G$3:$J$9, 4, FALSE)</f>
        <v>0</v>
      </c>
      <c r="ED63" s="6">
        <f>VLOOKUP(ED$26, SCOOP!$G$3:$J$9, 4, FALSE)</f>
        <v>0</v>
      </c>
      <c r="EE63" s="6">
        <f>VLOOKUP(EE$26, SCOOP!$G$3:$J$9, 4, FALSE)</f>
        <v>0</v>
      </c>
      <c r="EF63" s="6">
        <f>VLOOKUP(EF$26, SCOOP!$G$3:$J$9, 4, FALSE)</f>
        <v>0</v>
      </c>
      <c r="EG63" s="6">
        <f>VLOOKUP(EG$26, SCOOP!$G$3:$J$9, 4, FALSE)</f>
        <v>0</v>
      </c>
      <c r="EH63" s="6">
        <f>VLOOKUP(EH$26, SCOOP!$G$3:$J$9, 4, FALSE)</f>
        <v>0</v>
      </c>
      <c r="EI63" s="6">
        <f>VLOOKUP(EI$26, SCOOP!$G$3:$J$9, 4, FALSE)</f>
        <v>0</v>
      </c>
      <c r="EJ63" s="6">
        <f>VLOOKUP(EJ$26, SCOOP!$G$3:$J$9, 4, FALSE)</f>
        <v>0</v>
      </c>
      <c r="EK63" s="6">
        <f>VLOOKUP(EK$26, SCOOP!$G$3:$J$9, 4, FALSE)</f>
        <v>0</v>
      </c>
      <c r="EL63" s="6">
        <f>VLOOKUP(EL$26, SCOOP!$G$3:$J$9, 4, FALSE)</f>
        <v>0</v>
      </c>
      <c r="EM63" s="6">
        <f>VLOOKUP(EM$26, SCOOP!$G$3:$J$9, 4, FALSE)</f>
        <v>0</v>
      </c>
      <c r="EN63" s="6">
        <f>VLOOKUP(EN$26, SCOOP!$G$3:$J$9, 4, FALSE)</f>
        <v>0</v>
      </c>
      <c r="EO63" s="6">
        <f>VLOOKUP(EO$26, SCOOP!$G$3:$J$9, 4, FALSE)</f>
        <v>0</v>
      </c>
      <c r="EP63" s="6">
        <f>VLOOKUP(EP$26, SCOOP!$G$3:$J$9, 4, FALSE)</f>
        <v>0</v>
      </c>
      <c r="EQ63" s="6">
        <f>VLOOKUP(EQ$26, SCOOP!$G$3:$J$9, 4, FALSE)</f>
        <v>0</v>
      </c>
      <c r="ER63" s="6">
        <f>VLOOKUP(ER$26, SCOOP!$G$3:$J$9, 4, FALSE)</f>
        <v>0</v>
      </c>
      <c r="ES63" s="6">
        <f>VLOOKUP(ES$26, SCOOP!$G$3:$J$9, 4, FALSE)</f>
        <v>0</v>
      </c>
      <c r="ET63" s="6">
        <f>VLOOKUP(ET$26, SCOOP!$G$3:$J$9, 4, FALSE)</f>
        <v>0</v>
      </c>
      <c r="EU63" s="6">
        <f>VLOOKUP(EU$26, SCOOP!$G$3:$J$9, 4, FALSE)</f>
        <v>0</v>
      </c>
      <c r="EV63" s="6">
        <f>VLOOKUP(EV$26, SCOOP!$G$3:$J$9, 4, FALSE)</f>
        <v>0</v>
      </c>
      <c r="EW63" s="6">
        <f>VLOOKUP(EW$26, SCOOP!$G$3:$J$9, 4, FALSE)</f>
        <v>0</v>
      </c>
      <c r="EX63" s="6">
        <f>VLOOKUP(EX$26, SCOOP!$G$3:$J$9, 4, FALSE)</f>
        <v>0</v>
      </c>
      <c r="EY63" s="6">
        <f>VLOOKUP(EY$26, SCOOP!$G$3:$J$9, 4, FALSE)</f>
        <v>0</v>
      </c>
      <c r="EZ63" s="6">
        <f>VLOOKUP(EZ$26, SCOOP!$G$3:$J$9, 4, FALSE)</f>
        <v>0</v>
      </c>
      <c r="FA63" s="6">
        <f>VLOOKUP(FA$26, SCOOP!$G$3:$J$9, 4, FALSE)</f>
        <v>0</v>
      </c>
      <c r="FB63" s="6">
        <f>VLOOKUP(FB$26, SCOOP!$G$3:$J$9, 4, FALSE)</f>
        <v>0</v>
      </c>
      <c r="FC63" s="6">
        <f>VLOOKUP(FC$26, SCOOP!$G$3:$J$9, 4, FALSE)</f>
        <v>0</v>
      </c>
      <c r="FD63" s="6">
        <f>VLOOKUP(FD$26, SCOOP!$G$3:$J$9, 4, FALSE)</f>
        <v>0</v>
      </c>
      <c r="FE63" s="6">
        <f>VLOOKUP(FE$26, SCOOP!$G$3:$J$9, 4, FALSE)</f>
        <v>0</v>
      </c>
      <c r="FF63" s="6">
        <f>VLOOKUP(FF$26, SCOOP!$G$3:$J$9, 4, FALSE)</f>
        <v>0</v>
      </c>
      <c r="FG63" s="6">
        <f>VLOOKUP(FG$26, SCOOP!$G$3:$J$9, 4, FALSE)</f>
        <v>0</v>
      </c>
      <c r="FH63" s="6">
        <f>VLOOKUP(FH$26, SCOOP!$G$3:$J$9, 4, FALSE)</f>
        <v>0</v>
      </c>
      <c r="FI63" s="6">
        <f>VLOOKUP(FI$26, SCOOP!$G$3:$J$9, 4, FALSE)</f>
        <v>0</v>
      </c>
      <c r="FJ63" s="6">
        <f>VLOOKUP(FJ$26, SCOOP!$G$3:$J$9, 4, FALSE)</f>
        <v>0</v>
      </c>
      <c r="FK63" s="6">
        <f>VLOOKUP(FK$26, SCOOP!$G$3:$J$9, 4, FALSE)</f>
        <v>0</v>
      </c>
      <c r="FL63" s="6">
        <f>VLOOKUP(FL$26, SCOOP!$G$3:$J$9, 4, FALSE)</f>
        <v>0</v>
      </c>
      <c r="FM63" s="6">
        <f>VLOOKUP(FM$26, SCOOP!$G$3:$J$9, 4, FALSE)</f>
        <v>0</v>
      </c>
      <c r="FN63" s="6">
        <f>VLOOKUP(FN$26, SCOOP!$G$3:$J$9, 4, FALSE)</f>
        <v>0</v>
      </c>
      <c r="FO63" s="6">
        <f>VLOOKUP(FO$26, SCOOP!$G$3:$J$9, 4, FALSE)</f>
        <v>0</v>
      </c>
      <c r="FP63" s="6">
        <f>VLOOKUP(FP$26, SCOOP!$G$3:$J$9, 4, FALSE)</f>
        <v>0</v>
      </c>
      <c r="FQ63" s="6">
        <f>VLOOKUP(FQ$26, SCOOP!$G$3:$J$9, 4, FALSE)</f>
        <v>0</v>
      </c>
      <c r="FR63" s="6">
        <f>VLOOKUP(FR$26, SCOOP!$G$3:$J$9, 4, FALSE)</f>
        <v>0</v>
      </c>
      <c r="FS63" s="6">
        <f>VLOOKUP(FS$26, SCOOP!$G$3:$J$9, 4, FALSE)</f>
        <v>0</v>
      </c>
      <c r="FT63" s="6">
        <f>VLOOKUP(FT$26, SCOOP!$G$3:$J$9, 4, FALSE)</f>
        <v>0</v>
      </c>
      <c r="FU63" s="6">
        <f>VLOOKUP(FU$26, SCOOP!$G$3:$J$9, 4, FALSE)</f>
        <v>0</v>
      </c>
      <c r="FV63" s="6">
        <f>VLOOKUP(FV$26, SCOOP!$G$3:$J$9, 4, FALSE)</f>
        <v>0</v>
      </c>
      <c r="FW63" s="6">
        <f>VLOOKUP(FW$26, SCOOP!$G$3:$J$9, 4, FALSE)</f>
        <v>0</v>
      </c>
      <c r="FX63" s="6">
        <f>VLOOKUP(FX$26, SCOOP!$G$3:$J$9, 4, FALSE)</f>
        <v>0</v>
      </c>
      <c r="FY63" s="6">
        <f>VLOOKUP(FY$26, SCOOP!$G$3:$J$9, 4, FALSE)</f>
        <v>0</v>
      </c>
      <c r="FZ63" s="6">
        <f>VLOOKUP(FZ$26, SCOOP!$G$3:$J$9, 4, FALSE)</f>
        <v>0</v>
      </c>
      <c r="GA63" s="6">
        <f>VLOOKUP(GA$26, SCOOP!$G$3:$J$9, 4, FALSE)</f>
        <v>0</v>
      </c>
      <c r="GB63" s="6">
        <f>VLOOKUP(GB$26, SCOOP!$G$3:$J$9, 4, FALSE)</f>
        <v>0</v>
      </c>
      <c r="GC63" s="6">
        <f>VLOOKUP(GC$26, SCOOP!$G$3:$J$9, 4, FALSE)</f>
        <v>0</v>
      </c>
      <c r="GD63" s="6">
        <f>VLOOKUP(GD$26, SCOOP!$G$3:$J$9, 4, FALSE)</f>
        <v>0</v>
      </c>
      <c r="GE63" s="6">
        <f>VLOOKUP(GE$26, SCOOP!$G$3:$J$9, 4, FALSE)</f>
        <v>0</v>
      </c>
      <c r="GF63" s="6">
        <f>VLOOKUP(GF$26, SCOOP!$G$3:$J$9, 4, FALSE)</f>
        <v>0</v>
      </c>
      <c r="GG63" s="6">
        <f>VLOOKUP(GG$26, SCOOP!$G$3:$J$9, 4, FALSE)</f>
        <v>0</v>
      </c>
      <c r="GH63" s="6">
        <f>VLOOKUP(GH$26, SCOOP!$G$3:$J$9, 4, FALSE)</f>
        <v>0</v>
      </c>
      <c r="GI63" s="6">
        <f>VLOOKUP(GI$26, SCOOP!$G$3:$J$9, 4, FALSE)</f>
        <v>0</v>
      </c>
      <c r="GJ63" s="6">
        <f>VLOOKUP(GJ$26, SCOOP!$G$3:$J$9, 4, FALSE)</f>
        <v>0</v>
      </c>
      <c r="GK63" s="6">
        <f>VLOOKUP(GK$26, SCOOP!$G$3:$J$9, 4, FALSE)</f>
        <v>0</v>
      </c>
      <c r="GL63" s="6">
        <f>VLOOKUP(GL$26, SCOOP!$G$3:$J$9, 4, FALSE)</f>
        <v>0</v>
      </c>
      <c r="GM63" s="6">
        <f>VLOOKUP(GM$26, SCOOP!$G$3:$J$9, 4, FALSE)</f>
        <v>0</v>
      </c>
      <c r="GN63" s="6">
        <f>VLOOKUP(GN$26, SCOOP!$G$3:$J$9, 4, FALSE)</f>
        <v>0</v>
      </c>
      <c r="GO63" s="6">
        <f>VLOOKUP(GO$26, SCOOP!$G$3:$J$9, 4, FALSE)</f>
        <v>0</v>
      </c>
      <c r="GP63" s="6">
        <f>VLOOKUP(GP$26, SCOOP!$G$3:$J$9, 4, FALSE)</f>
        <v>0</v>
      </c>
      <c r="GQ63" s="6">
        <f>VLOOKUP(GQ$26, SCOOP!$G$3:$J$9, 4, FALSE)</f>
        <v>0</v>
      </c>
      <c r="GR63" s="6">
        <f>VLOOKUP(GR$26, SCOOP!$G$3:$J$9, 4, FALSE)</f>
        <v>0</v>
      </c>
      <c r="GS63" s="6">
        <f>VLOOKUP(GS$26, SCOOP!$G$3:$J$9, 4, FALSE)</f>
        <v>0</v>
      </c>
      <c r="GT63" s="6">
        <f>VLOOKUP(GT$26, SCOOP!$G$3:$J$9, 4, FALSE)</f>
        <v>0</v>
      </c>
      <c r="GU63" s="6">
        <f>VLOOKUP(GU$26, SCOOP!$G$3:$J$9, 4, FALSE)</f>
        <v>0</v>
      </c>
      <c r="GV63" s="6">
        <f>VLOOKUP(GV$26, SCOOP!$G$3:$J$9, 4, FALSE)</f>
        <v>0</v>
      </c>
      <c r="GW63" s="6">
        <f>VLOOKUP(GW$26, SCOOP!$G$3:$J$9, 4, FALSE)</f>
        <v>0</v>
      </c>
      <c r="GX63" s="6">
        <f>VLOOKUP(GX$26, SCOOP!$G$3:$J$9, 4, FALSE)</f>
        <v>0</v>
      </c>
      <c r="GY63" s="6">
        <f>VLOOKUP(GY$26, SCOOP!$G$3:$J$9, 4, FALSE)</f>
        <v>0</v>
      </c>
      <c r="GZ63" s="6">
        <f>VLOOKUP(GZ$26, SCOOP!$G$3:$J$9, 4, FALSE)</f>
        <v>0</v>
      </c>
      <c r="HA63" s="6">
        <f>VLOOKUP(HA$26, SCOOP!$G$3:$J$9, 4, FALSE)</f>
        <v>0</v>
      </c>
      <c r="HB63" s="6">
        <f>VLOOKUP(HB$26, SCOOP!$G$3:$J$9, 4, FALSE)</f>
        <v>0</v>
      </c>
      <c r="HC63" s="6">
        <f>VLOOKUP(HC$26, SCOOP!$G$3:$J$9, 4, FALSE)</f>
        <v>0</v>
      </c>
      <c r="HD63" s="6">
        <f>VLOOKUP(HD$26, SCOOP!$G$3:$J$9, 4, FALSE)</f>
        <v>0</v>
      </c>
      <c r="HE63" s="6">
        <f>VLOOKUP(HE$26, SCOOP!$G$3:$J$9, 4, FALSE)</f>
        <v>0</v>
      </c>
      <c r="HF63" s="6">
        <f>VLOOKUP(HF$26, SCOOP!$G$3:$J$9, 4, FALSE)</f>
        <v>0</v>
      </c>
      <c r="HG63" s="6">
        <f>VLOOKUP(HG$26, SCOOP!$G$3:$J$9, 4, FALSE)</f>
        <v>0</v>
      </c>
      <c r="HH63" s="6">
        <f>VLOOKUP(HH$26, SCOOP!$G$3:$J$9, 4, FALSE)</f>
        <v>0</v>
      </c>
      <c r="HI63" s="6">
        <f>VLOOKUP(HI$26, SCOOP!$G$3:$J$9, 4, FALSE)</f>
        <v>0</v>
      </c>
      <c r="HJ63" s="6">
        <f>VLOOKUP(HJ$26, SCOOP!$G$3:$J$9, 4, FALSE)</f>
        <v>0</v>
      </c>
      <c r="HK63" s="6">
        <f>VLOOKUP(HK$26, SCOOP!$G$3:$J$9, 4, FALSE)</f>
        <v>0</v>
      </c>
      <c r="HL63" s="6">
        <f>VLOOKUP(HL$26, SCOOP!$G$3:$J$9, 4, FALSE)</f>
        <v>0</v>
      </c>
      <c r="HM63" s="6">
        <f>VLOOKUP(HM$26, SCOOP!$G$3:$J$9, 4, FALSE)</f>
        <v>0</v>
      </c>
      <c r="HN63" s="6">
        <f>VLOOKUP(HN$26, SCOOP!$G$3:$J$9, 4, FALSE)</f>
        <v>0</v>
      </c>
      <c r="HO63" s="6">
        <f>VLOOKUP(HO$26, SCOOP!$G$3:$J$9, 4, FALSE)</f>
        <v>0</v>
      </c>
      <c r="HP63" s="6">
        <f>VLOOKUP(HP$26, SCOOP!$G$3:$J$9, 4, FALSE)</f>
        <v>0</v>
      </c>
      <c r="HQ63" s="6">
        <f>VLOOKUP(HQ$26, SCOOP!$G$3:$J$9, 4, FALSE)</f>
        <v>0</v>
      </c>
      <c r="HR63" s="6">
        <f>VLOOKUP(HR$26, SCOOP!$G$3:$J$9, 4, FALSE)</f>
        <v>0</v>
      </c>
      <c r="HS63" s="6">
        <f>VLOOKUP(HS$26, SCOOP!$G$3:$J$9, 4, FALSE)</f>
        <v>0</v>
      </c>
      <c r="HT63" s="6">
        <f>VLOOKUP(HT$26, SCOOP!$G$3:$J$9, 4, FALSE)</f>
        <v>0</v>
      </c>
      <c r="HU63" s="6">
        <f>VLOOKUP(HU$26, SCOOP!$G$3:$J$9, 4, FALSE)</f>
        <v>0</v>
      </c>
      <c r="HV63" s="6">
        <f>VLOOKUP(HV$26, SCOOP!$G$3:$J$9, 4, FALSE)</f>
        <v>0</v>
      </c>
      <c r="HW63" s="6">
        <f>VLOOKUP(HW$26, SCOOP!$G$3:$J$9, 4, FALSE)</f>
        <v>0</v>
      </c>
      <c r="HX63" s="6">
        <f>VLOOKUP(HX$26, SCOOP!$G$3:$J$9, 4, FALSE)</f>
        <v>0</v>
      </c>
      <c r="HY63" s="6">
        <f>VLOOKUP(HY$26, SCOOP!$G$3:$J$9, 4, FALSE)</f>
        <v>0</v>
      </c>
      <c r="HZ63" s="6">
        <f>VLOOKUP(HZ$26, SCOOP!$G$3:$J$9, 4, FALSE)</f>
        <v>0</v>
      </c>
      <c r="IA63" s="6">
        <f>VLOOKUP(IA$26, SCOOP!$G$3:$J$9, 4, FALSE)</f>
        <v>0</v>
      </c>
      <c r="IB63" s="6">
        <f>VLOOKUP(IB$26, SCOOP!$G$3:$J$9, 4, FALSE)</f>
        <v>0</v>
      </c>
      <c r="IC63" s="6">
        <f>VLOOKUP(IC$26, SCOOP!$G$3:$J$9, 4, FALSE)</f>
        <v>0</v>
      </c>
      <c r="ID63" s="6">
        <f>VLOOKUP(ID$26, SCOOP!$G$3:$J$9, 4, FALSE)</f>
        <v>0</v>
      </c>
      <c r="IE63" s="6">
        <f>VLOOKUP(IE$26, SCOOP!$G$3:$J$9, 4, FALSE)</f>
        <v>0</v>
      </c>
      <c r="IF63" s="6">
        <f>VLOOKUP(IF$26, SCOOP!$G$3:$J$9, 4, FALSE)</f>
        <v>0</v>
      </c>
      <c r="IG63" s="6">
        <f>VLOOKUP(IG$26, SCOOP!$G$3:$J$9, 4, FALSE)</f>
        <v>0</v>
      </c>
      <c r="IH63" s="6">
        <f>VLOOKUP(IH$26, SCOOP!$G$3:$J$9, 4, FALSE)</f>
        <v>0</v>
      </c>
      <c r="II63" s="6">
        <f>VLOOKUP(II$26, SCOOP!$G$3:$J$9, 4, FALSE)</f>
        <v>0</v>
      </c>
      <c r="IJ63" s="6">
        <f>VLOOKUP(IJ$26, SCOOP!$G$3:$J$9, 4, FALSE)</f>
        <v>0</v>
      </c>
      <c r="IK63" s="6">
        <f>VLOOKUP(IK$26, SCOOP!$G$3:$J$9, 4, FALSE)</f>
        <v>0</v>
      </c>
      <c r="IL63" s="6">
        <f>VLOOKUP(IL$26, SCOOP!$G$3:$J$9, 4, FALSE)</f>
        <v>0</v>
      </c>
      <c r="IM63" s="6">
        <f>VLOOKUP(IM$26, SCOOP!$G$3:$J$9, 4, FALSE)</f>
        <v>0</v>
      </c>
      <c r="IN63" s="6">
        <f>VLOOKUP(IN$26, SCOOP!$G$3:$J$9, 4, FALSE)</f>
        <v>0</v>
      </c>
      <c r="IO63" s="6">
        <f>VLOOKUP(IO$26, SCOOP!$G$3:$J$9, 4, FALSE)</f>
        <v>0</v>
      </c>
      <c r="IP63" s="6">
        <f>VLOOKUP(IP$26, SCOOP!$G$3:$J$9, 4, FALSE)</f>
        <v>0</v>
      </c>
      <c r="IQ63" s="6">
        <f>VLOOKUP(IQ$26, SCOOP!$G$3:$J$9, 4, FALSE)</f>
        <v>0</v>
      </c>
      <c r="IR63" s="6">
        <f>VLOOKUP(IR$26, SCOOP!$G$3:$J$9, 4, FALSE)</f>
        <v>0</v>
      </c>
      <c r="IS63" s="6">
        <f>VLOOKUP(IS$26, SCOOP!$G$3:$J$9, 4, FALSE)</f>
        <v>0</v>
      </c>
      <c r="IT63" s="6">
        <f>VLOOKUP(IT$26, SCOOP!$G$3:$J$9, 4, FALSE)</f>
        <v>0</v>
      </c>
      <c r="IU63" s="6">
        <f>VLOOKUP(IU$26, SCOOP!$G$3:$J$9, 4, FALSE)</f>
        <v>0</v>
      </c>
      <c r="IV63" s="6">
        <f>VLOOKUP(IV$26, SCOOP!$G$3:$J$9, 4, FALSE)</f>
        <v>0</v>
      </c>
      <c r="IW63" s="6">
        <f>VLOOKUP(IW$26, SCOOP!$G$3:$J$9, 4, FALSE)</f>
        <v>0</v>
      </c>
      <c r="IX63" s="6">
        <f>VLOOKUP(IX$26, SCOOP!$G$3:$J$9, 4, FALSE)</f>
        <v>0</v>
      </c>
      <c r="IY63" s="6">
        <f>VLOOKUP(IY$26, SCOOP!$G$3:$J$9, 4, FALSE)</f>
        <v>0</v>
      </c>
      <c r="IZ63" s="6">
        <f>VLOOKUP(IZ$26, SCOOP!$G$3:$J$9, 4, FALSE)</f>
        <v>0</v>
      </c>
      <c r="JA63" s="6">
        <f>VLOOKUP(JA$26, SCOOP!$G$3:$J$9, 4, FALSE)</f>
        <v>0</v>
      </c>
      <c r="JB63" s="6">
        <f>VLOOKUP(JB$26, SCOOP!$G$3:$J$9, 4, FALSE)</f>
        <v>0</v>
      </c>
      <c r="JC63" s="6">
        <f>VLOOKUP(JC$26, SCOOP!$G$3:$J$9, 4, FALSE)</f>
        <v>0</v>
      </c>
      <c r="JD63" s="6">
        <f>VLOOKUP(JD$26, SCOOP!$G$3:$J$9, 4, FALSE)</f>
        <v>0</v>
      </c>
      <c r="JE63" s="6">
        <f>VLOOKUP(JE$26, SCOOP!$G$3:$J$9, 4, FALSE)</f>
        <v>0</v>
      </c>
      <c r="JF63" s="6">
        <f>VLOOKUP(JF$26, SCOOP!$G$3:$J$9, 4, FALSE)</f>
        <v>0</v>
      </c>
      <c r="JG63" s="6">
        <f>VLOOKUP(JG$26, SCOOP!$G$3:$J$9, 4, FALSE)</f>
        <v>0</v>
      </c>
      <c r="JH63" s="6">
        <f>VLOOKUP(JH$26, SCOOP!$G$3:$J$9, 4, FALSE)</f>
        <v>0</v>
      </c>
      <c r="JI63" s="6">
        <f>VLOOKUP(JI$26, SCOOP!$G$3:$J$9, 4, FALSE)</f>
        <v>0</v>
      </c>
      <c r="JJ63" s="6">
        <f>VLOOKUP(JJ$26, SCOOP!$G$3:$J$9, 4, FALSE)</f>
        <v>0</v>
      </c>
      <c r="JK63" s="6">
        <f>VLOOKUP(JK$26, SCOOP!$G$3:$J$9, 4, FALSE)</f>
        <v>0</v>
      </c>
      <c r="JL63" s="6">
        <f>VLOOKUP(JL$26, SCOOP!$G$3:$J$9, 4, FALSE)</f>
        <v>0</v>
      </c>
      <c r="JM63" s="6">
        <f>VLOOKUP(JM$26, SCOOP!$G$3:$J$9, 4, FALSE)</f>
        <v>0</v>
      </c>
      <c r="JN63" s="6">
        <f>VLOOKUP(JN$26, SCOOP!$G$3:$J$9, 4, FALSE)</f>
        <v>0</v>
      </c>
      <c r="JO63" s="6">
        <f>VLOOKUP(JO$26, SCOOP!$G$3:$J$9, 4, FALSE)</f>
        <v>0</v>
      </c>
      <c r="JP63" s="6">
        <f>VLOOKUP(JP$26, SCOOP!$G$3:$J$9, 4, FALSE)</f>
        <v>0</v>
      </c>
      <c r="JQ63" s="6">
        <f>VLOOKUP(JQ$26, SCOOP!$G$3:$J$9, 4, FALSE)</f>
        <v>0</v>
      </c>
      <c r="JR63" s="6">
        <f>VLOOKUP(JR$26, SCOOP!$G$3:$J$9, 4, FALSE)</f>
        <v>0</v>
      </c>
      <c r="JS63" s="6">
        <f>VLOOKUP(JS$26, SCOOP!$G$3:$J$9, 4, FALSE)</f>
        <v>0</v>
      </c>
      <c r="JT63" s="6">
        <f>VLOOKUP(JT$26, SCOOP!$G$3:$J$9, 4, FALSE)</f>
        <v>0</v>
      </c>
      <c r="JU63" s="6">
        <f>VLOOKUP(JU$26, SCOOP!$G$3:$J$9, 4, FALSE)</f>
        <v>0</v>
      </c>
      <c r="JV63" s="6">
        <f>VLOOKUP(JV$26, SCOOP!$G$3:$J$9, 4, FALSE)</f>
        <v>0</v>
      </c>
      <c r="JW63" s="6">
        <f>VLOOKUP(JW$26, SCOOP!$G$3:$J$9, 4, FALSE)</f>
        <v>0</v>
      </c>
      <c r="JX63" s="6">
        <f>VLOOKUP(JX$26, SCOOP!$G$3:$J$9, 4, FALSE)</f>
        <v>0</v>
      </c>
      <c r="JY63" s="6">
        <f>VLOOKUP(JY$26, SCOOP!$G$3:$J$9, 4, FALSE)</f>
        <v>0</v>
      </c>
      <c r="JZ63" s="6">
        <f>VLOOKUP(JZ$26, SCOOP!$G$3:$J$9, 4, FALSE)</f>
        <v>0</v>
      </c>
      <c r="KA63" s="6">
        <f>VLOOKUP(KA$26, SCOOP!$G$3:$J$9, 4, FALSE)</f>
        <v>0</v>
      </c>
      <c r="KB63" s="6">
        <f>VLOOKUP(KB$26, SCOOP!$G$3:$J$9, 4, FALSE)</f>
        <v>0</v>
      </c>
      <c r="KC63" s="6">
        <f>VLOOKUP(KC$26, SCOOP!$G$3:$J$9, 4, FALSE)</f>
        <v>0</v>
      </c>
      <c r="KD63" s="6">
        <f>VLOOKUP(KD$26, SCOOP!$G$3:$J$9, 4, FALSE)</f>
        <v>0</v>
      </c>
      <c r="KE63" s="6">
        <f>VLOOKUP(KE$26, SCOOP!$G$3:$J$9, 4, FALSE)</f>
        <v>0</v>
      </c>
      <c r="KF63" s="6">
        <f>VLOOKUP(KF$26, SCOOP!$G$3:$J$9, 4, FALSE)</f>
        <v>0</v>
      </c>
      <c r="KG63" s="6">
        <f>VLOOKUP(KG$26, SCOOP!$G$3:$J$9, 4, FALSE)</f>
        <v>0</v>
      </c>
      <c r="KH63" s="6">
        <f>VLOOKUP(KH$26, SCOOP!$G$3:$J$9, 4, FALSE)</f>
        <v>0</v>
      </c>
      <c r="KI63" s="6">
        <f>VLOOKUP(KI$26, SCOOP!$G$3:$J$9, 4, FALSE)</f>
        <v>0</v>
      </c>
      <c r="KJ63" s="6">
        <f>VLOOKUP(KJ$26, SCOOP!$G$3:$J$9, 4, FALSE)</f>
        <v>0</v>
      </c>
      <c r="KK63" s="6">
        <f>VLOOKUP(KK$26, SCOOP!$G$3:$J$9, 4, FALSE)</f>
        <v>0</v>
      </c>
      <c r="KL63" s="6">
        <f>VLOOKUP(KL$26, SCOOP!$G$3:$J$9, 4, FALSE)</f>
        <v>0</v>
      </c>
      <c r="KM63" s="6">
        <f>VLOOKUP(KM$26, SCOOP!$G$3:$J$9, 4, FALSE)</f>
        <v>0</v>
      </c>
      <c r="KN63" s="6">
        <f>VLOOKUP(KN$26, SCOOP!$G$3:$J$9, 4, FALSE)</f>
        <v>0</v>
      </c>
      <c r="KO63" s="6">
        <f>VLOOKUP(KO$26, SCOOP!$G$3:$J$9, 4, FALSE)</f>
        <v>0</v>
      </c>
      <c r="KP63" s="6">
        <f>VLOOKUP(KP$26, SCOOP!$G$3:$J$9, 4, FALSE)</f>
        <v>0</v>
      </c>
      <c r="KQ63" s="6">
        <f>VLOOKUP(KQ$26, SCOOP!$G$3:$J$9, 4, FALSE)</f>
        <v>0</v>
      </c>
      <c r="KR63" s="6">
        <f>VLOOKUP(KR$26, SCOOP!$G$3:$J$9, 4, FALSE)</f>
        <v>0</v>
      </c>
      <c r="KS63" s="6">
        <f>VLOOKUP(KS$26, SCOOP!$G$3:$J$9, 4, FALSE)</f>
        <v>0</v>
      </c>
      <c r="KT63" s="6">
        <f>VLOOKUP(KT$26, SCOOP!$G$3:$J$9, 4, FALSE)</f>
        <v>0</v>
      </c>
      <c r="KU63" s="6">
        <f>VLOOKUP(KU$26, SCOOP!$G$3:$J$9, 4, FALSE)</f>
        <v>0</v>
      </c>
      <c r="KV63" s="6">
        <f>VLOOKUP(KV$26, SCOOP!$G$3:$J$9, 4, FALSE)</f>
        <v>0</v>
      </c>
      <c r="KW63" s="6">
        <f>VLOOKUP(KW$26, SCOOP!$G$3:$J$9, 4, FALSE)</f>
        <v>0</v>
      </c>
      <c r="KX63" s="6">
        <f>VLOOKUP(KX$26, SCOOP!$G$3:$J$9, 4, FALSE)</f>
        <v>0</v>
      </c>
      <c r="KY63" s="6">
        <f>VLOOKUP(KY$26, SCOOP!$G$3:$J$9, 4, FALSE)</f>
        <v>0</v>
      </c>
      <c r="KZ63" s="6">
        <f>VLOOKUP(KZ$26, SCOOP!$G$3:$J$9, 4, FALSE)</f>
        <v>0</v>
      </c>
      <c r="LA63" s="6">
        <f>VLOOKUP(LA$26, SCOOP!$G$3:$J$9, 4, FALSE)</f>
        <v>0</v>
      </c>
      <c r="LB63" s="6">
        <f>VLOOKUP(LB$26, SCOOP!$G$3:$J$9, 4, FALSE)</f>
        <v>0</v>
      </c>
      <c r="LC63" s="6">
        <f>VLOOKUP(LC$26, SCOOP!$G$3:$J$9, 4, FALSE)</f>
        <v>0</v>
      </c>
      <c r="LD63" s="6">
        <f>VLOOKUP(LD$26, SCOOP!$G$3:$J$9, 4, FALSE)</f>
        <v>0</v>
      </c>
      <c r="LE63" s="6">
        <f>VLOOKUP(LE$26, SCOOP!$G$3:$J$9, 4, FALSE)</f>
        <v>0</v>
      </c>
      <c r="LF63" s="6">
        <f>VLOOKUP(LF$26, SCOOP!$G$3:$J$9, 4, FALSE)</f>
        <v>0</v>
      </c>
      <c r="LG63" s="6">
        <f>VLOOKUP(LG$26, SCOOP!$G$3:$J$9, 4, FALSE)</f>
        <v>0</v>
      </c>
      <c r="LH63" s="6">
        <f>VLOOKUP(LH$26, SCOOP!$G$3:$J$9, 4, FALSE)</f>
        <v>0</v>
      </c>
      <c r="LI63" s="6">
        <f>VLOOKUP(LI$26, SCOOP!$G$3:$J$9, 4, FALSE)</f>
        <v>0</v>
      </c>
      <c r="LJ63" s="6">
        <f>VLOOKUP(LJ$26, SCOOP!$G$3:$J$9, 4, FALSE)</f>
        <v>0</v>
      </c>
      <c r="LK63" s="6">
        <f>VLOOKUP(LK$26, SCOOP!$G$3:$J$9, 4, FALSE)</f>
        <v>0</v>
      </c>
      <c r="LL63" s="6">
        <f>VLOOKUP(LL$26, SCOOP!$G$3:$J$9, 4, FALSE)</f>
        <v>0</v>
      </c>
      <c r="LM63" s="6">
        <f>VLOOKUP(LM$26, SCOOP!$G$3:$J$9, 4, FALSE)</f>
        <v>0</v>
      </c>
      <c r="LN63" s="6">
        <f>VLOOKUP(LN$26, SCOOP!$G$3:$J$9, 4, FALSE)</f>
        <v>0</v>
      </c>
      <c r="LO63" s="6">
        <f>VLOOKUP(LO$26, SCOOP!$G$3:$J$9, 4, FALSE)</f>
        <v>0</v>
      </c>
      <c r="LP63" s="6">
        <f>VLOOKUP(LP$26, SCOOP!$G$3:$J$9, 4, FALSE)</f>
        <v>0</v>
      </c>
      <c r="LQ63" s="6">
        <f>VLOOKUP(LQ$26, SCOOP!$G$3:$J$9, 4, FALSE)</f>
        <v>0</v>
      </c>
      <c r="LR63" s="6">
        <f>VLOOKUP(LR$26, SCOOP!$G$3:$J$9, 4, FALSE)</f>
        <v>0</v>
      </c>
      <c r="LS63" s="6">
        <f>VLOOKUP(LS$26, SCOOP!$G$3:$J$9, 4, FALSE)</f>
        <v>0</v>
      </c>
      <c r="LT63" s="6">
        <f>VLOOKUP(LT$26, SCOOP!$G$3:$J$9, 4, FALSE)</f>
        <v>0</v>
      </c>
      <c r="LU63" s="6">
        <f>VLOOKUP(LU$26, SCOOP!$G$3:$J$9, 4, FALSE)</f>
        <v>0</v>
      </c>
      <c r="LV63" s="6">
        <f>VLOOKUP(LV$26, SCOOP!$G$3:$J$9, 4, FALSE)</f>
        <v>0</v>
      </c>
      <c r="LW63" s="6">
        <f>VLOOKUP(LW$26, SCOOP!$G$3:$J$9, 4, FALSE)</f>
        <v>0</v>
      </c>
      <c r="LX63" s="6">
        <f>VLOOKUP(LX$26, SCOOP!$G$3:$J$9, 4, FALSE)</f>
        <v>0</v>
      </c>
      <c r="LY63" s="6">
        <f>VLOOKUP(LY$26, SCOOP!$G$3:$J$9, 4, FALSE)</f>
        <v>0</v>
      </c>
      <c r="LZ63" s="6">
        <f>VLOOKUP(LZ$26, SCOOP!$G$3:$J$9, 4, FALSE)</f>
        <v>0</v>
      </c>
      <c r="MA63" s="6">
        <f>VLOOKUP(MA$26, SCOOP!$G$3:$J$9, 4, FALSE)</f>
        <v>0</v>
      </c>
      <c r="MB63" s="6">
        <f>VLOOKUP(MB$26, SCOOP!$G$3:$J$9, 4, FALSE)</f>
        <v>0</v>
      </c>
      <c r="MC63" s="6">
        <f>VLOOKUP(MC$26, SCOOP!$G$3:$J$9, 4, FALSE)</f>
        <v>0</v>
      </c>
      <c r="MD63" s="6">
        <f>VLOOKUP(MD$26, SCOOP!$G$3:$J$9, 4, FALSE)</f>
        <v>0</v>
      </c>
      <c r="ME63" s="6">
        <f>VLOOKUP(ME$26, SCOOP!$G$3:$J$9, 4, FALSE)</f>
        <v>0</v>
      </c>
      <c r="MF63" s="6">
        <f>VLOOKUP(MF$26, SCOOP!$G$3:$J$9, 4, FALSE)</f>
        <v>0</v>
      </c>
      <c r="MG63" s="6">
        <f>VLOOKUP(MG$26, SCOOP!$G$3:$J$9, 4, FALSE)</f>
        <v>0</v>
      </c>
      <c r="MH63" s="6">
        <f>VLOOKUP(MH$26, SCOOP!$G$3:$J$9, 4, FALSE)</f>
        <v>0</v>
      </c>
      <c r="MI63" s="6">
        <f>VLOOKUP(MI$26, SCOOP!$G$3:$J$9, 4, FALSE)</f>
        <v>0</v>
      </c>
      <c r="MJ63" s="6">
        <f>VLOOKUP(MJ$26, SCOOP!$G$3:$J$9, 4, FALSE)</f>
        <v>0</v>
      </c>
      <c r="MK63" s="6">
        <f>VLOOKUP(MK$26, SCOOP!$G$3:$J$9, 4, FALSE)</f>
        <v>0</v>
      </c>
      <c r="ML63" s="6">
        <f>VLOOKUP(ML$26, SCOOP!$G$3:$J$9, 4, FALSE)</f>
        <v>0</v>
      </c>
      <c r="MM63" s="6">
        <f>VLOOKUP(MM$26, SCOOP!$G$3:$J$9, 4, FALSE)</f>
        <v>0</v>
      </c>
      <c r="MN63" s="6">
        <f>VLOOKUP(MN$26, SCOOP!$G$3:$J$9, 4, FALSE)</f>
        <v>0</v>
      </c>
      <c r="MO63" s="6">
        <f>VLOOKUP(MO$26, SCOOP!$G$3:$J$9, 4, FALSE)</f>
        <v>0</v>
      </c>
      <c r="MP63" s="6">
        <f>VLOOKUP(MP$26, SCOOP!$G$3:$J$9, 4, FALSE)</f>
        <v>0</v>
      </c>
      <c r="MQ63" s="6">
        <f>VLOOKUP(MQ$26, SCOOP!$G$3:$J$9, 4, FALSE)</f>
        <v>0</v>
      </c>
      <c r="MR63" s="6">
        <f>VLOOKUP(MR$26, SCOOP!$G$3:$J$9, 4, FALSE)</f>
        <v>0</v>
      </c>
      <c r="MS63" s="6">
        <f>VLOOKUP(MS$26, SCOOP!$G$3:$J$9, 4, FALSE)</f>
        <v>0</v>
      </c>
      <c r="MT63" s="6">
        <f>VLOOKUP(MT$26, SCOOP!$G$3:$J$9, 4, FALSE)</f>
        <v>0</v>
      </c>
      <c r="MU63" s="6">
        <f>VLOOKUP(MU$26, SCOOP!$G$3:$J$9, 4, FALSE)</f>
        <v>0</v>
      </c>
      <c r="MV63" s="6">
        <f>VLOOKUP(MV$26, SCOOP!$G$3:$J$9, 4, FALSE)</f>
        <v>0</v>
      </c>
      <c r="MW63" s="6">
        <f>VLOOKUP(MW$26, SCOOP!$G$3:$J$9, 4, FALSE)</f>
        <v>0</v>
      </c>
      <c r="MX63" s="6">
        <f>VLOOKUP(MX$26, SCOOP!$G$3:$J$9, 4, FALSE)</f>
        <v>0</v>
      </c>
      <c r="MY63" s="6">
        <f>VLOOKUP(MY$26, SCOOP!$G$3:$J$9, 4, FALSE)</f>
        <v>0</v>
      </c>
      <c r="MZ63" s="6">
        <f>VLOOKUP(MZ$26, SCOOP!$G$3:$J$9, 4, FALSE)</f>
        <v>0</v>
      </c>
      <c r="NA63" s="6">
        <f>VLOOKUP(NA$26, SCOOP!$G$3:$J$9, 4, FALSE)</f>
        <v>0</v>
      </c>
      <c r="NB63" s="6">
        <f>VLOOKUP(NB$26, SCOOP!$G$3:$J$9, 4, FALSE)</f>
        <v>0</v>
      </c>
      <c r="NC63" s="6">
        <f>VLOOKUP(NC$26, SCOOP!$G$3:$J$9, 4, FALSE)</f>
        <v>0</v>
      </c>
      <c r="ND63" s="6">
        <f>VLOOKUP(ND$26, SCOOP!$G$3:$J$9, 4, FALSE)</f>
        <v>0</v>
      </c>
      <c r="NE63" s="6">
        <f>VLOOKUP(NE$26, SCOOP!$G$3:$J$9, 4, FALSE)</f>
        <v>0</v>
      </c>
      <c r="NF63" s="6">
        <f>VLOOKUP(NF$26, SCOOP!$G$3:$J$9, 4, FALSE)</f>
        <v>0</v>
      </c>
      <c r="NG63" s="6">
        <f>VLOOKUP(NG$26, SCOOP!$G$3:$J$9, 4, FALSE)</f>
        <v>0</v>
      </c>
      <c r="NH63" s="6">
        <f>VLOOKUP(NH$26, SCOOP!$G$3:$J$9, 4, FALSE)</f>
        <v>0</v>
      </c>
      <c r="NI63" s="6">
        <f>VLOOKUP(NI$26, SCOOP!$G$3:$J$9, 4, FALSE)</f>
        <v>0</v>
      </c>
      <c r="NJ63" s="6">
        <f>VLOOKUP(NJ$26, SCOOP!$G$3:$J$9, 4, FALSE)</f>
        <v>0</v>
      </c>
      <c r="NK63" s="6">
        <f>VLOOKUP(NK$26, SCOOP!$G$3:$J$9, 4, FALSE)</f>
        <v>0</v>
      </c>
      <c r="NL63" s="6">
        <f>VLOOKUP(NL$26, SCOOP!$G$3:$J$9, 4, FALSE)</f>
        <v>0</v>
      </c>
      <c r="NM63" s="6">
        <f>VLOOKUP(NM$26, SCOOP!$G$3:$J$9, 4, FALSE)</f>
        <v>0</v>
      </c>
      <c r="NN63" s="6">
        <f>VLOOKUP(NN$26, SCOOP!$G$3:$J$9, 4, FALSE)</f>
        <v>0</v>
      </c>
      <c r="NO63" s="6">
        <f>VLOOKUP(NO$26, SCOOP!$G$3:$J$9, 4, FALSE)</f>
        <v>0</v>
      </c>
      <c r="NP63" s="6">
        <f>VLOOKUP(NP$26, SCOOP!$G$3:$J$9, 4, FALSE)</f>
        <v>0</v>
      </c>
      <c r="NQ63" s="6">
        <f>VLOOKUP(NQ$26, SCOOP!$G$3:$J$9, 4, FALSE)</f>
        <v>0</v>
      </c>
      <c r="NR63" s="6">
        <f>VLOOKUP(NR$26, SCOOP!$G$3:$J$9, 4, FALSE)</f>
        <v>0</v>
      </c>
      <c r="NS63" s="6">
        <f>VLOOKUP(NS$26, SCOOP!$G$3:$J$9, 4, FALSE)</f>
        <v>0</v>
      </c>
      <c r="NT63" s="6">
        <f>VLOOKUP(NT$26, SCOOP!$G$3:$J$9, 4, FALSE)</f>
        <v>0</v>
      </c>
      <c r="NU63" s="6">
        <f>VLOOKUP(NU$26, SCOOP!$G$3:$J$9, 4, FALSE)</f>
        <v>0</v>
      </c>
      <c r="NV63" s="6">
        <f>VLOOKUP(NV$26, SCOOP!$G$3:$J$9, 4, FALSE)</f>
        <v>0</v>
      </c>
      <c r="NW63" s="6">
        <f>VLOOKUP(NW$26, SCOOP!$G$3:$J$9, 4, FALSE)</f>
        <v>0</v>
      </c>
      <c r="NX63" s="6">
        <f>VLOOKUP(NX$26, SCOOP!$G$3:$J$9, 4, FALSE)</f>
        <v>0</v>
      </c>
      <c r="NY63" s="6">
        <f>VLOOKUP(NY$26, SCOOP!$G$3:$J$9, 4, FALSE)</f>
        <v>0</v>
      </c>
      <c r="NZ63" s="6">
        <f>VLOOKUP(NZ$26, SCOOP!$G$3:$J$9, 4, FALSE)</f>
        <v>0</v>
      </c>
      <c r="OA63" s="6">
        <f>VLOOKUP(OA$26, SCOOP!$G$3:$J$9, 4, FALSE)</f>
        <v>0</v>
      </c>
      <c r="OB63" s="6">
        <f>VLOOKUP(OB$26, SCOOP!$G$3:$J$9, 4, FALSE)</f>
        <v>0</v>
      </c>
      <c r="OC63" s="6">
        <f>VLOOKUP(OC$26, SCOOP!$G$3:$J$9, 4, FALSE)</f>
        <v>0</v>
      </c>
      <c r="OD63" s="6">
        <f>VLOOKUP(OD$26, SCOOP!$G$3:$J$9, 4, FALSE)</f>
        <v>0</v>
      </c>
      <c r="OE63" s="6">
        <f>VLOOKUP(OE$26, SCOOP!$G$3:$J$9, 4, FALSE)</f>
        <v>0</v>
      </c>
      <c r="OF63" s="6">
        <f>VLOOKUP(OF$26, SCOOP!$G$3:$J$9, 4, FALSE)</f>
        <v>0</v>
      </c>
      <c r="OG63" s="6">
        <f>VLOOKUP(OG$26, SCOOP!$G$3:$J$9, 4, FALSE)</f>
        <v>0</v>
      </c>
      <c r="OH63" s="6">
        <f>VLOOKUP(OH$26, SCOOP!$G$3:$J$9, 4, FALSE)</f>
        <v>0</v>
      </c>
      <c r="OI63" s="6">
        <f>VLOOKUP(OI$26, SCOOP!$G$3:$J$9, 4, FALSE)</f>
        <v>0</v>
      </c>
      <c r="OJ63" s="6">
        <f>VLOOKUP(OJ$26, SCOOP!$G$3:$J$9, 4, FALSE)</f>
        <v>0</v>
      </c>
      <c r="OK63" s="6">
        <f>VLOOKUP(OK$26, SCOOP!$G$3:$J$9, 4, FALSE)</f>
        <v>0</v>
      </c>
      <c r="OL63" s="6">
        <f>VLOOKUP(OL$26, SCOOP!$G$3:$J$9, 4, FALSE)</f>
        <v>0</v>
      </c>
      <c r="OM63" s="6">
        <f>VLOOKUP(OM$26, SCOOP!$G$3:$J$9, 4, FALSE)</f>
        <v>0</v>
      </c>
      <c r="ON63" s="6">
        <f>VLOOKUP(ON$26, SCOOP!$G$3:$J$9, 4, FALSE)</f>
        <v>0</v>
      </c>
      <c r="OO63" s="6">
        <f>VLOOKUP(OO$26, SCOOP!$G$3:$J$9, 4, FALSE)</f>
        <v>0</v>
      </c>
      <c r="OP63" s="6">
        <f>VLOOKUP(OP$26, SCOOP!$G$3:$J$9, 4, FALSE)</f>
        <v>0</v>
      </c>
      <c r="OQ63" s="6">
        <f>VLOOKUP(OQ$26, SCOOP!$G$3:$J$9, 4, FALSE)</f>
        <v>0</v>
      </c>
      <c r="OR63" s="6">
        <f>VLOOKUP(OR$26, SCOOP!$G$3:$J$9, 4, FALSE)</f>
        <v>0</v>
      </c>
      <c r="OS63" s="6">
        <f>VLOOKUP(OS$26, SCOOP!$G$3:$J$9, 4, FALSE)</f>
        <v>0</v>
      </c>
      <c r="OT63" s="6">
        <f>VLOOKUP(OT$26, SCOOP!$G$3:$J$9, 4, FALSE)</f>
        <v>0</v>
      </c>
      <c r="OU63" s="6">
        <f>VLOOKUP(OU$26, SCOOP!$G$3:$J$9, 4, FALSE)</f>
        <v>0</v>
      </c>
      <c r="OV63" s="6">
        <f>VLOOKUP(OV$26, SCOOP!$G$3:$J$9, 4, FALSE)</f>
        <v>0</v>
      </c>
      <c r="OW63" s="6">
        <f>VLOOKUP(OW$26, SCOOP!$G$3:$J$9, 4, FALSE)</f>
        <v>0</v>
      </c>
      <c r="OX63" s="6">
        <f>VLOOKUP(OX$26, SCOOP!$G$3:$J$9, 4, FALSE)</f>
        <v>0</v>
      </c>
      <c r="OY63" s="6">
        <f>VLOOKUP(OY$26, SCOOP!$G$3:$J$9, 4, FALSE)</f>
        <v>0</v>
      </c>
      <c r="OZ63" s="6">
        <f>VLOOKUP(OZ$26, SCOOP!$G$3:$J$9, 4, FALSE)</f>
        <v>0</v>
      </c>
      <c r="PA63" s="6">
        <f>VLOOKUP(PA$26, SCOOP!$G$3:$J$9, 4, FALSE)</f>
        <v>0</v>
      </c>
      <c r="PB63" s="6">
        <f>VLOOKUP(PB$26, SCOOP!$G$3:$J$9, 4, FALSE)</f>
        <v>0</v>
      </c>
      <c r="PC63" s="6">
        <f>VLOOKUP(PC$26, SCOOP!$G$3:$J$9, 4, FALSE)</f>
        <v>0</v>
      </c>
      <c r="PD63" s="6">
        <f>VLOOKUP(PD$26, SCOOP!$G$3:$J$9, 4, FALSE)</f>
        <v>0</v>
      </c>
      <c r="PE63" s="6">
        <f>VLOOKUP(PE$26, SCOOP!$G$3:$J$9, 4, FALSE)</f>
        <v>0</v>
      </c>
      <c r="PF63" s="6">
        <f>VLOOKUP(PF$26, SCOOP!$G$3:$J$9, 4, FALSE)</f>
        <v>0</v>
      </c>
      <c r="PG63" s="6">
        <f>VLOOKUP(PG$26, SCOOP!$G$3:$J$9, 4, FALSE)</f>
        <v>0</v>
      </c>
      <c r="PH63" s="6">
        <f>VLOOKUP(PH$26, SCOOP!$G$3:$J$9, 4, FALSE)</f>
        <v>0</v>
      </c>
      <c r="PI63" s="6">
        <f>VLOOKUP(PI$26, SCOOP!$G$3:$J$9, 4, FALSE)</f>
        <v>0</v>
      </c>
      <c r="PJ63" s="6">
        <f>VLOOKUP(PJ$26, SCOOP!$G$3:$J$9, 4, FALSE)</f>
        <v>0</v>
      </c>
      <c r="PK63" s="6">
        <f>VLOOKUP(PK$26, SCOOP!$G$3:$J$9, 4, FALSE)</f>
        <v>0</v>
      </c>
      <c r="PL63" s="6">
        <f>VLOOKUP(PL$26, SCOOP!$G$3:$J$9, 4, FALSE)</f>
        <v>0</v>
      </c>
      <c r="PM63" s="6">
        <f>VLOOKUP(PM$26, SCOOP!$G$3:$J$9, 4, FALSE)</f>
        <v>0</v>
      </c>
      <c r="PN63" s="6">
        <f>VLOOKUP(PN$26, SCOOP!$G$3:$J$9, 4, FALSE)</f>
        <v>0</v>
      </c>
      <c r="PO63" s="6">
        <f>VLOOKUP(PO$26, SCOOP!$G$3:$J$9, 4, FALSE)</f>
        <v>0</v>
      </c>
      <c r="PP63" s="6">
        <f>VLOOKUP(PP$26, SCOOP!$G$3:$J$9, 4, FALSE)</f>
        <v>0</v>
      </c>
      <c r="PQ63" s="6">
        <f>VLOOKUP(PQ$26, SCOOP!$G$3:$J$9, 4, FALSE)</f>
        <v>0</v>
      </c>
      <c r="PR63" s="6">
        <f>VLOOKUP(PR$26, SCOOP!$G$3:$J$9, 4, FALSE)</f>
        <v>0</v>
      </c>
      <c r="PS63" s="6">
        <f>VLOOKUP(PS$26, SCOOP!$G$3:$J$9, 4, FALSE)</f>
        <v>0</v>
      </c>
      <c r="PT63" s="6">
        <f>VLOOKUP(PT$26, SCOOP!$G$3:$J$9, 4, FALSE)</f>
        <v>0</v>
      </c>
      <c r="PU63" s="6">
        <f>VLOOKUP(PU$26, SCOOP!$G$3:$J$9, 4, FALSE)</f>
        <v>0</v>
      </c>
      <c r="PV63" s="6">
        <f>VLOOKUP(PV$26, SCOOP!$G$3:$J$9, 4, FALSE)</f>
        <v>0</v>
      </c>
      <c r="PW63" s="6">
        <f>VLOOKUP(PW$26, SCOOP!$G$3:$J$9, 4, FALSE)</f>
        <v>0</v>
      </c>
      <c r="PX63" s="6">
        <f>VLOOKUP(PX$26, SCOOP!$G$3:$J$9, 4, FALSE)</f>
        <v>0</v>
      </c>
      <c r="PY63" s="6">
        <f>VLOOKUP(PY$26, SCOOP!$G$3:$J$9, 4, FALSE)</f>
        <v>0</v>
      </c>
      <c r="PZ63" s="6">
        <f>VLOOKUP(PZ$26, SCOOP!$G$3:$J$9, 4, FALSE)</f>
        <v>0</v>
      </c>
      <c r="QA63" s="6">
        <f>VLOOKUP(QA$26, SCOOP!$G$3:$J$9, 4, FALSE)</f>
        <v>0</v>
      </c>
      <c r="QB63" s="6">
        <f>VLOOKUP(QB$26, SCOOP!$G$3:$J$9, 4, FALSE)</f>
        <v>0</v>
      </c>
      <c r="QC63" s="6">
        <f>VLOOKUP(QC$26, SCOOP!$G$3:$J$9, 4, FALSE)</f>
        <v>0</v>
      </c>
      <c r="QD63" s="6">
        <f>VLOOKUP(QD$26, SCOOP!$G$3:$J$9, 4, FALSE)</f>
        <v>0</v>
      </c>
      <c r="QE63" s="6">
        <f>VLOOKUP(QE$26, SCOOP!$G$3:$J$9, 4, FALSE)</f>
        <v>0</v>
      </c>
      <c r="QF63" s="6">
        <f>VLOOKUP(QF$26, SCOOP!$G$3:$J$9, 4, FALSE)</f>
        <v>0</v>
      </c>
      <c r="QG63" s="6">
        <f>VLOOKUP(QG$26, SCOOP!$G$3:$J$9, 4, FALSE)</f>
        <v>0</v>
      </c>
      <c r="QH63" s="6">
        <f>VLOOKUP(QH$26, SCOOP!$G$3:$J$9, 4, FALSE)</f>
        <v>0</v>
      </c>
      <c r="QI63" s="6">
        <f>VLOOKUP(QI$26, SCOOP!$G$3:$J$9, 4, FALSE)</f>
        <v>0</v>
      </c>
      <c r="QJ63" s="6">
        <f>VLOOKUP(QJ$26, SCOOP!$G$3:$J$9, 4, FALSE)</f>
        <v>0</v>
      </c>
      <c r="QK63" s="6">
        <f>VLOOKUP(QK$26, SCOOP!$G$3:$J$9, 4, FALSE)</f>
        <v>0</v>
      </c>
      <c r="QL63" s="6">
        <f>VLOOKUP(QL$26, SCOOP!$G$3:$J$9, 4, FALSE)</f>
        <v>0</v>
      </c>
      <c r="QM63" s="6">
        <f>VLOOKUP(QM$26, SCOOP!$G$3:$J$9, 4, FALSE)</f>
        <v>0</v>
      </c>
      <c r="QN63" s="6">
        <f>VLOOKUP(QN$26, SCOOP!$G$3:$J$9, 4, FALSE)</f>
        <v>0</v>
      </c>
      <c r="QO63" s="6">
        <f>VLOOKUP(QO$26, SCOOP!$G$3:$J$9, 4, FALSE)</f>
        <v>0</v>
      </c>
      <c r="QP63" s="6">
        <f>VLOOKUP(QP$26, SCOOP!$G$3:$J$9, 4, FALSE)</f>
        <v>0</v>
      </c>
      <c r="QQ63" s="6">
        <f>VLOOKUP(QQ$26, SCOOP!$G$3:$J$9, 4, FALSE)</f>
        <v>0</v>
      </c>
      <c r="QR63" s="6">
        <f>VLOOKUP(QR$26, SCOOP!$G$3:$J$9, 4, FALSE)</f>
        <v>0</v>
      </c>
      <c r="QS63" s="6">
        <f>VLOOKUP(QS$26, SCOOP!$G$3:$J$9, 4, FALSE)</f>
        <v>0</v>
      </c>
      <c r="QT63" s="6">
        <f>VLOOKUP(QT$26, SCOOP!$G$3:$J$9, 4, FALSE)</f>
        <v>0</v>
      </c>
      <c r="QU63" s="6">
        <f>VLOOKUP(QU$26, SCOOP!$G$3:$J$9, 4, FALSE)</f>
        <v>0</v>
      </c>
      <c r="QV63" s="6">
        <f>VLOOKUP(QV$26, SCOOP!$G$3:$J$9, 4, FALSE)</f>
        <v>0</v>
      </c>
      <c r="QW63" s="6">
        <f>VLOOKUP(QW$26, SCOOP!$G$3:$J$9, 4, FALSE)</f>
        <v>0</v>
      </c>
      <c r="QX63" s="6">
        <f>VLOOKUP(QX$26, SCOOP!$G$3:$J$9, 4, FALSE)</f>
        <v>0</v>
      </c>
      <c r="QY63" s="6">
        <f>VLOOKUP(QY$26, SCOOP!$G$3:$J$9, 4, FALSE)</f>
        <v>0</v>
      </c>
      <c r="QZ63" s="6">
        <f>VLOOKUP(QZ$26, SCOOP!$G$3:$J$9, 4, FALSE)</f>
        <v>0</v>
      </c>
      <c r="RA63" s="6">
        <f>VLOOKUP(RA$26, SCOOP!$G$3:$J$9, 4, FALSE)</f>
        <v>0</v>
      </c>
      <c r="RB63" s="6">
        <f>VLOOKUP(RB$26, SCOOP!$G$3:$J$9, 4, FALSE)</f>
        <v>0</v>
      </c>
      <c r="RC63" s="6">
        <f>VLOOKUP(RC$26, SCOOP!$G$3:$J$9, 4, FALSE)</f>
        <v>0</v>
      </c>
      <c r="RD63" s="6">
        <f>VLOOKUP(RD$26, SCOOP!$G$3:$J$9, 4, FALSE)</f>
        <v>0</v>
      </c>
      <c r="RE63" s="6">
        <f>VLOOKUP(RE$26, SCOOP!$G$3:$J$9, 4, FALSE)</f>
        <v>0</v>
      </c>
      <c r="RF63" s="6">
        <f>VLOOKUP(RF$26, SCOOP!$G$3:$J$9, 4, FALSE)</f>
        <v>0</v>
      </c>
      <c r="RG63" s="6">
        <f>VLOOKUP(RG$26, SCOOP!$G$3:$J$9, 4, FALSE)</f>
        <v>0</v>
      </c>
      <c r="RH63" s="6">
        <f>VLOOKUP(RH$26, SCOOP!$G$3:$J$9, 4, FALSE)</f>
        <v>0</v>
      </c>
      <c r="RI63" s="6">
        <f>VLOOKUP(RI$26, SCOOP!$G$3:$J$9, 4, FALSE)</f>
        <v>0</v>
      </c>
      <c r="RJ63" s="6">
        <f>VLOOKUP(RJ$26, SCOOP!$G$3:$J$9, 4, FALSE)</f>
        <v>0</v>
      </c>
      <c r="RK63" s="6">
        <f>VLOOKUP(RK$26, SCOOP!$G$3:$J$9, 4, FALSE)</f>
        <v>0</v>
      </c>
      <c r="RL63" s="6">
        <f>VLOOKUP(RL$26, SCOOP!$G$3:$J$9, 4, FALSE)</f>
        <v>0</v>
      </c>
      <c r="RM63" s="6">
        <f>VLOOKUP(RM$26, SCOOP!$G$3:$J$9, 4, FALSE)</f>
        <v>0</v>
      </c>
      <c r="RN63" s="6">
        <f>VLOOKUP(RN$26, SCOOP!$G$3:$J$9, 4, FALSE)</f>
        <v>0</v>
      </c>
      <c r="RO63" s="6">
        <f>VLOOKUP(RO$26, SCOOP!$G$3:$J$9, 4, FALSE)</f>
        <v>0</v>
      </c>
      <c r="RP63" s="6">
        <f>VLOOKUP(RP$26, SCOOP!$G$3:$J$9, 4, FALSE)</f>
        <v>0</v>
      </c>
      <c r="RQ63" s="6">
        <f>VLOOKUP(RQ$26, SCOOP!$G$3:$J$9, 4, FALSE)</f>
        <v>0</v>
      </c>
      <c r="RR63" s="6">
        <f>VLOOKUP(RR$26, SCOOP!$G$3:$J$9, 4, FALSE)</f>
        <v>0</v>
      </c>
      <c r="RS63" s="6">
        <f>VLOOKUP(RS$26, SCOOP!$G$3:$J$9, 4, FALSE)</f>
        <v>0</v>
      </c>
      <c r="RT63" s="6">
        <f>VLOOKUP(RT$26, SCOOP!$G$3:$J$9, 4, FALSE)</f>
        <v>0</v>
      </c>
      <c r="RU63" s="6">
        <f>VLOOKUP(RU$26, SCOOP!$G$3:$J$9, 4, FALSE)</f>
        <v>0</v>
      </c>
      <c r="RV63" s="6">
        <f>VLOOKUP(RV$26, SCOOP!$G$3:$J$9, 4, FALSE)</f>
        <v>0</v>
      </c>
      <c r="RW63" s="6">
        <f>VLOOKUP(RW$26, SCOOP!$G$3:$J$9, 4, FALSE)</f>
        <v>0</v>
      </c>
      <c r="RX63" s="6">
        <f>VLOOKUP(RX$26, SCOOP!$G$3:$J$9, 4, FALSE)</f>
        <v>0</v>
      </c>
      <c r="RY63" s="6">
        <f>VLOOKUP(RY$26, SCOOP!$G$3:$J$9, 4, FALSE)</f>
        <v>0</v>
      </c>
      <c r="RZ63" s="6">
        <f>VLOOKUP(RZ$26, SCOOP!$G$3:$J$9, 4, FALSE)</f>
        <v>0</v>
      </c>
      <c r="SA63" s="6">
        <f>VLOOKUP(SA$26, SCOOP!$G$3:$J$9, 4, FALSE)</f>
        <v>0</v>
      </c>
      <c r="SB63" s="6">
        <f>VLOOKUP(SB$26, SCOOP!$G$3:$J$9, 4, FALSE)</f>
        <v>0</v>
      </c>
      <c r="SC63" s="6">
        <f>VLOOKUP(SC$26, SCOOP!$G$3:$J$9, 4, FALSE)</f>
        <v>0</v>
      </c>
      <c r="SD63" s="6">
        <f>VLOOKUP(SD$26, SCOOP!$G$3:$J$9, 4, FALSE)</f>
        <v>0</v>
      </c>
      <c r="SE63" s="6">
        <f>VLOOKUP(SE$26, SCOOP!$G$3:$J$9, 4, FALSE)</f>
        <v>0</v>
      </c>
      <c r="SF63" s="6">
        <f>VLOOKUP(SF$26, SCOOP!$G$3:$J$9, 4, FALSE)</f>
        <v>0</v>
      </c>
      <c r="SG63" s="6">
        <f>VLOOKUP(SG$26, SCOOP!$G$3:$J$9, 4, FALSE)</f>
        <v>0</v>
      </c>
      <c r="SH63" s="6">
        <f>VLOOKUP(SH$26, SCOOP!$G$3:$J$9, 4, FALSE)</f>
        <v>0</v>
      </c>
      <c r="SI63" s="6">
        <f>VLOOKUP(SI$26, SCOOP!$G$3:$J$9, 4, FALSE)</f>
        <v>0</v>
      </c>
      <c r="SJ63" s="6">
        <f>VLOOKUP(SJ$26, SCOOP!$G$3:$J$9, 4, FALSE)</f>
        <v>0</v>
      </c>
      <c r="SK63" s="6">
        <f>VLOOKUP(SK$26, SCOOP!$G$3:$J$9, 4, FALSE)</f>
        <v>0</v>
      </c>
      <c r="SL63" s="6">
        <f>VLOOKUP(SL$26, SCOOP!$G$3:$J$9, 4, FALSE)</f>
        <v>0</v>
      </c>
      <c r="SM63" s="6">
        <f>VLOOKUP(SM$26, SCOOP!$G$3:$J$9, 4, FALSE)</f>
        <v>0</v>
      </c>
      <c r="SN63" s="6">
        <f>VLOOKUP(SN$26, SCOOP!$G$3:$J$9, 4, FALSE)</f>
        <v>0</v>
      </c>
      <c r="SO63" s="6">
        <f>VLOOKUP(SO$26, SCOOP!$G$3:$J$9, 4, FALSE)</f>
        <v>0</v>
      </c>
      <c r="SP63" s="6">
        <f>VLOOKUP(SP$26, SCOOP!$G$3:$J$9, 4, FALSE)</f>
        <v>0</v>
      </c>
      <c r="SQ63" s="6">
        <f>VLOOKUP(SQ$26, SCOOP!$G$3:$J$9, 4, FALSE)</f>
        <v>0</v>
      </c>
      <c r="SR63" s="6">
        <f>VLOOKUP(SR$26, SCOOP!$G$3:$J$9, 4, FALSE)</f>
        <v>0</v>
      </c>
      <c r="SS63" s="6">
        <f>VLOOKUP(SS$26, SCOOP!$G$3:$J$9, 4, FALSE)</f>
        <v>0</v>
      </c>
      <c r="ST63" s="6">
        <f>VLOOKUP(ST$26, SCOOP!$G$3:$J$9, 4, FALSE)</f>
        <v>0</v>
      </c>
      <c r="SU63" s="6">
        <f>VLOOKUP(SU$26, SCOOP!$G$3:$J$9, 4, FALSE)</f>
        <v>0</v>
      </c>
      <c r="SV63" s="6">
        <f>VLOOKUP(SV$26, SCOOP!$G$3:$J$9, 4, FALSE)</f>
        <v>0</v>
      </c>
      <c r="SW63" s="6">
        <f>VLOOKUP(SW$26, SCOOP!$G$3:$J$9, 4, FALSE)</f>
        <v>0</v>
      </c>
      <c r="SX63" s="6">
        <f>VLOOKUP(SX$26, SCOOP!$G$3:$J$9, 4, FALSE)</f>
        <v>0</v>
      </c>
      <c r="SY63" s="6">
        <f>VLOOKUP(SY$26, SCOOP!$G$3:$J$9, 4, FALSE)</f>
        <v>0</v>
      </c>
      <c r="SZ63" s="6">
        <f>VLOOKUP(SZ$26, SCOOP!$G$3:$J$9, 4, FALSE)</f>
        <v>0</v>
      </c>
      <c r="TA63" s="6">
        <f>VLOOKUP(TA$26, SCOOP!$G$3:$J$9, 4, FALSE)</f>
        <v>0</v>
      </c>
      <c r="TB63" s="6">
        <f>VLOOKUP(TB$26, SCOOP!$G$3:$J$9, 4, FALSE)</f>
        <v>0</v>
      </c>
      <c r="TC63" s="6">
        <f>VLOOKUP(TC$26, SCOOP!$G$3:$J$9, 4, FALSE)</f>
        <v>0</v>
      </c>
      <c r="TD63" s="6">
        <f>VLOOKUP(TD$26, SCOOP!$G$3:$J$9, 4, FALSE)</f>
        <v>0</v>
      </c>
      <c r="TE63" s="6">
        <f>VLOOKUP(TE$26, SCOOP!$G$3:$J$9, 4, FALSE)</f>
        <v>0</v>
      </c>
      <c r="TF63" s="6">
        <f>VLOOKUP(TF$26, SCOOP!$G$3:$J$9, 4, FALSE)</f>
        <v>0</v>
      </c>
      <c r="TG63" s="6">
        <f>VLOOKUP(TG$26, SCOOP!$G$3:$J$9, 4, FALSE)</f>
        <v>0</v>
      </c>
      <c r="TH63" s="6">
        <f>VLOOKUP(TH$26, SCOOP!$G$3:$J$9, 4, FALSE)</f>
        <v>0</v>
      </c>
      <c r="TI63" s="6">
        <f>VLOOKUP(TI$26, SCOOP!$G$3:$J$9, 4, FALSE)</f>
        <v>0</v>
      </c>
      <c r="TJ63" s="6">
        <f>VLOOKUP(TJ$26, SCOOP!$G$3:$J$9, 4, FALSE)</f>
        <v>0</v>
      </c>
      <c r="TK63" s="6">
        <f>VLOOKUP(TK$26, SCOOP!$G$3:$J$9, 4, FALSE)</f>
        <v>0</v>
      </c>
      <c r="TL63" s="6">
        <f>VLOOKUP(TL$26, SCOOP!$G$3:$J$9, 4, FALSE)</f>
        <v>0</v>
      </c>
      <c r="TM63" s="6">
        <f>VLOOKUP(TM$26, SCOOP!$G$3:$J$9, 4, FALSE)</f>
        <v>0</v>
      </c>
      <c r="TN63" s="6">
        <f>VLOOKUP(TN$26, SCOOP!$G$3:$J$9, 4, FALSE)</f>
        <v>0</v>
      </c>
      <c r="TO63" s="6">
        <f>VLOOKUP(TO$26, SCOOP!$G$3:$J$9, 4, FALSE)</f>
        <v>0</v>
      </c>
      <c r="TP63" s="6">
        <f>VLOOKUP(TP$26, SCOOP!$G$3:$J$9, 4, FALSE)</f>
        <v>0</v>
      </c>
      <c r="TQ63" s="6">
        <f>VLOOKUP(TQ$26, SCOOP!$G$3:$J$9, 4, FALSE)</f>
        <v>0</v>
      </c>
      <c r="TR63" s="6">
        <f>VLOOKUP(TR$26, SCOOP!$G$3:$J$9, 4, FALSE)</f>
        <v>0</v>
      </c>
      <c r="TS63" s="6">
        <f>VLOOKUP(TS$26, SCOOP!$G$3:$J$9, 4, FALSE)</f>
        <v>0</v>
      </c>
      <c r="TT63" s="6">
        <f>VLOOKUP(TT$26, SCOOP!$G$3:$J$9, 4, FALSE)</f>
        <v>0</v>
      </c>
      <c r="TU63" s="6">
        <f>VLOOKUP(TU$26, SCOOP!$G$3:$J$9, 4, FALSE)</f>
        <v>0</v>
      </c>
      <c r="TV63" s="6">
        <f>VLOOKUP(TV$26, SCOOP!$G$3:$J$9, 4, FALSE)</f>
        <v>0</v>
      </c>
      <c r="TW63" s="6">
        <f>VLOOKUP(TW$26, SCOOP!$G$3:$J$9, 4, FALSE)</f>
        <v>0</v>
      </c>
      <c r="TX63" s="6">
        <f>VLOOKUP(TX$26, SCOOP!$G$3:$J$9, 4, FALSE)</f>
        <v>0</v>
      </c>
      <c r="TY63" s="6">
        <f>VLOOKUP(TY$26, SCOOP!$G$3:$J$9, 4, FALSE)</f>
        <v>0</v>
      </c>
      <c r="TZ63" s="6">
        <f>VLOOKUP(TZ$26, SCOOP!$G$3:$J$9, 4, FALSE)</f>
        <v>0</v>
      </c>
      <c r="UA63" s="6">
        <f>VLOOKUP(UA$26, SCOOP!$G$3:$J$9, 4, FALSE)</f>
        <v>0</v>
      </c>
      <c r="UB63" s="6">
        <f>VLOOKUP(UB$26, SCOOP!$G$3:$J$9, 4, FALSE)</f>
        <v>0</v>
      </c>
      <c r="UC63" s="6">
        <f>VLOOKUP(UC$26, SCOOP!$G$3:$J$9, 4, FALSE)</f>
        <v>0</v>
      </c>
      <c r="UD63" s="6">
        <f>VLOOKUP(UD$26, SCOOP!$G$3:$J$9, 4, FALSE)</f>
        <v>0</v>
      </c>
      <c r="UE63" s="6">
        <f>VLOOKUP(UE$26, SCOOP!$G$3:$J$9, 4, FALSE)</f>
        <v>0</v>
      </c>
      <c r="UF63" s="6">
        <f>VLOOKUP(UF$26, SCOOP!$G$3:$J$9, 4, FALSE)</f>
        <v>0</v>
      </c>
      <c r="UG63" s="6">
        <f>VLOOKUP(UG$26, SCOOP!$G$3:$J$9, 4, FALSE)</f>
        <v>0</v>
      </c>
      <c r="UH63" s="6">
        <f>VLOOKUP(UH$26, SCOOP!$G$3:$J$9, 4, FALSE)</f>
        <v>0</v>
      </c>
      <c r="UI63" s="6">
        <f>VLOOKUP(UI$26, SCOOP!$G$3:$J$9, 4, FALSE)</f>
        <v>0</v>
      </c>
      <c r="UJ63" s="6">
        <f>VLOOKUP(UJ$26, SCOOP!$G$3:$J$9, 4, FALSE)</f>
        <v>0</v>
      </c>
      <c r="UK63" s="6">
        <f>VLOOKUP(UK$26, SCOOP!$G$3:$J$9, 4, FALSE)</f>
        <v>0</v>
      </c>
      <c r="UL63" s="6">
        <f>VLOOKUP(UL$26, SCOOP!$G$3:$J$9, 4, FALSE)</f>
        <v>0</v>
      </c>
      <c r="UM63" s="6">
        <f>VLOOKUP(UM$26, SCOOP!$G$3:$J$9, 4, FALSE)</f>
        <v>0</v>
      </c>
      <c r="UN63" s="6">
        <f>VLOOKUP(UN$26, SCOOP!$G$3:$J$9, 4, FALSE)</f>
        <v>0</v>
      </c>
      <c r="UO63" s="6">
        <f>VLOOKUP(UO$26, SCOOP!$G$3:$J$9, 4, FALSE)</f>
        <v>0</v>
      </c>
      <c r="UP63" s="6">
        <f>VLOOKUP(UP$26, SCOOP!$G$3:$J$9, 4, FALSE)</f>
        <v>0</v>
      </c>
      <c r="UQ63" s="6">
        <f>VLOOKUP(UQ$26, SCOOP!$G$3:$J$9, 4, FALSE)</f>
        <v>0</v>
      </c>
      <c r="UR63" s="6">
        <f>VLOOKUP(UR$26, SCOOP!$G$3:$J$9, 4, FALSE)</f>
        <v>0</v>
      </c>
      <c r="US63" s="6">
        <f>VLOOKUP(US$26, SCOOP!$G$3:$J$9, 4, FALSE)</f>
        <v>0</v>
      </c>
      <c r="UT63" s="6">
        <f>VLOOKUP(UT$26, SCOOP!$G$3:$J$9, 4, FALSE)</f>
        <v>0</v>
      </c>
      <c r="UU63" s="6">
        <f>VLOOKUP(UU$26, SCOOP!$G$3:$J$9, 4, FALSE)</f>
        <v>0</v>
      </c>
      <c r="UV63" s="6">
        <f>VLOOKUP(UV$26, SCOOP!$G$3:$J$9, 4, FALSE)</f>
        <v>0</v>
      </c>
      <c r="UW63" s="6">
        <f>VLOOKUP(UW$26, SCOOP!$G$3:$J$9, 4, FALSE)</f>
        <v>0</v>
      </c>
      <c r="UX63" s="6">
        <f>VLOOKUP(UX$26, SCOOP!$G$3:$J$9, 4, FALSE)</f>
        <v>0</v>
      </c>
      <c r="UY63" s="6">
        <f>VLOOKUP(UY$26, SCOOP!$G$3:$J$9, 4, FALSE)</f>
        <v>0</v>
      </c>
      <c r="UZ63" s="6">
        <f>VLOOKUP(UZ$26, SCOOP!$G$3:$J$9, 4, FALSE)</f>
        <v>0</v>
      </c>
      <c r="VA63" s="6">
        <f>VLOOKUP(VA$26, SCOOP!$G$3:$J$9, 4, FALSE)</f>
        <v>0</v>
      </c>
      <c r="VB63" s="6">
        <f>VLOOKUP(VB$26, SCOOP!$G$3:$J$9, 4, FALSE)</f>
        <v>0</v>
      </c>
      <c r="VC63" s="6">
        <f>VLOOKUP(VC$26, SCOOP!$G$3:$J$9, 4, FALSE)</f>
        <v>0</v>
      </c>
      <c r="VD63" s="6">
        <f>VLOOKUP(VD$26, SCOOP!$G$3:$J$9, 4, FALSE)</f>
        <v>0</v>
      </c>
      <c r="VE63" s="6">
        <f>VLOOKUP(VE$26, SCOOP!$G$3:$J$9, 4, FALSE)</f>
        <v>0</v>
      </c>
      <c r="VF63" s="6">
        <f>VLOOKUP(VF$26, SCOOP!$G$3:$J$9, 4, FALSE)</f>
        <v>0</v>
      </c>
      <c r="VG63" s="6">
        <f>VLOOKUP(VG$26, SCOOP!$G$3:$J$9, 4, FALSE)</f>
        <v>0</v>
      </c>
      <c r="VH63" s="6">
        <f>VLOOKUP(VH$26, SCOOP!$G$3:$J$9, 4, FALSE)</f>
        <v>0</v>
      </c>
      <c r="VI63" s="6">
        <f>VLOOKUP(VI$26, SCOOP!$G$3:$J$9, 4, FALSE)</f>
        <v>0</v>
      </c>
      <c r="VJ63" s="6">
        <f>VLOOKUP(VJ$26, SCOOP!$G$3:$J$9, 4, FALSE)</f>
        <v>0</v>
      </c>
      <c r="VK63" s="6">
        <f>VLOOKUP(VK$26, SCOOP!$G$3:$J$9, 4, FALSE)</f>
        <v>0</v>
      </c>
      <c r="VL63" s="6">
        <f>VLOOKUP(VL$26, SCOOP!$G$3:$J$9, 4, FALSE)</f>
        <v>0</v>
      </c>
      <c r="VM63" s="6">
        <f>VLOOKUP(VM$26, SCOOP!$G$3:$J$9, 4, FALSE)</f>
        <v>0</v>
      </c>
      <c r="VN63" s="6">
        <f>VLOOKUP(VN$26, SCOOP!$G$3:$J$9, 4, FALSE)</f>
        <v>0</v>
      </c>
      <c r="VO63" s="6">
        <f>VLOOKUP(VO$26, SCOOP!$G$3:$J$9, 4, FALSE)</f>
        <v>0</v>
      </c>
      <c r="VP63" s="6">
        <f>VLOOKUP(VP$26, SCOOP!$G$3:$J$9, 4, FALSE)</f>
        <v>0</v>
      </c>
      <c r="VQ63" s="6">
        <f>VLOOKUP(VQ$26, SCOOP!$G$3:$J$9, 4, FALSE)</f>
        <v>0</v>
      </c>
      <c r="VR63" s="6">
        <f>VLOOKUP(VR$26, SCOOP!$G$3:$J$9, 4, FALSE)</f>
        <v>0</v>
      </c>
      <c r="VS63" s="6">
        <f>VLOOKUP(VS$26, SCOOP!$G$3:$J$9, 4, FALSE)</f>
        <v>0</v>
      </c>
      <c r="VT63" s="6">
        <f>VLOOKUP(VT$26, SCOOP!$G$3:$J$9, 4, FALSE)</f>
        <v>0</v>
      </c>
      <c r="VU63" s="6">
        <f>VLOOKUP(VU$26, SCOOP!$G$3:$J$9, 4, FALSE)</f>
        <v>0</v>
      </c>
      <c r="VV63" s="6">
        <f>VLOOKUP(VV$26, SCOOP!$G$3:$J$9, 4, FALSE)</f>
        <v>0</v>
      </c>
      <c r="VW63" s="6">
        <f>VLOOKUP(VW$26, SCOOP!$G$3:$J$9, 4, FALSE)</f>
        <v>0</v>
      </c>
      <c r="VX63" s="6">
        <f>VLOOKUP(VX$26, SCOOP!$G$3:$J$9, 4, FALSE)</f>
        <v>0</v>
      </c>
      <c r="VY63" s="6">
        <f>VLOOKUP(VY$26, SCOOP!$G$3:$J$9, 4, FALSE)</f>
        <v>0</v>
      </c>
      <c r="VZ63" s="6">
        <f>VLOOKUP(VZ$26, SCOOP!$G$3:$J$9, 4, FALSE)</f>
        <v>0</v>
      </c>
      <c r="WA63" s="6">
        <f>VLOOKUP(WA$26, SCOOP!$G$3:$J$9, 4, FALSE)</f>
        <v>0</v>
      </c>
      <c r="WB63" s="6">
        <f>VLOOKUP(WB$26, SCOOP!$G$3:$J$9, 4, FALSE)</f>
        <v>0</v>
      </c>
      <c r="WC63" s="6">
        <f>VLOOKUP(WC$26, SCOOP!$G$3:$J$9, 4, FALSE)</f>
        <v>0</v>
      </c>
      <c r="WD63" s="6">
        <f>VLOOKUP(WD$26, SCOOP!$G$3:$J$9, 4, FALSE)</f>
        <v>0</v>
      </c>
      <c r="WE63" s="6">
        <f>VLOOKUP(WE$26, SCOOP!$G$3:$J$9, 4, FALSE)</f>
        <v>0</v>
      </c>
      <c r="WF63" s="6">
        <f>VLOOKUP(WF$26, SCOOP!$G$3:$J$9, 4, FALSE)</f>
        <v>0</v>
      </c>
      <c r="WG63" s="6">
        <f>VLOOKUP(WG$26, SCOOP!$G$3:$J$9, 4, FALSE)</f>
        <v>0</v>
      </c>
      <c r="WH63" s="6">
        <f>VLOOKUP(WH$26, SCOOP!$G$3:$J$9, 4, FALSE)</f>
        <v>0</v>
      </c>
      <c r="WI63" s="6">
        <f>VLOOKUP(WI$26, SCOOP!$G$3:$J$9, 4, FALSE)</f>
        <v>0</v>
      </c>
      <c r="WJ63" s="6">
        <f>VLOOKUP(WJ$26, SCOOP!$G$3:$J$9, 4, FALSE)</f>
        <v>0</v>
      </c>
      <c r="WK63" s="6">
        <f>VLOOKUP(WK$26, SCOOP!$G$3:$J$9, 4, FALSE)</f>
        <v>0</v>
      </c>
      <c r="WL63" s="6">
        <f>VLOOKUP(WL$26, SCOOP!$G$3:$J$9, 4, FALSE)</f>
        <v>0</v>
      </c>
      <c r="WM63" s="6">
        <f>VLOOKUP(WM$26, SCOOP!$G$3:$J$9, 4, FALSE)</f>
        <v>0</v>
      </c>
      <c r="WN63" s="6">
        <f>VLOOKUP(WN$26, SCOOP!$G$3:$J$9, 4, FALSE)</f>
        <v>0</v>
      </c>
      <c r="WO63" s="6">
        <f>VLOOKUP(WO$26, SCOOP!$G$3:$J$9, 4, FALSE)</f>
        <v>0</v>
      </c>
      <c r="WP63" s="6">
        <f>VLOOKUP(WP$26, SCOOP!$G$3:$J$9, 4, FALSE)</f>
        <v>0</v>
      </c>
      <c r="WQ63" s="6">
        <f>VLOOKUP(WQ$26, SCOOP!$G$3:$J$9, 4, FALSE)</f>
        <v>0</v>
      </c>
      <c r="WR63" s="6">
        <f>VLOOKUP(WR$26, SCOOP!$G$3:$J$9, 4, FALSE)</f>
        <v>0</v>
      </c>
      <c r="WS63" s="6">
        <f>VLOOKUP(WS$26, SCOOP!$G$3:$J$9, 4, FALSE)</f>
        <v>0</v>
      </c>
      <c r="WT63" s="6">
        <f>VLOOKUP(WT$26, SCOOP!$G$3:$J$9, 4, FALSE)</f>
        <v>0</v>
      </c>
      <c r="WU63" s="6">
        <f>VLOOKUP(WU$26, SCOOP!$G$3:$J$9, 4, FALSE)</f>
        <v>0</v>
      </c>
      <c r="WV63" s="6">
        <f>VLOOKUP(WV$26, SCOOP!$G$3:$J$9, 4, FALSE)</f>
        <v>0</v>
      </c>
      <c r="WW63" s="6">
        <f>VLOOKUP(WW$26, SCOOP!$G$3:$J$9, 4, FALSE)</f>
        <v>0</v>
      </c>
      <c r="WX63" s="6">
        <f>VLOOKUP(WX$26, SCOOP!$G$3:$J$9, 4, FALSE)</f>
        <v>0</v>
      </c>
      <c r="WY63" s="6">
        <f>VLOOKUP(WY$26, SCOOP!$G$3:$J$9, 4, FALSE)</f>
        <v>0</v>
      </c>
      <c r="WZ63" s="6">
        <f>VLOOKUP(WZ$26, SCOOP!$G$3:$J$9, 4, FALSE)</f>
        <v>0</v>
      </c>
      <c r="XA63" s="6">
        <f>VLOOKUP(XA$26, SCOOP!$G$3:$J$9, 4, FALSE)</f>
        <v>0</v>
      </c>
      <c r="XB63" s="6">
        <f>VLOOKUP(XB$26, SCOOP!$G$3:$J$9, 4, FALSE)</f>
        <v>0</v>
      </c>
      <c r="XC63" s="6">
        <f>VLOOKUP(XC$26, SCOOP!$G$3:$J$9, 4, FALSE)</f>
        <v>0</v>
      </c>
      <c r="XD63" s="6">
        <f>VLOOKUP(XD$26, SCOOP!$G$3:$J$9, 4, FALSE)</f>
        <v>0</v>
      </c>
      <c r="XE63" s="6">
        <f>VLOOKUP(XE$26, SCOOP!$G$3:$J$9, 4, FALSE)</f>
        <v>0</v>
      </c>
      <c r="XF63" s="6">
        <f>VLOOKUP(XF$26, SCOOP!$G$3:$J$9, 4, FALSE)</f>
        <v>0</v>
      </c>
      <c r="XG63" s="6">
        <f>VLOOKUP(XG$26, SCOOP!$G$3:$J$9, 4, FALSE)</f>
        <v>0</v>
      </c>
      <c r="XH63" s="6">
        <f>VLOOKUP(XH$26, SCOOP!$G$3:$J$9, 4, FALSE)</f>
        <v>0</v>
      </c>
      <c r="XI63" s="6">
        <f>VLOOKUP(XI$26, SCOOP!$G$3:$J$9, 4, FALSE)</f>
        <v>0</v>
      </c>
      <c r="XJ63" s="6">
        <f>VLOOKUP(XJ$26, SCOOP!$G$3:$J$9, 4, FALSE)</f>
        <v>0</v>
      </c>
      <c r="XK63" s="6">
        <f>VLOOKUP(XK$26, SCOOP!$G$3:$J$9, 4, FALSE)</f>
        <v>0</v>
      </c>
      <c r="XL63" s="6">
        <f>VLOOKUP(XL$26, SCOOP!$G$3:$J$9, 4, FALSE)</f>
        <v>0</v>
      </c>
      <c r="XM63" s="6">
        <f>VLOOKUP(XM$26, SCOOP!$G$3:$J$9, 4, FALSE)</f>
        <v>0</v>
      </c>
      <c r="XN63" s="6">
        <f>VLOOKUP(XN$26, SCOOP!$G$3:$J$9, 4, FALSE)</f>
        <v>0</v>
      </c>
      <c r="XO63" s="6">
        <f>VLOOKUP(XO$26, SCOOP!$G$3:$J$9, 4, FALSE)</f>
        <v>0</v>
      </c>
      <c r="XP63" s="6">
        <f>VLOOKUP(XP$26, SCOOP!$G$3:$J$9, 4, FALSE)</f>
        <v>0</v>
      </c>
      <c r="XQ63" s="6">
        <f>VLOOKUP(XQ$26, SCOOP!$G$3:$J$9, 4, FALSE)</f>
        <v>0</v>
      </c>
      <c r="XR63" s="6">
        <f>VLOOKUP(XR$26, SCOOP!$G$3:$J$9, 4, FALSE)</f>
        <v>0</v>
      </c>
      <c r="XS63" s="6">
        <f>VLOOKUP(XS$26, SCOOP!$G$3:$J$9, 4, FALSE)</f>
        <v>0</v>
      </c>
      <c r="XT63" s="6">
        <f>VLOOKUP(XT$26, SCOOP!$G$3:$J$9, 4, FALSE)</f>
        <v>0</v>
      </c>
      <c r="XU63" s="6">
        <f>VLOOKUP(XU$26, SCOOP!$G$3:$J$9, 4, FALSE)</f>
        <v>0</v>
      </c>
      <c r="XV63" s="6">
        <f>VLOOKUP(XV$26, SCOOP!$G$3:$J$9, 4, FALSE)</f>
        <v>0</v>
      </c>
      <c r="XW63" s="6">
        <f>VLOOKUP(XW$26, SCOOP!$G$3:$J$9, 4, FALSE)</f>
        <v>0</v>
      </c>
      <c r="XX63" s="6">
        <f>VLOOKUP(XX$26, SCOOP!$G$3:$J$9, 4, FALSE)</f>
        <v>0</v>
      </c>
      <c r="XY63" s="6">
        <f>VLOOKUP(XY$26, SCOOP!$G$3:$J$9, 4, FALSE)</f>
        <v>0</v>
      </c>
      <c r="XZ63" s="6">
        <f>VLOOKUP(XZ$26, SCOOP!$G$3:$J$9, 4, FALSE)</f>
        <v>0</v>
      </c>
      <c r="YA63" s="6">
        <f>VLOOKUP(YA$26, SCOOP!$G$3:$J$9, 4, FALSE)</f>
        <v>0</v>
      </c>
      <c r="YB63" s="6">
        <f>VLOOKUP(YB$26, SCOOP!$G$3:$J$9, 4, FALSE)</f>
        <v>0</v>
      </c>
      <c r="YC63" s="6">
        <f>VLOOKUP(YC$26, SCOOP!$G$3:$J$9, 4, FALSE)</f>
        <v>0</v>
      </c>
      <c r="YD63" s="6">
        <f>VLOOKUP(YD$26, SCOOP!$G$3:$J$9, 4, FALSE)</f>
        <v>0</v>
      </c>
      <c r="YE63" s="6">
        <f>VLOOKUP(YE$26, SCOOP!$G$3:$J$9, 4, FALSE)</f>
        <v>0</v>
      </c>
      <c r="YF63" s="6">
        <f>VLOOKUP(YF$26, SCOOP!$G$3:$J$9, 4, FALSE)</f>
        <v>0</v>
      </c>
      <c r="YG63" s="6">
        <f>VLOOKUP(YG$26, SCOOP!$G$3:$J$9, 4, FALSE)</f>
        <v>0</v>
      </c>
      <c r="YH63" s="6">
        <f>VLOOKUP(YH$26, SCOOP!$G$3:$J$9, 4, FALSE)</f>
        <v>0</v>
      </c>
      <c r="YI63" s="6">
        <f>VLOOKUP(YI$26, SCOOP!$G$3:$J$9, 4, FALSE)</f>
        <v>0</v>
      </c>
      <c r="YJ63" s="6">
        <f>VLOOKUP(YJ$26, SCOOP!$G$3:$J$9, 4, FALSE)</f>
        <v>0</v>
      </c>
      <c r="YK63" s="6">
        <f>VLOOKUP(YK$26, SCOOP!$G$3:$J$9, 4, FALSE)</f>
        <v>0</v>
      </c>
      <c r="YL63" s="6">
        <f>VLOOKUP(YL$26, SCOOP!$G$3:$J$9, 4, FALSE)</f>
        <v>0</v>
      </c>
      <c r="YM63" s="6">
        <f>VLOOKUP(YM$26, SCOOP!$G$3:$J$9, 4, FALSE)</f>
        <v>0</v>
      </c>
      <c r="YN63" s="6">
        <f>VLOOKUP(YN$26, SCOOP!$G$3:$J$9, 4, FALSE)</f>
        <v>0</v>
      </c>
      <c r="YO63" s="6">
        <f>VLOOKUP(YO$26, SCOOP!$G$3:$J$9, 4, FALSE)</f>
        <v>0</v>
      </c>
      <c r="YP63" s="6">
        <f>VLOOKUP(YP$26, SCOOP!$G$3:$J$9, 4, FALSE)</f>
        <v>0</v>
      </c>
      <c r="YQ63" s="6">
        <f>VLOOKUP(YQ$26, SCOOP!$G$3:$J$9, 4, FALSE)</f>
        <v>0</v>
      </c>
      <c r="YR63" s="6">
        <f>VLOOKUP(YR$26, SCOOP!$G$3:$J$9, 4, FALSE)</f>
        <v>0</v>
      </c>
      <c r="YS63" s="6">
        <f>VLOOKUP(YS$26, SCOOP!$G$3:$J$9, 4, FALSE)</f>
        <v>0</v>
      </c>
      <c r="YT63" s="6">
        <f>VLOOKUP(YT$26, SCOOP!$G$3:$J$9, 4, FALSE)</f>
        <v>0</v>
      </c>
      <c r="YU63" s="6">
        <f>VLOOKUP(YU$26, SCOOP!$G$3:$J$9, 4, FALSE)</f>
        <v>0</v>
      </c>
      <c r="YV63" s="6">
        <f>VLOOKUP(YV$26, SCOOP!$G$3:$J$9, 4, FALSE)</f>
        <v>0</v>
      </c>
      <c r="YW63" s="6">
        <f>VLOOKUP(YW$26, SCOOP!$G$3:$J$9, 4, FALSE)</f>
        <v>0</v>
      </c>
      <c r="YX63" s="6">
        <f>VLOOKUP(YX$26, SCOOP!$G$3:$J$9, 4, FALSE)</f>
        <v>0</v>
      </c>
      <c r="YY63" s="6">
        <f>VLOOKUP(YY$26, SCOOP!$G$3:$J$9, 4, FALSE)</f>
        <v>0</v>
      </c>
      <c r="YZ63" s="6">
        <f>VLOOKUP(YZ$26, SCOOP!$G$3:$J$9, 4, FALSE)</f>
        <v>0</v>
      </c>
      <c r="ZA63" s="6">
        <f>VLOOKUP(ZA$26, SCOOP!$G$3:$J$9, 4, FALSE)</f>
        <v>0</v>
      </c>
      <c r="ZB63" s="6">
        <f>VLOOKUP(ZB$26, SCOOP!$G$3:$J$9, 4, FALSE)</f>
        <v>0</v>
      </c>
      <c r="ZC63" s="6">
        <f>VLOOKUP(ZC$26, SCOOP!$G$3:$J$9, 4, FALSE)</f>
        <v>0</v>
      </c>
      <c r="ZD63" s="6">
        <f>VLOOKUP(ZD$26, SCOOP!$G$3:$J$9, 4, FALSE)</f>
        <v>0</v>
      </c>
      <c r="ZE63" s="6">
        <f>VLOOKUP(ZE$26, SCOOP!$G$3:$J$9, 4, FALSE)</f>
        <v>0</v>
      </c>
      <c r="ZF63" s="6">
        <f>VLOOKUP(ZF$26, SCOOP!$G$3:$J$9, 4, FALSE)</f>
        <v>0</v>
      </c>
      <c r="ZG63" s="6">
        <f>VLOOKUP(ZG$26, SCOOP!$G$3:$J$9, 4, FALSE)</f>
        <v>0</v>
      </c>
      <c r="ZH63" s="6">
        <f>VLOOKUP(ZH$26, SCOOP!$G$3:$J$9, 4, FALSE)</f>
        <v>0</v>
      </c>
      <c r="ZI63" s="6">
        <f>VLOOKUP(ZI$26, SCOOP!$G$3:$J$9, 4, FALSE)</f>
        <v>0</v>
      </c>
      <c r="ZJ63" s="6">
        <f>VLOOKUP(ZJ$26, SCOOP!$G$3:$J$9, 4, FALSE)</f>
        <v>0</v>
      </c>
      <c r="ZK63" s="6">
        <f>VLOOKUP(ZK$26, SCOOP!$G$3:$J$9, 4, FALSE)</f>
        <v>0</v>
      </c>
      <c r="ZL63" s="6">
        <f>VLOOKUP(ZL$26, SCOOP!$G$3:$J$9, 4, FALSE)</f>
        <v>0</v>
      </c>
      <c r="ZM63" s="6">
        <f>VLOOKUP(ZM$26, SCOOP!$G$3:$J$9, 4, FALSE)</f>
        <v>0</v>
      </c>
      <c r="ZN63" s="6">
        <f>VLOOKUP(ZN$26, SCOOP!$G$3:$J$9, 4, FALSE)</f>
        <v>0</v>
      </c>
      <c r="ZO63" s="6">
        <f>VLOOKUP(ZO$26, SCOOP!$G$3:$J$9, 4, FALSE)</f>
        <v>0</v>
      </c>
      <c r="ZP63" s="6">
        <f>VLOOKUP(ZP$26, SCOOP!$G$3:$J$9, 4, FALSE)</f>
        <v>0</v>
      </c>
      <c r="ZQ63" s="6">
        <f>VLOOKUP(ZQ$26, SCOOP!$G$3:$J$9, 4, FALSE)</f>
        <v>0</v>
      </c>
      <c r="ZR63" s="6">
        <f>VLOOKUP(ZR$26, SCOOP!$G$3:$J$9, 4, FALSE)</f>
        <v>0</v>
      </c>
      <c r="ZS63" s="6">
        <f>VLOOKUP(ZS$26, SCOOP!$G$3:$J$9, 4, FALSE)</f>
        <v>0</v>
      </c>
      <c r="ZT63" s="6">
        <f>VLOOKUP(ZT$26, SCOOP!$G$3:$J$9, 4, FALSE)</f>
        <v>0</v>
      </c>
      <c r="ZU63" s="6">
        <f>VLOOKUP(ZU$26, SCOOP!$G$3:$J$9, 4, FALSE)</f>
        <v>0</v>
      </c>
      <c r="ZV63" s="6">
        <f>VLOOKUP(ZV$26, SCOOP!$G$3:$J$9, 4, FALSE)</f>
        <v>0</v>
      </c>
      <c r="ZW63" s="6">
        <f>VLOOKUP(ZW$26, SCOOP!$G$3:$J$9, 4, FALSE)</f>
        <v>0</v>
      </c>
      <c r="ZX63" s="6">
        <f>VLOOKUP(ZX$26, SCOOP!$G$3:$J$9, 4, FALSE)</f>
        <v>0</v>
      </c>
      <c r="ZY63" s="6">
        <f>VLOOKUP(ZY$26, SCOOP!$G$3:$J$9, 4, FALSE)</f>
        <v>0</v>
      </c>
      <c r="ZZ63" s="6">
        <f>VLOOKUP(ZZ$26, SCOOP!$G$3:$J$9, 4, FALSE)</f>
        <v>0</v>
      </c>
      <c r="AAA63" s="6">
        <f>VLOOKUP(AAA$26, SCOOP!$G$3:$J$9, 4, FALSE)</f>
        <v>0</v>
      </c>
      <c r="AAB63" s="6">
        <f>VLOOKUP(AAB$26, SCOOP!$G$3:$J$9, 4, FALSE)</f>
        <v>0</v>
      </c>
      <c r="AAC63" s="6">
        <f>VLOOKUP(AAC$26, SCOOP!$G$3:$J$9, 4, FALSE)</f>
        <v>0</v>
      </c>
      <c r="AAD63" s="6">
        <f>VLOOKUP(AAD$26, SCOOP!$G$3:$J$9, 4, FALSE)</f>
        <v>0</v>
      </c>
      <c r="AAE63" s="6">
        <f>VLOOKUP(AAE$26, SCOOP!$G$3:$J$9, 4, FALSE)</f>
        <v>0</v>
      </c>
      <c r="AAF63" s="6">
        <f>VLOOKUP(AAF$26, SCOOP!$G$3:$J$9, 4, FALSE)</f>
        <v>0</v>
      </c>
      <c r="AAG63" s="6">
        <f>VLOOKUP(AAG$26, SCOOP!$G$3:$J$9, 4, FALSE)</f>
        <v>0</v>
      </c>
      <c r="AAH63" s="6">
        <f>VLOOKUP(AAH$26, SCOOP!$G$3:$J$9, 4, FALSE)</f>
        <v>0</v>
      </c>
      <c r="AAI63" s="6">
        <f>VLOOKUP(AAI$26, SCOOP!$G$3:$J$9, 4, FALSE)</f>
        <v>0</v>
      </c>
      <c r="AAJ63" s="6">
        <f>VLOOKUP(AAJ$26, SCOOP!$G$3:$J$9, 4, FALSE)</f>
        <v>0</v>
      </c>
      <c r="AAK63" s="6">
        <f>VLOOKUP(AAK$26, SCOOP!$G$3:$J$9, 4, FALSE)</f>
        <v>0</v>
      </c>
      <c r="AAL63" s="6">
        <f>VLOOKUP(AAL$26, SCOOP!$G$3:$J$9, 4, FALSE)</f>
        <v>0</v>
      </c>
      <c r="AAM63" s="6">
        <f>VLOOKUP(AAM$26, SCOOP!$G$3:$J$9, 4, FALSE)</f>
        <v>0</v>
      </c>
      <c r="AAN63" s="6">
        <f>VLOOKUP(AAN$26, SCOOP!$G$3:$J$9, 4, FALSE)</f>
        <v>0</v>
      </c>
      <c r="AAO63" s="6">
        <f>VLOOKUP(AAO$26, SCOOP!$G$3:$J$9, 4, FALSE)</f>
        <v>0</v>
      </c>
      <c r="AAP63" s="6">
        <f>VLOOKUP(AAP$26, SCOOP!$G$3:$J$9, 4, FALSE)</f>
        <v>0</v>
      </c>
      <c r="AAQ63" s="6">
        <f>VLOOKUP(AAQ$26, SCOOP!$G$3:$J$9, 4, FALSE)</f>
        <v>0</v>
      </c>
      <c r="AAR63" s="6">
        <f>VLOOKUP(AAR$26, SCOOP!$G$3:$J$9, 4, FALSE)</f>
        <v>0</v>
      </c>
      <c r="AAS63" s="6">
        <f>VLOOKUP(AAS$26, SCOOP!$G$3:$J$9, 4, FALSE)</f>
        <v>0</v>
      </c>
      <c r="AAT63" s="6">
        <f>VLOOKUP(AAT$26, SCOOP!$G$3:$J$9, 4, FALSE)</f>
        <v>0</v>
      </c>
      <c r="AAU63" s="6">
        <f>VLOOKUP(AAU$26, SCOOP!$G$3:$J$9, 4, FALSE)</f>
        <v>0</v>
      </c>
      <c r="AAV63" s="6">
        <f>VLOOKUP(AAV$26, SCOOP!$G$3:$J$9, 4, FALSE)</f>
        <v>0</v>
      </c>
      <c r="AAW63" s="6">
        <f>VLOOKUP(AAW$26, SCOOP!$G$3:$J$9, 4, FALSE)</f>
        <v>0</v>
      </c>
      <c r="AAX63" s="6">
        <f>VLOOKUP(AAX$26, SCOOP!$G$3:$J$9, 4, FALSE)</f>
        <v>0</v>
      </c>
      <c r="AAY63" s="6">
        <f>VLOOKUP(AAY$26, SCOOP!$G$3:$J$9, 4, FALSE)</f>
        <v>0</v>
      </c>
      <c r="AAZ63" s="6">
        <f>VLOOKUP(AAZ$26, SCOOP!$G$3:$J$9, 4, FALSE)</f>
        <v>0</v>
      </c>
      <c r="ABA63" s="6">
        <f>VLOOKUP(ABA$26, SCOOP!$G$3:$J$9, 4, FALSE)</f>
        <v>0</v>
      </c>
      <c r="ABB63" s="6">
        <f>VLOOKUP(ABB$26, SCOOP!$G$3:$J$9, 4, FALSE)</f>
        <v>0</v>
      </c>
      <c r="ABC63" s="6">
        <f>VLOOKUP(ABC$26, SCOOP!$G$3:$J$9, 4, FALSE)</f>
        <v>0</v>
      </c>
      <c r="ABD63" s="6">
        <f>VLOOKUP(ABD$26, SCOOP!$G$3:$J$9, 4, FALSE)</f>
        <v>0</v>
      </c>
      <c r="ABE63" s="6">
        <f>VLOOKUP(ABE$26, SCOOP!$G$3:$J$9, 4, FALSE)</f>
        <v>0</v>
      </c>
      <c r="ABF63" s="6">
        <f>VLOOKUP(ABF$26, SCOOP!$G$3:$J$9, 4, FALSE)</f>
        <v>0</v>
      </c>
      <c r="ABG63" s="6">
        <f>VLOOKUP(ABG$26, SCOOP!$G$3:$J$9, 4, FALSE)</f>
        <v>0</v>
      </c>
      <c r="ABH63" s="6">
        <f>VLOOKUP(ABH$26, SCOOP!$G$3:$J$9, 4, FALSE)</f>
        <v>0</v>
      </c>
      <c r="ABI63" s="6">
        <f>VLOOKUP(ABI$26, SCOOP!$G$3:$J$9, 4, FALSE)</f>
        <v>0</v>
      </c>
      <c r="ABJ63" s="6">
        <f>VLOOKUP(ABJ$26, SCOOP!$G$3:$J$9, 4, FALSE)</f>
        <v>0</v>
      </c>
      <c r="ABK63" s="6">
        <f>VLOOKUP(ABK$26, SCOOP!$G$3:$J$9, 4, FALSE)</f>
        <v>0</v>
      </c>
      <c r="ABL63" s="6">
        <f>VLOOKUP(ABL$26, SCOOP!$G$3:$J$9, 4, FALSE)</f>
        <v>0</v>
      </c>
      <c r="ABM63" s="6">
        <f>VLOOKUP(ABM$26, SCOOP!$G$3:$J$9, 4, FALSE)</f>
        <v>0</v>
      </c>
      <c r="ABN63" s="6">
        <f>VLOOKUP(ABN$26, SCOOP!$G$3:$J$9, 4, FALSE)</f>
        <v>0</v>
      </c>
      <c r="ABO63" s="6">
        <f>VLOOKUP(ABO$26, SCOOP!$G$3:$J$9, 4, FALSE)</f>
        <v>0</v>
      </c>
      <c r="ABP63" s="6">
        <f>VLOOKUP(ABP$26, SCOOP!$G$3:$J$9, 4, FALSE)</f>
        <v>0</v>
      </c>
      <c r="ABQ63" s="6">
        <f>VLOOKUP(ABQ$26, SCOOP!$G$3:$J$9, 4, FALSE)</f>
        <v>0</v>
      </c>
      <c r="ABR63" s="6">
        <f>VLOOKUP(ABR$26, SCOOP!$G$3:$J$9, 4, FALSE)</f>
        <v>0</v>
      </c>
      <c r="ABS63" s="6">
        <f>VLOOKUP(ABS$26, SCOOP!$G$3:$J$9, 4, FALSE)</f>
        <v>0</v>
      </c>
      <c r="ABT63" s="6">
        <f>VLOOKUP(ABT$26, SCOOP!$G$3:$J$9, 4, FALSE)</f>
        <v>0</v>
      </c>
      <c r="ABU63" s="6">
        <f>VLOOKUP(ABU$26, SCOOP!$G$3:$J$9, 4, FALSE)</f>
        <v>0</v>
      </c>
      <c r="ABV63" s="6">
        <f>VLOOKUP(ABV$26, SCOOP!$G$3:$J$9, 4, FALSE)</f>
        <v>0</v>
      </c>
      <c r="ABW63" s="6">
        <f>VLOOKUP(ABW$26, SCOOP!$G$3:$J$9, 4, FALSE)</f>
        <v>0</v>
      </c>
      <c r="ABX63" s="6">
        <f>VLOOKUP(ABX$26, SCOOP!$G$3:$J$9, 4, FALSE)</f>
        <v>0</v>
      </c>
      <c r="ABY63" s="6">
        <f>VLOOKUP(ABY$26, SCOOP!$G$3:$J$9, 4, FALSE)</f>
        <v>0</v>
      </c>
      <c r="ABZ63" s="6">
        <f>VLOOKUP(ABZ$26, SCOOP!$G$3:$J$9, 4, FALSE)</f>
        <v>0</v>
      </c>
      <c r="ACA63" s="6">
        <f>VLOOKUP(ACA$26, SCOOP!$G$3:$J$9, 4, FALSE)</f>
        <v>0</v>
      </c>
      <c r="ACB63" s="6">
        <f>VLOOKUP(ACB$26, SCOOP!$G$3:$J$9, 4, FALSE)</f>
        <v>0</v>
      </c>
      <c r="ACC63" s="6">
        <f>VLOOKUP(ACC$26, SCOOP!$G$3:$J$9, 4, FALSE)</f>
        <v>0</v>
      </c>
      <c r="ACD63" s="6">
        <f>VLOOKUP(ACD$26, SCOOP!$G$3:$J$9, 4, FALSE)</f>
        <v>0</v>
      </c>
      <c r="ACE63" s="6">
        <f>VLOOKUP(ACE$26, SCOOP!$G$3:$J$9, 4, FALSE)</f>
        <v>0</v>
      </c>
      <c r="ACF63" s="6">
        <f>VLOOKUP(ACF$26, SCOOP!$G$3:$J$9, 4, FALSE)</f>
        <v>0</v>
      </c>
      <c r="ACG63" s="6">
        <f>VLOOKUP(ACG$26, SCOOP!$G$3:$J$9, 4, FALSE)</f>
        <v>0</v>
      </c>
      <c r="ACH63" s="6">
        <f>VLOOKUP(ACH$26, SCOOP!$G$3:$J$9, 4, FALSE)</f>
        <v>0</v>
      </c>
      <c r="ACI63" s="6">
        <f>VLOOKUP(ACI$26, SCOOP!$G$3:$J$9, 4, FALSE)</f>
        <v>0</v>
      </c>
      <c r="ACJ63" s="6">
        <f>VLOOKUP(ACJ$26, SCOOP!$G$3:$J$9, 4, FALSE)</f>
        <v>0</v>
      </c>
      <c r="ACK63" s="6">
        <f>VLOOKUP(ACK$26, SCOOP!$G$3:$J$9, 4, FALSE)</f>
        <v>0</v>
      </c>
      <c r="ACL63" s="6">
        <f>VLOOKUP(ACL$26, SCOOP!$G$3:$J$9, 4, FALSE)</f>
        <v>0</v>
      </c>
      <c r="ACM63" s="6">
        <f>VLOOKUP(ACM$26, SCOOP!$G$3:$J$9, 4, FALSE)</f>
        <v>0</v>
      </c>
      <c r="ACN63" s="6">
        <f>VLOOKUP(ACN$26, SCOOP!$G$3:$J$9, 4, FALSE)</f>
        <v>0</v>
      </c>
      <c r="ACO63" s="6">
        <f>VLOOKUP(ACO$26, SCOOP!$G$3:$J$9, 4, FALSE)</f>
        <v>0</v>
      </c>
      <c r="ACP63" s="6">
        <f>VLOOKUP(ACP$26, SCOOP!$G$3:$J$9, 4, FALSE)</f>
        <v>0</v>
      </c>
      <c r="ACQ63" s="6">
        <f>VLOOKUP(ACQ$26, SCOOP!$G$3:$J$9, 4, FALSE)</f>
        <v>0</v>
      </c>
      <c r="ACR63" s="6">
        <f>VLOOKUP(ACR$26, SCOOP!$G$3:$J$9, 4, FALSE)</f>
        <v>0</v>
      </c>
      <c r="ACS63" s="6">
        <f>VLOOKUP(ACS$26, SCOOP!$G$3:$J$9, 4, FALSE)</f>
        <v>0</v>
      </c>
      <c r="ACT63" s="6">
        <f>VLOOKUP(ACT$26, SCOOP!$G$3:$J$9, 4, FALSE)</f>
        <v>0</v>
      </c>
      <c r="ACU63" s="6">
        <f>VLOOKUP(ACU$26, SCOOP!$G$3:$J$9, 4, FALSE)</f>
        <v>0</v>
      </c>
      <c r="ACV63" s="6">
        <f>VLOOKUP(ACV$26, SCOOP!$G$3:$J$9, 4, FALSE)</f>
        <v>0</v>
      </c>
      <c r="ACW63" s="6">
        <f>VLOOKUP(ACW$26, SCOOP!$G$3:$J$9, 4, FALSE)</f>
        <v>0</v>
      </c>
      <c r="ACX63" s="6">
        <f>VLOOKUP(ACX$26, SCOOP!$G$3:$J$9, 4, FALSE)</f>
        <v>0</v>
      </c>
      <c r="ACY63" s="6">
        <f>VLOOKUP(ACY$26, SCOOP!$G$3:$J$9, 4, FALSE)</f>
        <v>0</v>
      </c>
      <c r="ACZ63" s="6">
        <f>VLOOKUP(ACZ$26, SCOOP!$G$3:$J$9, 4, FALSE)</f>
        <v>0</v>
      </c>
      <c r="ADA63" s="6">
        <f>VLOOKUP(ADA$26, SCOOP!$G$3:$J$9, 4, FALSE)</f>
        <v>0</v>
      </c>
      <c r="ADB63" s="6">
        <f>VLOOKUP(ADB$26, SCOOP!$G$3:$J$9, 4, FALSE)</f>
        <v>0</v>
      </c>
      <c r="ADC63" s="6">
        <f>VLOOKUP(ADC$26, SCOOP!$G$3:$J$9, 4, FALSE)</f>
        <v>0</v>
      </c>
      <c r="ADD63" s="6">
        <f>VLOOKUP(ADD$26, SCOOP!$G$3:$J$9, 4, FALSE)</f>
        <v>0</v>
      </c>
      <c r="ADE63" s="6">
        <f>VLOOKUP(ADE$26, SCOOP!$G$3:$J$9, 4, FALSE)</f>
        <v>0</v>
      </c>
      <c r="ADF63" s="6">
        <f>VLOOKUP(ADF$26, SCOOP!$G$3:$J$9, 4, FALSE)</f>
        <v>0</v>
      </c>
      <c r="ADG63" s="6">
        <f>VLOOKUP(ADG$26, SCOOP!$G$3:$J$9, 4, FALSE)</f>
        <v>0</v>
      </c>
      <c r="ADH63" s="6">
        <f>VLOOKUP(ADH$26, SCOOP!$G$3:$J$9, 4, FALSE)</f>
        <v>0</v>
      </c>
      <c r="ADI63" s="6">
        <f>VLOOKUP(ADI$26, SCOOP!$G$3:$J$9, 4, FALSE)</f>
        <v>0</v>
      </c>
      <c r="ADJ63" s="6">
        <f>VLOOKUP(ADJ$26, SCOOP!$G$3:$J$9, 4, FALSE)</f>
        <v>0</v>
      </c>
      <c r="ADK63" s="6">
        <f>VLOOKUP(ADK$26, SCOOP!$G$3:$J$9, 4, FALSE)</f>
        <v>0</v>
      </c>
      <c r="ADL63" s="6">
        <f>VLOOKUP(ADL$26, SCOOP!$G$3:$J$9, 4, FALSE)</f>
        <v>0</v>
      </c>
      <c r="ADM63" s="6">
        <f>VLOOKUP(ADM$26, SCOOP!$G$3:$J$9, 4, FALSE)</f>
        <v>0</v>
      </c>
      <c r="ADN63" s="6">
        <f>VLOOKUP(ADN$26, SCOOP!$G$3:$J$9, 4, FALSE)</f>
        <v>0</v>
      </c>
      <c r="ADO63" s="6">
        <f>VLOOKUP(ADO$26, SCOOP!$G$3:$J$9, 4, FALSE)</f>
        <v>0</v>
      </c>
      <c r="ADP63" s="6">
        <f>VLOOKUP(ADP$26, SCOOP!$G$3:$J$9, 4, FALSE)</f>
        <v>0</v>
      </c>
      <c r="ADQ63" s="6">
        <f>VLOOKUP(ADQ$26, SCOOP!$G$3:$J$9, 4, FALSE)</f>
        <v>0</v>
      </c>
      <c r="ADR63" s="6">
        <f>VLOOKUP(ADR$26, SCOOP!$G$3:$J$9, 4, FALSE)</f>
        <v>0</v>
      </c>
      <c r="ADS63" s="6">
        <f>VLOOKUP(ADS$26, SCOOP!$G$3:$J$9, 4, FALSE)</f>
        <v>0</v>
      </c>
      <c r="ADT63" s="6">
        <f>VLOOKUP(ADT$26, SCOOP!$G$3:$J$9, 4, FALSE)</f>
        <v>0</v>
      </c>
      <c r="ADU63" s="6">
        <f>VLOOKUP(ADU$26, SCOOP!$G$3:$J$9, 4, FALSE)</f>
        <v>0</v>
      </c>
      <c r="ADV63" s="6">
        <f>VLOOKUP(ADV$26, SCOOP!$G$3:$J$9, 4, FALSE)</f>
        <v>0</v>
      </c>
      <c r="ADW63" s="6">
        <f>VLOOKUP(ADW$26, SCOOP!$G$3:$J$9, 4, FALSE)</f>
        <v>0</v>
      </c>
      <c r="ADX63" s="6">
        <f>VLOOKUP(ADX$26, SCOOP!$G$3:$J$9, 4, FALSE)</f>
        <v>0</v>
      </c>
      <c r="ADY63" s="6">
        <f>VLOOKUP(ADY$26, SCOOP!$G$3:$J$9, 4, FALSE)</f>
        <v>0</v>
      </c>
      <c r="ADZ63" s="6">
        <f>VLOOKUP(ADZ$26, SCOOP!$G$3:$J$9, 4, FALSE)</f>
        <v>0</v>
      </c>
      <c r="AEA63" s="6">
        <f>VLOOKUP(AEA$26, SCOOP!$G$3:$J$9, 4, FALSE)</f>
        <v>0</v>
      </c>
      <c r="AEB63" s="6">
        <f>VLOOKUP(AEB$26, SCOOP!$G$3:$J$9, 4, FALSE)</f>
        <v>0</v>
      </c>
      <c r="AEC63" s="6">
        <f>VLOOKUP(AEC$26, SCOOP!$G$3:$J$9, 4, FALSE)</f>
        <v>0</v>
      </c>
      <c r="AED63" s="6">
        <f>VLOOKUP(AED$26, SCOOP!$G$3:$J$9, 4, FALSE)</f>
        <v>0</v>
      </c>
      <c r="AEE63" s="6">
        <f>VLOOKUP(AEE$26, SCOOP!$G$3:$J$9, 4, FALSE)</f>
        <v>0</v>
      </c>
      <c r="AEF63" s="6">
        <f>VLOOKUP(AEF$26, SCOOP!$G$3:$J$9, 4, FALSE)</f>
        <v>0</v>
      </c>
      <c r="AEG63" s="6">
        <f>VLOOKUP(AEG$26, SCOOP!$G$3:$J$9, 4, FALSE)</f>
        <v>0</v>
      </c>
      <c r="AEH63" s="6">
        <f>VLOOKUP(AEH$26, SCOOP!$G$3:$J$9, 4, FALSE)</f>
        <v>0</v>
      </c>
      <c r="AEI63" s="6">
        <f>VLOOKUP(AEI$26, SCOOP!$G$3:$J$9, 4, FALSE)</f>
        <v>0</v>
      </c>
      <c r="AEJ63" s="6">
        <f>VLOOKUP(AEJ$26, SCOOP!$G$3:$J$9, 4, FALSE)</f>
        <v>0</v>
      </c>
      <c r="AEK63" s="6">
        <f>VLOOKUP(AEK$26, SCOOP!$G$3:$J$9, 4, FALSE)</f>
        <v>0</v>
      </c>
      <c r="AEL63" s="6">
        <f>VLOOKUP(AEL$26, SCOOP!$G$3:$J$9, 4, FALSE)</f>
        <v>0</v>
      </c>
      <c r="AEM63" s="6">
        <f>VLOOKUP(AEM$26, SCOOP!$G$3:$J$9, 4, FALSE)</f>
        <v>0</v>
      </c>
      <c r="AEN63" s="6">
        <f>VLOOKUP(AEN$26, SCOOP!$G$3:$J$9, 4, FALSE)</f>
        <v>0</v>
      </c>
      <c r="AEO63" s="6">
        <f>VLOOKUP(AEO$26, SCOOP!$G$3:$J$9, 4, FALSE)</f>
        <v>0</v>
      </c>
      <c r="AEP63" s="6">
        <f>VLOOKUP(AEP$26, SCOOP!$G$3:$J$9, 4, FALSE)</f>
        <v>0</v>
      </c>
      <c r="AEQ63" s="6">
        <f>VLOOKUP(AEQ$26, SCOOP!$G$3:$J$9, 4, FALSE)</f>
        <v>0</v>
      </c>
      <c r="AER63" s="6">
        <f>VLOOKUP(AER$26, SCOOP!$G$3:$J$9, 4, FALSE)</f>
        <v>0</v>
      </c>
      <c r="AES63" s="6">
        <f>VLOOKUP(AES$26, SCOOP!$G$3:$J$9, 4, FALSE)</f>
        <v>0</v>
      </c>
      <c r="AET63" s="6">
        <f>VLOOKUP(AET$26, SCOOP!$G$3:$J$9, 4, FALSE)</f>
        <v>0</v>
      </c>
      <c r="AEU63" s="6">
        <f>VLOOKUP(AEU$26, SCOOP!$G$3:$J$9, 4, FALSE)</f>
        <v>0</v>
      </c>
      <c r="AEV63" s="6">
        <f>VLOOKUP(AEV$26, SCOOP!$G$3:$J$9, 4, FALSE)</f>
        <v>0</v>
      </c>
      <c r="AEW63" s="6">
        <f>VLOOKUP(AEW$26, SCOOP!$G$3:$J$9, 4, FALSE)</f>
        <v>0</v>
      </c>
      <c r="AEX63" s="6">
        <f>VLOOKUP(AEX$26, SCOOP!$G$3:$J$9, 4, FALSE)</f>
        <v>0</v>
      </c>
      <c r="AEY63" s="6">
        <f>VLOOKUP(AEY$26, SCOOP!$G$3:$J$9, 4, FALSE)</f>
        <v>0</v>
      </c>
      <c r="AEZ63" s="6">
        <f>VLOOKUP(AEZ$26, SCOOP!$G$3:$J$9, 4, FALSE)</f>
        <v>0</v>
      </c>
      <c r="AFA63" s="6">
        <f>VLOOKUP(AFA$26, SCOOP!$G$3:$J$9, 4, FALSE)</f>
        <v>0</v>
      </c>
      <c r="AFB63" s="6">
        <f>VLOOKUP(AFB$26, SCOOP!$G$3:$J$9, 4, FALSE)</f>
        <v>0</v>
      </c>
      <c r="AFC63" s="6">
        <f>VLOOKUP(AFC$26, SCOOP!$G$3:$J$9, 4, FALSE)</f>
        <v>0</v>
      </c>
      <c r="AFD63" s="6">
        <f>VLOOKUP(AFD$26, SCOOP!$G$3:$J$9, 4, FALSE)</f>
        <v>0</v>
      </c>
      <c r="AFE63" s="6">
        <f>VLOOKUP(AFE$26, SCOOP!$G$3:$J$9, 4, FALSE)</f>
        <v>0</v>
      </c>
      <c r="AFF63" s="6">
        <f>VLOOKUP(AFF$26, SCOOP!$G$3:$J$9, 4, FALSE)</f>
        <v>0</v>
      </c>
      <c r="AFG63" s="6">
        <f>VLOOKUP(AFG$26, SCOOP!$G$3:$J$9, 4, FALSE)</f>
        <v>0</v>
      </c>
      <c r="AFH63" s="6">
        <f>VLOOKUP(AFH$26, SCOOP!$G$3:$J$9, 4, FALSE)</f>
        <v>0</v>
      </c>
      <c r="AFI63" s="6">
        <f>VLOOKUP(AFI$26, SCOOP!$G$3:$J$9, 4, FALSE)</f>
        <v>0</v>
      </c>
      <c r="AFJ63" s="6">
        <f>VLOOKUP(AFJ$26, SCOOP!$G$3:$J$9, 4, FALSE)</f>
        <v>0</v>
      </c>
      <c r="AFK63" s="6">
        <f>VLOOKUP(AFK$26, SCOOP!$G$3:$J$9, 4, FALSE)</f>
        <v>0</v>
      </c>
      <c r="AFL63" s="6">
        <f>VLOOKUP(AFL$26, SCOOP!$G$3:$J$9, 4, FALSE)</f>
        <v>0</v>
      </c>
      <c r="AFM63" s="6">
        <f>VLOOKUP(AFM$26, SCOOP!$G$3:$J$9, 4, FALSE)</f>
        <v>0</v>
      </c>
      <c r="AFN63" s="6">
        <f>VLOOKUP(AFN$26, SCOOP!$G$3:$J$9, 4, FALSE)</f>
        <v>0</v>
      </c>
      <c r="AFO63" s="6">
        <f>VLOOKUP(AFO$26, SCOOP!$G$3:$J$9, 4, FALSE)</f>
        <v>0</v>
      </c>
      <c r="AFP63" s="6">
        <f>VLOOKUP(AFP$26, SCOOP!$G$3:$J$9, 4, FALSE)</f>
        <v>0</v>
      </c>
      <c r="AFQ63" s="6">
        <f>VLOOKUP(AFQ$26, SCOOP!$G$3:$J$9, 4, FALSE)</f>
        <v>0</v>
      </c>
      <c r="AFR63" s="6">
        <f>VLOOKUP(AFR$26, SCOOP!$G$3:$J$9, 4, FALSE)</f>
        <v>0</v>
      </c>
      <c r="AFS63" s="6">
        <f>VLOOKUP(AFS$26, SCOOP!$G$3:$J$9, 4, FALSE)</f>
        <v>0</v>
      </c>
      <c r="AFT63" s="6">
        <f>VLOOKUP(AFT$26, SCOOP!$G$3:$J$9, 4, FALSE)</f>
        <v>0</v>
      </c>
      <c r="AFU63" s="6">
        <f>VLOOKUP(AFU$26, SCOOP!$G$3:$J$9, 4, FALSE)</f>
        <v>0</v>
      </c>
      <c r="AFV63" s="6">
        <f>VLOOKUP(AFV$26, SCOOP!$G$3:$J$9, 4, FALSE)</f>
        <v>0</v>
      </c>
      <c r="AFW63" s="6">
        <f>VLOOKUP(AFW$26, SCOOP!$G$3:$J$9, 4, FALSE)</f>
        <v>0</v>
      </c>
      <c r="AFX63" s="6">
        <f>VLOOKUP(AFX$26, SCOOP!$G$3:$J$9, 4, FALSE)</f>
        <v>0</v>
      </c>
      <c r="AFY63" s="6">
        <f>VLOOKUP(AFY$26, SCOOP!$G$3:$J$9, 4, FALSE)</f>
        <v>0</v>
      </c>
      <c r="AFZ63" s="6">
        <f>VLOOKUP(AFZ$26, SCOOP!$G$3:$J$9, 4, FALSE)</f>
        <v>0</v>
      </c>
      <c r="AGA63" s="6">
        <f>VLOOKUP(AGA$26, SCOOP!$G$3:$J$9, 4, FALSE)</f>
        <v>0</v>
      </c>
      <c r="AGB63" s="6">
        <f>VLOOKUP(AGB$26, SCOOP!$G$3:$J$9, 4, FALSE)</f>
        <v>0</v>
      </c>
      <c r="AGC63" s="6">
        <f>VLOOKUP(AGC$26, SCOOP!$G$3:$J$9, 4, FALSE)</f>
        <v>0</v>
      </c>
      <c r="AGD63" s="6">
        <f>VLOOKUP(AGD$26, SCOOP!$G$3:$J$9, 4, FALSE)</f>
        <v>0</v>
      </c>
      <c r="AGE63" s="6">
        <f>VLOOKUP(AGE$26, SCOOP!$G$3:$J$9, 4, FALSE)</f>
        <v>0</v>
      </c>
      <c r="AGF63" s="6">
        <f>VLOOKUP(AGF$26, SCOOP!$G$3:$J$9, 4, FALSE)</f>
        <v>0</v>
      </c>
      <c r="AGG63" s="6">
        <f>VLOOKUP(AGG$26, SCOOP!$G$3:$J$9, 4, FALSE)</f>
        <v>0</v>
      </c>
      <c r="AGH63" s="6">
        <f>VLOOKUP(AGH$26, SCOOP!$G$3:$J$9, 4, FALSE)</f>
        <v>0</v>
      </c>
      <c r="AGI63" s="6">
        <f>VLOOKUP(AGI$26, SCOOP!$G$3:$J$9, 4, FALSE)</f>
        <v>0</v>
      </c>
      <c r="AGJ63" s="6">
        <f>VLOOKUP(AGJ$26, SCOOP!$G$3:$J$9, 4, FALSE)</f>
        <v>0</v>
      </c>
      <c r="AGK63" s="6">
        <f>VLOOKUP(AGK$26, SCOOP!$G$3:$J$9, 4, FALSE)</f>
        <v>0</v>
      </c>
      <c r="AGL63" s="6">
        <f>VLOOKUP(AGL$26, SCOOP!$G$3:$J$9, 4, FALSE)</f>
        <v>0</v>
      </c>
      <c r="AGM63" s="6">
        <f>VLOOKUP(AGM$26, SCOOP!$G$3:$J$9, 4, FALSE)</f>
        <v>0</v>
      </c>
      <c r="AGN63" s="6">
        <f>VLOOKUP(AGN$26, SCOOP!$G$3:$J$9, 4, FALSE)</f>
        <v>0</v>
      </c>
      <c r="AGO63" s="6">
        <f>VLOOKUP(AGO$26, SCOOP!$G$3:$J$9, 4, FALSE)</f>
        <v>0</v>
      </c>
      <c r="AGP63" s="6">
        <f>VLOOKUP(AGP$26, SCOOP!$G$3:$J$9, 4, FALSE)</f>
        <v>0</v>
      </c>
      <c r="AGQ63" s="6">
        <f>VLOOKUP(AGQ$26, SCOOP!$G$3:$J$9, 4, FALSE)</f>
        <v>0</v>
      </c>
      <c r="AGR63" s="6">
        <f>VLOOKUP(AGR$26, SCOOP!$G$3:$J$9, 4, FALSE)</f>
        <v>0</v>
      </c>
      <c r="AGS63" s="6">
        <f>VLOOKUP(AGS$26, SCOOP!$G$3:$J$9, 4, FALSE)</f>
        <v>0</v>
      </c>
      <c r="AGT63" s="6">
        <f>VLOOKUP(AGT$26, SCOOP!$G$3:$J$9, 4, FALSE)</f>
        <v>0</v>
      </c>
      <c r="AGU63" s="6">
        <f>VLOOKUP(AGU$26, SCOOP!$G$3:$J$9, 4, FALSE)</f>
        <v>0</v>
      </c>
      <c r="AGV63" s="6">
        <f>VLOOKUP(AGV$26, SCOOP!$G$3:$J$9, 4, FALSE)</f>
        <v>0</v>
      </c>
      <c r="AGW63" s="6">
        <f>VLOOKUP(AGW$26, SCOOP!$G$3:$J$9, 4, FALSE)</f>
        <v>0</v>
      </c>
      <c r="AGX63" s="6">
        <f>VLOOKUP(AGX$26, SCOOP!$G$3:$J$9, 4, FALSE)</f>
        <v>0</v>
      </c>
      <c r="AGY63" s="6">
        <f>VLOOKUP(AGY$26, SCOOP!$G$3:$J$9, 4, FALSE)</f>
        <v>0</v>
      </c>
      <c r="AGZ63" s="6">
        <f>VLOOKUP(AGZ$26, SCOOP!$G$3:$J$9, 4, FALSE)</f>
        <v>0</v>
      </c>
      <c r="AHA63" s="6">
        <f>VLOOKUP(AHA$26, SCOOP!$G$3:$J$9, 4, FALSE)</f>
        <v>0</v>
      </c>
      <c r="AHB63" s="6">
        <f>VLOOKUP(AHB$26, SCOOP!$G$3:$J$9, 4, FALSE)</f>
        <v>0</v>
      </c>
      <c r="AHC63" s="6">
        <f>VLOOKUP(AHC$26, SCOOP!$G$3:$J$9, 4, FALSE)</f>
        <v>0</v>
      </c>
      <c r="AHD63" s="6">
        <f>VLOOKUP(AHD$26, SCOOP!$G$3:$J$9, 4, FALSE)</f>
        <v>0</v>
      </c>
      <c r="AHE63" s="6">
        <f>VLOOKUP(AHE$26, SCOOP!$G$3:$J$9, 4, FALSE)</f>
        <v>0</v>
      </c>
      <c r="AHF63" s="6">
        <f>VLOOKUP(AHF$26, SCOOP!$G$3:$J$9, 4, FALSE)</f>
        <v>0</v>
      </c>
      <c r="AHG63" s="6">
        <f>VLOOKUP(AHG$26, SCOOP!$G$3:$J$9, 4, FALSE)</f>
        <v>0</v>
      </c>
      <c r="AHH63" s="6">
        <f>VLOOKUP(AHH$26, SCOOP!$G$3:$J$9, 4, FALSE)</f>
        <v>0</v>
      </c>
      <c r="AHI63" s="6">
        <f>VLOOKUP(AHI$26, SCOOP!$G$3:$J$9, 4, FALSE)</f>
        <v>0</v>
      </c>
      <c r="AHJ63" s="6">
        <f>VLOOKUP(AHJ$26, SCOOP!$G$3:$J$9, 4, FALSE)</f>
        <v>0</v>
      </c>
      <c r="AHK63" s="6">
        <f>VLOOKUP(AHK$26, SCOOP!$G$3:$J$9, 4, FALSE)</f>
        <v>0</v>
      </c>
      <c r="AHL63" s="6">
        <f>VLOOKUP(AHL$26, SCOOP!$G$3:$J$9, 4, FALSE)</f>
        <v>0</v>
      </c>
      <c r="AHM63" s="6">
        <f>VLOOKUP(AHM$26, SCOOP!$G$3:$J$9, 4, FALSE)</f>
        <v>0</v>
      </c>
      <c r="AHN63" s="6">
        <f>VLOOKUP(AHN$26, SCOOP!$G$3:$J$9, 4, FALSE)</f>
        <v>0</v>
      </c>
      <c r="AHO63" s="6">
        <f>VLOOKUP(AHO$26, SCOOP!$G$3:$J$9, 4, FALSE)</f>
        <v>0</v>
      </c>
      <c r="AHP63" s="6">
        <f>VLOOKUP(AHP$26, SCOOP!$G$3:$J$9, 4, FALSE)</f>
        <v>0</v>
      </c>
      <c r="AHQ63" s="6">
        <f>VLOOKUP(AHQ$26, SCOOP!$G$3:$J$9, 4, FALSE)</f>
        <v>0</v>
      </c>
      <c r="AHR63" s="6">
        <f>VLOOKUP(AHR$26, SCOOP!$G$3:$J$9, 4, FALSE)</f>
        <v>0</v>
      </c>
      <c r="AHS63" s="6">
        <f>VLOOKUP(AHS$26, SCOOP!$G$3:$J$9, 4, FALSE)</f>
        <v>0</v>
      </c>
      <c r="AHT63" s="6">
        <f>VLOOKUP(AHT$26, SCOOP!$G$3:$J$9, 4, FALSE)</f>
        <v>0</v>
      </c>
      <c r="AHU63" s="6">
        <f>VLOOKUP(AHU$26, SCOOP!$G$3:$J$9, 4, FALSE)</f>
        <v>0</v>
      </c>
      <c r="AHV63" s="6">
        <f>VLOOKUP(AHV$26, SCOOP!$G$3:$J$9, 4, FALSE)</f>
        <v>0</v>
      </c>
      <c r="AHW63" s="6">
        <f>VLOOKUP(AHW$26, SCOOP!$G$3:$J$9, 4, FALSE)</f>
        <v>0</v>
      </c>
      <c r="AHX63" s="6">
        <f>VLOOKUP(AHX$26, SCOOP!$G$3:$J$9, 4, FALSE)</f>
        <v>0</v>
      </c>
      <c r="AHY63" s="6">
        <f>VLOOKUP(AHY$26, SCOOP!$G$3:$J$9, 4, FALSE)</f>
        <v>0</v>
      </c>
      <c r="AHZ63" s="6">
        <f>VLOOKUP(AHZ$26, SCOOP!$G$3:$J$9, 4, FALSE)</f>
        <v>0</v>
      </c>
      <c r="AIA63" s="6">
        <f>VLOOKUP(AIA$26, SCOOP!$G$3:$J$9, 4, FALSE)</f>
        <v>0</v>
      </c>
      <c r="AIB63" s="6">
        <f>VLOOKUP(AIB$26, SCOOP!$G$3:$J$9, 4, FALSE)</f>
        <v>0</v>
      </c>
      <c r="AIC63" s="6">
        <f>VLOOKUP(AIC$26, SCOOP!$G$3:$J$9, 4, FALSE)</f>
        <v>0</v>
      </c>
      <c r="AID63" s="6">
        <f>VLOOKUP(AID$26, SCOOP!$G$3:$J$9, 4, FALSE)</f>
        <v>0</v>
      </c>
      <c r="AIE63" s="6">
        <f>VLOOKUP(AIE$26, SCOOP!$G$3:$J$9, 4, FALSE)</f>
        <v>0</v>
      </c>
      <c r="AIF63" s="6">
        <f>VLOOKUP(AIF$26, SCOOP!$G$3:$J$9, 4, FALSE)</f>
        <v>0</v>
      </c>
      <c r="AIG63" s="6">
        <f>VLOOKUP(AIG$26, SCOOP!$G$3:$J$9, 4, FALSE)</f>
        <v>0</v>
      </c>
      <c r="AIH63" s="6">
        <f>VLOOKUP(AIH$26, SCOOP!$G$3:$J$9, 4, FALSE)</f>
        <v>0</v>
      </c>
      <c r="AII63" s="6">
        <f>VLOOKUP(AII$26, SCOOP!$G$3:$J$9, 4, FALSE)</f>
        <v>0</v>
      </c>
      <c r="AIJ63" s="6">
        <f>VLOOKUP(AIJ$26, SCOOP!$G$3:$J$9, 4, FALSE)</f>
        <v>0</v>
      </c>
      <c r="AIK63" s="6">
        <f>VLOOKUP(AIK$26, SCOOP!$G$3:$J$9, 4, FALSE)</f>
        <v>0</v>
      </c>
      <c r="AIL63" s="6">
        <f>VLOOKUP(AIL$26, SCOOP!$G$3:$J$9, 4, FALSE)</f>
        <v>0</v>
      </c>
      <c r="AIM63" s="6">
        <f>VLOOKUP(AIM$26, SCOOP!$G$3:$J$9, 4, FALSE)</f>
        <v>0</v>
      </c>
      <c r="AIN63" s="6">
        <f>VLOOKUP(AIN$26, SCOOP!$G$3:$J$9, 4, FALSE)</f>
        <v>0</v>
      </c>
      <c r="AIO63" s="6">
        <f>VLOOKUP(AIO$26, SCOOP!$G$3:$J$9, 4, FALSE)</f>
        <v>0</v>
      </c>
      <c r="AIP63" s="6">
        <f>VLOOKUP(AIP$26, SCOOP!$G$3:$J$9, 4, FALSE)</f>
        <v>0</v>
      </c>
      <c r="AIQ63" s="6">
        <f>VLOOKUP(AIQ$26, SCOOP!$G$3:$J$9, 4, FALSE)</f>
        <v>0</v>
      </c>
      <c r="AIR63" s="6">
        <f>VLOOKUP(AIR$26, SCOOP!$G$3:$J$9, 4, FALSE)</f>
        <v>0</v>
      </c>
      <c r="AIS63" s="6">
        <f>VLOOKUP(AIS$26, SCOOP!$G$3:$J$9, 4, FALSE)</f>
        <v>0</v>
      </c>
      <c r="AIT63" s="6">
        <f>VLOOKUP(AIT$26, SCOOP!$G$3:$J$9, 4, FALSE)</f>
        <v>0</v>
      </c>
      <c r="AIU63" s="6">
        <f>VLOOKUP(AIU$26, SCOOP!$G$3:$J$9, 4, FALSE)</f>
        <v>0</v>
      </c>
      <c r="AIV63" s="6">
        <f>VLOOKUP(AIV$26, SCOOP!$G$3:$J$9, 4, FALSE)</f>
        <v>0</v>
      </c>
      <c r="AIW63" s="6">
        <f>VLOOKUP(AIW$26, SCOOP!$G$3:$J$9, 4, FALSE)</f>
        <v>0</v>
      </c>
      <c r="AIX63" s="6">
        <f>VLOOKUP(AIX$26, SCOOP!$G$3:$J$9, 4, FALSE)</f>
        <v>0</v>
      </c>
      <c r="AIY63" s="6">
        <f>VLOOKUP(AIY$26, SCOOP!$G$3:$J$9, 4, FALSE)</f>
        <v>0</v>
      </c>
      <c r="AIZ63" s="6">
        <f>VLOOKUP(AIZ$26, SCOOP!$G$3:$J$9, 4, FALSE)</f>
        <v>0</v>
      </c>
      <c r="AJA63" s="6">
        <f>VLOOKUP(AJA$26, SCOOP!$G$3:$J$9, 4, FALSE)</f>
        <v>0</v>
      </c>
      <c r="AJB63" s="6">
        <f>VLOOKUP(AJB$26, SCOOP!$G$3:$J$9, 4, FALSE)</f>
        <v>0</v>
      </c>
      <c r="AJC63" s="6">
        <f>VLOOKUP(AJC$26, SCOOP!$G$3:$J$9, 4, FALSE)</f>
        <v>0</v>
      </c>
      <c r="AJD63" s="6">
        <f>VLOOKUP(AJD$26, SCOOP!$G$3:$J$9, 4, FALSE)</f>
        <v>0</v>
      </c>
      <c r="AJE63" s="6">
        <f>VLOOKUP(AJE$26, SCOOP!$G$3:$J$9, 4, FALSE)</f>
        <v>0</v>
      </c>
      <c r="AJF63" s="6">
        <f>VLOOKUP(AJF$26, SCOOP!$G$3:$J$9, 4, FALSE)</f>
        <v>0</v>
      </c>
      <c r="AJG63" s="6">
        <f>VLOOKUP(AJG$26, SCOOP!$G$3:$J$9, 4, FALSE)</f>
        <v>0</v>
      </c>
      <c r="AJH63" s="6">
        <f>VLOOKUP(AJH$26, SCOOP!$G$3:$J$9, 4, FALSE)</f>
        <v>0</v>
      </c>
      <c r="AJI63" s="6">
        <f>VLOOKUP(AJI$26, SCOOP!$G$3:$J$9, 4, FALSE)</f>
        <v>0</v>
      </c>
      <c r="AJJ63" s="6">
        <f>VLOOKUP(AJJ$26, SCOOP!$G$3:$J$9, 4, FALSE)</f>
        <v>0</v>
      </c>
      <c r="AJK63" s="6">
        <f>VLOOKUP(AJK$26, SCOOP!$G$3:$J$9, 4, FALSE)</f>
        <v>0</v>
      </c>
      <c r="AJL63" s="6">
        <f>VLOOKUP(AJL$26, SCOOP!$G$3:$J$9, 4, FALSE)</f>
        <v>0</v>
      </c>
      <c r="AJM63" s="6">
        <f>VLOOKUP(AJM$26, SCOOP!$G$3:$J$9, 4, FALSE)</f>
        <v>0</v>
      </c>
      <c r="AJN63" s="6">
        <f>VLOOKUP(AJN$26, SCOOP!$G$3:$J$9, 4, FALSE)</f>
        <v>0</v>
      </c>
      <c r="AJO63" s="6">
        <f>VLOOKUP(AJO$26, SCOOP!$G$3:$J$9, 4, FALSE)</f>
        <v>0</v>
      </c>
      <c r="AJP63" s="6">
        <f>VLOOKUP(AJP$26, SCOOP!$G$3:$J$9, 4, FALSE)</f>
        <v>0</v>
      </c>
      <c r="AJQ63" s="6">
        <f>VLOOKUP(AJQ$26, SCOOP!$G$3:$J$9, 4, FALSE)</f>
        <v>0</v>
      </c>
      <c r="AJR63" s="6">
        <f>VLOOKUP(AJR$26, SCOOP!$G$3:$J$9, 4, FALSE)</f>
        <v>0</v>
      </c>
      <c r="AJS63" s="6">
        <f>VLOOKUP(AJS$26, SCOOP!$G$3:$J$9, 4, FALSE)</f>
        <v>0</v>
      </c>
      <c r="AJT63" s="6">
        <f>VLOOKUP(AJT$26, SCOOP!$G$3:$J$9, 4, FALSE)</f>
        <v>0</v>
      </c>
      <c r="AJU63" s="6">
        <f>VLOOKUP(AJU$26, SCOOP!$G$3:$J$9, 4, FALSE)</f>
        <v>0</v>
      </c>
      <c r="AJV63" s="6">
        <f>VLOOKUP(AJV$26, SCOOP!$G$3:$J$9, 4, FALSE)</f>
        <v>0</v>
      </c>
      <c r="AJW63" s="6">
        <f>VLOOKUP(AJW$26, SCOOP!$G$3:$J$9, 4, FALSE)</f>
        <v>0</v>
      </c>
      <c r="AJX63" s="6">
        <f>VLOOKUP(AJX$26, SCOOP!$G$3:$J$9, 4, FALSE)</f>
        <v>0</v>
      </c>
      <c r="AJY63" s="6">
        <f>VLOOKUP(AJY$26, SCOOP!$G$3:$J$9, 4, FALSE)</f>
        <v>0</v>
      </c>
      <c r="AJZ63" s="6">
        <f>VLOOKUP(AJZ$26, SCOOP!$G$3:$J$9, 4, FALSE)</f>
        <v>0</v>
      </c>
      <c r="AKA63" s="6">
        <f>VLOOKUP(AKA$26, SCOOP!$G$3:$J$9, 4, FALSE)</f>
        <v>0</v>
      </c>
      <c r="AKB63" s="6">
        <f>VLOOKUP(AKB$26, SCOOP!$G$3:$J$9, 4, FALSE)</f>
        <v>0</v>
      </c>
      <c r="AKC63" s="6">
        <f>VLOOKUP(AKC$26, SCOOP!$G$3:$J$9, 4, FALSE)</f>
        <v>0</v>
      </c>
      <c r="AKD63" s="6">
        <f>VLOOKUP(AKD$26, SCOOP!$G$3:$J$9, 4, FALSE)</f>
        <v>0</v>
      </c>
      <c r="AKE63" s="6">
        <f>VLOOKUP(AKE$26, SCOOP!$G$3:$J$9, 4, FALSE)</f>
        <v>0</v>
      </c>
      <c r="AKF63" s="6">
        <f>VLOOKUP(AKF$26, SCOOP!$G$3:$J$9, 4, FALSE)</f>
        <v>0</v>
      </c>
      <c r="AKG63" s="6">
        <f>VLOOKUP(AKG$26, SCOOP!$G$3:$J$9, 4, FALSE)</f>
        <v>0</v>
      </c>
      <c r="AKH63" s="6">
        <f>VLOOKUP(AKH$26, SCOOP!$G$3:$J$9, 4, FALSE)</f>
        <v>0</v>
      </c>
      <c r="AKI63" s="6">
        <f>VLOOKUP(AKI$26, SCOOP!$G$3:$J$9, 4, FALSE)</f>
        <v>0</v>
      </c>
      <c r="AKJ63" s="6">
        <f>VLOOKUP(AKJ$26, SCOOP!$G$3:$J$9, 4, FALSE)</f>
        <v>0</v>
      </c>
      <c r="AKK63" s="6">
        <f>VLOOKUP(AKK$26, SCOOP!$G$3:$J$9, 4, FALSE)</f>
        <v>0</v>
      </c>
      <c r="AKL63" s="6">
        <f>VLOOKUP(AKL$26, SCOOP!$G$3:$J$9, 4, FALSE)</f>
        <v>0</v>
      </c>
      <c r="AKM63" s="6">
        <f>VLOOKUP(AKM$26, SCOOP!$G$3:$J$9, 4, FALSE)</f>
        <v>0</v>
      </c>
      <c r="AKN63" s="6">
        <f>VLOOKUP(AKN$26, SCOOP!$G$3:$J$9, 4, FALSE)</f>
        <v>0</v>
      </c>
      <c r="AKO63" s="6">
        <f>VLOOKUP(AKO$26, SCOOP!$G$3:$J$9, 4, FALSE)</f>
        <v>0</v>
      </c>
      <c r="AKP63" s="6">
        <f>VLOOKUP(AKP$26, SCOOP!$G$3:$J$9, 4, FALSE)</f>
        <v>0</v>
      </c>
      <c r="AKQ63" s="6">
        <f>VLOOKUP(AKQ$26, SCOOP!$G$3:$J$9, 4, FALSE)</f>
        <v>0</v>
      </c>
      <c r="AKR63" s="6">
        <f>VLOOKUP(AKR$26, SCOOP!$G$3:$J$9, 4, FALSE)</f>
        <v>0</v>
      </c>
      <c r="AKS63" s="6">
        <f>VLOOKUP(AKS$26, SCOOP!$G$3:$J$9, 4, FALSE)</f>
        <v>0</v>
      </c>
      <c r="AKT63" s="6">
        <f>VLOOKUP(AKT$26, SCOOP!$G$3:$J$9, 4, FALSE)</f>
        <v>0</v>
      </c>
      <c r="AKU63" s="6">
        <f>VLOOKUP(AKU$26, SCOOP!$G$3:$J$9, 4, FALSE)</f>
        <v>0</v>
      </c>
      <c r="AKV63" s="6">
        <f>VLOOKUP(AKV$26, SCOOP!$G$3:$J$9, 4, FALSE)</f>
        <v>0</v>
      </c>
      <c r="AKW63" s="6">
        <f>VLOOKUP(AKW$26, SCOOP!$G$3:$J$9, 4, FALSE)</f>
        <v>0</v>
      </c>
      <c r="AKX63" s="6">
        <f>VLOOKUP(AKX$26, SCOOP!$G$3:$J$9, 4, FALSE)</f>
        <v>0</v>
      </c>
      <c r="AKY63" s="6">
        <f>VLOOKUP(AKY$26, SCOOP!$G$3:$J$9, 4, FALSE)</f>
        <v>0</v>
      </c>
      <c r="AKZ63" s="6">
        <f>VLOOKUP(AKZ$26, SCOOP!$G$3:$J$9, 4, FALSE)</f>
        <v>0</v>
      </c>
      <c r="ALA63" s="6">
        <f>VLOOKUP(ALA$26, SCOOP!$G$3:$J$9, 4, FALSE)</f>
        <v>0</v>
      </c>
      <c r="ALB63" s="6">
        <f>VLOOKUP(ALB$26, SCOOP!$G$3:$J$9, 4, FALSE)</f>
        <v>0</v>
      </c>
      <c r="ALC63" s="6">
        <f>VLOOKUP(ALC$26, SCOOP!$G$3:$J$9, 4, FALSE)</f>
        <v>0</v>
      </c>
      <c r="ALD63" s="6">
        <f>VLOOKUP(ALD$26, SCOOP!$G$3:$J$9, 4, FALSE)</f>
        <v>0</v>
      </c>
      <c r="ALE63" s="6">
        <f>VLOOKUP(ALE$26, SCOOP!$G$3:$J$9, 4, FALSE)</f>
        <v>0</v>
      </c>
      <c r="ALF63" s="6">
        <f>VLOOKUP(ALF$26, SCOOP!$G$3:$J$9, 4, FALSE)</f>
        <v>0</v>
      </c>
      <c r="ALG63" s="6">
        <f>VLOOKUP(ALG$26, SCOOP!$G$3:$J$9, 4, FALSE)</f>
        <v>0</v>
      </c>
      <c r="ALH63" s="6">
        <f>VLOOKUP(ALH$26, SCOOP!$G$3:$J$9, 4, FALSE)</f>
        <v>0</v>
      </c>
      <c r="ALI63" s="6">
        <f>VLOOKUP(ALI$26, SCOOP!$G$3:$J$9, 4, FALSE)</f>
        <v>0</v>
      </c>
      <c r="ALJ63" s="6">
        <f>VLOOKUP(ALJ$26, SCOOP!$G$3:$J$9, 4, FALSE)</f>
        <v>0</v>
      </c>
      <c r="ALK63" s="6">
        <f>VLOOKUP(ALK$26, SCOOP!$G$3:$J$9, 4, FALSE)</f>
        <v>0</v>
      </c>
      <c r="ALL63" s="6">
        <f>VLOOKUP(ALL$26, SCOOP!$G$3:$J$9, 4, FALSE)</f>
        <v>0</v>
      </c>
      <c r="ALM63" s="6">
        <f>VLOOKUP(ALM$26, SCOOP!$G$3:$J$9, 4, FALSE)</f>
        <v>0</v>
      </c>
      <c r="ALN63" s="6">
        <f>VLOOKUP(ALN$26, SCOOP!$G$3:$J$9, 4, FALSE)</f>
        <v>0</v>
      </c>
      <c r="ALO63" s="6">
        <f>VLOOKUP(ALO$26, SCOOP!$G$3:$J$9, 4, FALSE)</f>
        <v>0</v>
      </c>
      <c r="ALP63" s="6">
        <f>VLOOKUP(ALP$26, SCOOP!$G$3:$J$9, 4, FALSE)</f>
        <v>0</v>
      </c>
      <c r="ALQ63" s="6">
        <f>VLOOKUP(ALQ$26, SCOOP!$G$3:$J$9, 4, FALSE)</f>
        <v>0</v>
      </c>
      <c r="ALR63" s="6">
        <f>VLOOKUP(ALR$26, SCOOP!$G$3:$J$9, 4, FALSE)</f>
        <v>0</v>
      </c>
      <c r="ALS63" s="6">
        <f>VLOOKUP(ALS$26, SCOOP!$G$3:$J$9, 4, FALSE)</f>
        <v>0</v>
      </c>
      <c r="ALT63" s="6">
        <f>VLOOKUP(ALT$26, SCOOP!$G$3:$J$9, 4, FALSE)</f>
        <v>0</v>
      </c>
      <c r="ALU63" s="6">
        <f>VLOOKUP(ALU$26, SCOOP!$G$3:$J$9, 4, FALSE)</f>
        <v>0</v>
      </c>
      <c r="ALV63" s="6">
        <f>VLOOKUP(ALV$26, SCOOP!$G$3:$J$9, 4, FALSE)</f>
        <v>0</v>
      </c>
      <c r="ALW63" s="6">
        <f>VLOOKUP(ALW$26, SCOOP!$G$3:$J$9, 4, FALSE)</f>
        <v>0</v>
      </c>
    </row>
    <row r="64" spans="2:1011" outlineLevel="1" x14ac:dyDescent="0.25">
      <c r="C64" s="5" t="s">
        <v>16</v>
      </c>
      <c r="D64" s="6">
        <f>VLOOKUP(D$33, ALTO!$G$3:$J$9, 4, FALSE)</f>
        <v>1.5999999999999999E-5</v>
      </c>
      <c r="E64" s="6">
        <f>VLOOKUP(E$33, ALTO!$G$3:$J$9, 4, FALSE)</f>
        <v>1.5999999999999999E-5</v>
      </c>
      <c r="F64" s="6">
        <f>VLOOKUP(F$33, ALTO!$G$3:$J$9, 4, FALSE)</f>
        <v>1.5999999999999999E-5</v>
      </c>
      <c r="G64" s="6">
        <f>VLOOKUP(G$33, ALTO!$G$3:$J$9, 4, FALSE)</f>
        <v>1.5999999999999999E-5</v>
      </c>
      <c r="H64" s="6">
        <f>VLOOKUP(H$33, ALTO!$G$3:$J$9, 4, FALSE)</f>
        <v>1.5999999999999999E-5</v>
      </c>
      <c r="I64" s="6">
        <f>VLOOKUP(I$33, ALTO!$G$3:$J$9, 4, FALSE)</f>
        <v>1.5999999999999999E-5</v>
      </c>
      <c r="J64" s="6">
        <f>VLOOKUP(J$33, ALTO!$G$3:$J$9, 4, FALSE)</f>
        <v>1.5999999999999999E-5</v>
      </c>
      <c r="K64" s="6">
        <f>VLOOKUP(K$33, ALTO!$G$3:$J$9, 4, FALSE)</f>
        <v>1.5999999999999999E-5</v>
      </c>
      <c r="L64" s="6">
        <f>VLOOKUP(L$33, ALTO!$G$3:$J$9, 4, FALSE)</f>
        <v>1.5999999999999999E-5</v>
      </c>
      <c r="M64" s="6">
        <f>VLOOKUP(M$33, ALTO!$G$3:$J$9, 4, FALSE)</f>
        <v>1.5999999999999999E-5</v>
      </c>
      <c r="N64" s="6">
        <f>VLOOKUP(N$33, ALTO!$G$3:$J$9, 4, FALSE)</f>
        <v>1.5999999999999999E-5</v>
      </c>
      <c r="O64" s="6">
        <f>VLOOKUP(O$33, ALTO!$G$3:$J$9, 4, FALSE)</f>
        <v>1.5999999999999999E-5</v>
      </c>
      <c r="P64" s="6">
        <f>VLOOKUP(P$33, ALTO!$G$3:$J$9, 4, FALSE)</f>
        <v>1.5999999999999999E-5</v>
      </c>
      <c r="Q64" s="6">
        <f>VLOOKUP(Q$33, ALTO!$G$3:$J$9, 4, FALSE)</f>
        <v>1.5999999999999999E-5</v>
      </c>
      <c r="R64" s="6">
        <f>VLOOKUP(R$33, ALTO!$G$3:$J$9, 4, FALSE)</f>
        <v>1.5999999999999999E-5</v>
      </c>
      <c r="S64" s="6">
        <f>VLOOKUP(S$33, ALTO!$G$3:$J$9, 4, FALSE)</f>
        <v>1.5999999999999999E-5</v>
      </c>
      <c r="T64" s="6">
        <f>VLOOKUP(T$33, ALTO!$G$3:$J$9, 4, FALSE)</f>
        <v>1.5999999999999999E-5</v>
      </c>
      <c r="U64" s="6">
        <f>VLOOKUP(U$33, ALTO!$G$3:$J$9, 4, FALSE)</f>
        <v>1.5999999999999999E-5</v>
      </c>
      <c r="V64" s="6">
        <f>VLOOKUP(V$33, ALTO!$G$3:$J$9, 4, FALSE)</f>
        <v>1.5999999999999999E-5</v>
      </c>
      <c r="W64" s="6">
        <f>VLOOKUP(W$33, ALTO!$G$3:$J$9, 4, FALSE)</f>
        <v>1.5999999999999999E-5</v>
      </c>
      <c r="X64" s="6">
        <f>VLOOKUP(X$33, ALTO!$G$3:$J$9, 4, FALSE)</f>
        <v>1.5999999999999999E-5</v>
      </c>
      <c r="Y64" s="6">
        <f>VLOOKUP(Y$33, ALTO!$G$3:$J$9, 4, FALSE)</f>
        <v>1.5999999999999999E-5</v>
      </c>
      <c r="Z64" s="6">
        <f>VLOOKUP(Z$33, ALTO!$G$3:$J$9, 4, FALSE)</f>
        <v>1.5999999999999999E-5</v>
      </c>
      <c r="AA64" s="6">
        <f>VLOOKUP(AA$33, ALTO!$G$3:$J$9, 4, FALSE)</f>
        <v>1.5999999999999999E-5</v>
      </c>
      <c r="AB64" s="6">
        <f>VLOOKUP(AB$33, ALTO!$G$3:$J$9, 4, FALSE)</f>
        <v>1.5999999999999999E-5</v>
      </c>
      <c r="AC64" s="6">
        <f>VLOOKUP(AC$33, ALTO!$G$3:$J$9, 4, FALSE)</f>
        <v>9.6000000000000002E-2</v>
      </c>
      <c r="AD64" s="6">
        <f>VLOOKUP(AD$33, ALTO!$G$3:$J$9, 4, FALSE)</f>
        <v>9.6000000000000002E-2</v>
      </c>
      <c r="AE64" s="6">
        <f>VLOOKUP(AE$33, ALTO!$G$3:$J$9, 4, FALSE)</f>
        <v>9.6000000000000002E-2</v>
      </c>
      <c r="AF64" s="6">
        <f>VLOOKUP(AF$33, ALTO!$G$3:$J$9, 4, FALSE)</f>
        <v>9.6000000000000002E-2</v>
      </c>
      <c r="AG64" s="6">
        <f>VLOOKUP(AG$33, ALTO!$G$3:$J$9, 4, FALSE)</f>
        <v>9.6000000000000002E-2</v>
      </c>
      <c r="AH64" s="6">
        <f>VLOOKUP(AH$33, ALTO!$G$3:$J$9, 4, FALSE)</f>
        <v>9.6000000000000002E-2</v>
      </c>
      <c r="AI64" s="6">
        <f>VLOOKUP(AI$33, ALTO!$G$3:$J$9, 4, FALSE)</f>
        <v>9.6000000000000002E-2</v>
      </c>
      <c r="AJ64" s="6">
        <f>VLOOKUP(AJ$33, ALTO!$G$3:$J$9, 4, FALSE)</f>
        <v>9.6000000000000002E-2</v>
      </c>
      <c r="AK64" s="6">
        <f>VLOOKUP(AK$33, ALTO!$G$3:$J$9, 4, FALSE)</f>
        <v>9.6000000000000002E-2</v>
      </c>
      <c r="AL64" s="6">
        <f>VLOOKUP(AL$33, ALTO!$G$3:$J$9, 4, FALSE)</f>
        <v>9.6000000000000002E-2</v>
      </c>
      <c r="AM64" s="6">
        <f>VLOOKUP(AM$33, ALTO!$G$3:$J$9, 4, FALSE)</f>
        <v>9.6000000000000002E-2</v>
      </c>
      <c r="AN64" s="6">
        <f>VLOOKUP(AN$33, ALTO!$G$3:$J$9, 4, FALSE)</f>
        <v>9.6000000000000002E-2</v>
      </c>
      <c r="AO64" s="6">
        <f>VLOOKUP(AO$33, ALTO!$G$3:$J$9, 4, FALSE)</f>
        <v>9.6000000000000002E-2</v>
      </c>
      <c r="AP64" s="6">
        <f>VLOOKUP(AP$33, ALTO!$G$3:$J$9, 4, FALSE)</f>
        <v>9.6000000000000002E-2</v>
      </c>
      <c r="AQ64" s="6">
        <f>VLOOKUP(AQ$33, ALTO!$G$3:$J$9, 4, FALSE)</f>
        <v>9.6000000000000002E-2</v>
      </c>
      <c r="AR64" s="6">
        <f>VLOOKUP(AR$33, ALTO!$G$3:$J$9, 4, FALSE)</f>
        <v>1.5999999999999999E-5</v>
      </c>
      <c r="AS64" s="6">
        <f>VLOOKUP(AS$33, ALTO!$G$3:$J$9, 4, FALSE)</f>
        <v>1.5999999999999999E-5</v>
      </c>
      <c r="AT64" s="6">
        <f>VLOOKUP(AT$33, ALTO!$G$3:$J$9, 4, FALSE)</f>
        <v>1.5999999999999999E-5</v>
      </c>
      <c r="AU64" s="6">
        <f>VLOOKUP(AU$33, ALTO!$G$3:$J$9, 4, FALSE)</f>
        <v>1.5999999999999999E-5</v>
      </c>
      <c r="AV64" s="6">
        <f>VLOOKUP(AV$33, ALTO!$G$3:$J$9, 4, FALSE)</f>
        <v>1.5999999999999999E-5</v>
      </c>
      <c r="AW64" s="6">
        <f>VLOOKUP(AW$33, ALTO!$G$3:$J$9, 4, FALSE)</f>
        <v>1.5999999999999999E-5</v>
      </c>
      <c r="AX64" s="6">
        <f>VLOOKUP(AX$33, ALTO!$G$3:$J$9, 4, FALSE)</f>
        <v>1.5999999999999999E-5</v>
      </c>
      <c r="AY64" s="6">
        <f>VLOOKUP(AY$33, ALTO!$G$3:$J$9, 4, FALSE)</f>
        <v>1.5999999999999999E-5</v>
      </c>
      <c r="AZ64" s="6">
        <f>VLOOKUP(AZ$33, ALTO!$G$3:$J$9, 4, FALSE)</f>
        <v>1.5999999999999999E-5</v>
      </c>
      <c r="BA64" s="6">
        <f>VLOOKUP(BA$33, ALTO!$G$3:$J$9, 4, FALSE)</f>
        <v>1.5999999999999999E-5</v>
      </c>
      <c r="BB64" s="6">
        <f>VLOOKUP(BB$33, ALTO!$G$3:$J$9, 4, FALSE)</f>
        <v>1.5999999999999999E-5</v>
      </c>
      <c r="BC64" s="6">
        <f>VLOOKUP(BC$33, ALTO!$G$3:$J$9, 4, FALSE)</f>
        <v>1.5999999999999999E-5</v>
      </c>
      <c r="BD64" s="6">
        <f>VLOOKUP(BD$33, ALTO!$G$3:$J$9, 4, FALSE)</f>
        <v>1.5999999999999999E-5</v>
      </c>
      <c r="BE64" s="6">
        <f>VLOOKUP(BE$33, ALTO!$G$3:$J$9, 4, FALSE)</f>
        <v>1.5999999999999999E-5</v>
      </c>
      <c r="BF64" s="6">
        <f>VLOOKUP(BF$33, ALTO!$G$3:$J$9, 4, FALSE)</f>
        <v>1.5999999999999999E-5</v>
      </c>
      <c r="BG64" s="6">
        <f>VLOOKUP(BG$33, ALTO!$G$3:$J$9, 4, FALSE)</f>
        <v>1.5999999999999999E-5</v>
      </c>
      <c r="BH64" s="6">
        <f>VLOOKUP(BH$33, ALTO!$G$3:$J$9, 4, FALSE)</f>
        <v>1.5999999999999999E-5</v>
      </c>
      <c r="BI64" s="6">
        <f>VLOOKUP(BI$33, ALTO!$G$3:$J$9, 4, FALSE)</f>
        <v>9.6000000000000002E-2</v>
      </c>
      <c r="BJ64" s="6">
        <f>VLOOKUP(BJ$33, ALTO!$G$3:$J$9, 4, FALSE)</f>
        <v>9.6000000000000002E-2</v>
      </c>
      <c r="BK64" s="6">
        <f>VLOOKUP(BK$33, ALTO!$G$3:$J$9, 4, FALSE)</f>
        <v>9.6000000000000002E-2</v>
      </c>
      <c r="BL64" s="6">
        <f>VLOOKUP(BL$33, ALTO!$G$3:$J$9, 4, FALSE)</f>
        <v>9.6000000000000002E-2</v>
      </c>
      <c r="BM64" s="6">
        <f>VLOOKUP(BM$33, ALTO!$G$3:$J$9, 4, FALSE)</f>
        <v>9.6000000000000002E-2</v>
      </c>
      <c r="BN64" s="6">
        <f>VLOOKUP(BN$33, ALTO!$G$3:$J$9, 4, FALSE)</f>
        <v>9.6000000000000002E-2</v>
      </c>
      <c r="BO64" s="6">
        <f>VLOOKUP(BO$33, ALTO!$G$3:$J$9, 4, FALSE)</f>
        <v>9.6000000000000002E-2</v>
      </c>
      <c r="BP64" s="6">
        <f>VLOOKUP(BP$33, ALTO!$G$3:$J$9, 4, FALSE)</f>
        <v>9.6000000000000002E-2</v>
      </c>
      <c r="BQ64" s="6">
        <f>VLOOKUP(BQ$33, ALTO!$G$3:$J$9, 4, FALSE)</f>
        <v>9.6000000000000002E-2</v>
      </c>
      <c r="BR64" s="6">
        <f>VLOOKUP(BR$33, ALTO!$G$3:$J$9, 4, FALSE)</f>
        <v>9.6000000000000002E-2</v>
      </c>
      <c r="BS64" s="6">
        <f>VLOOKUP(BS$33, ALTO!$G$3:$J$9, 4, FALSE)</f>
        <v>9.6000000000000002E-2</v>
      </c>
      <c r="BT64" s="6">
        <f>VLOOKUP(BT$33, ALTO!$G$3:$J$9, 4, FALSE)</f>
        <v>9.6000000000000002E-2</v>
      </c>
      <c r="BU64" s="6">
        <f>VLOOKUP(BU$33, ALTO!$G$3:$J$9, 4, FALSE)</f>
        <v>9.6000000000000002E-2</v>
      </c>
      <c r="BV64" s="6">
        <f>VLOOKUP(BV$33, ALTO!$G$3:$J$9, 4, FALSE)</f>
        <v>9.6000000000000002E-2</v>
      </c>
      <c r="BW64" s="6">
        <f>VLOOKUP(BW$33, ALTO!$G$3:$J$9, 4, FALSE)</f>
        <v>9.6000000000000002E-2</v>
      </c>
      <c r="BX64" s="6">
        <f>VLOOKUP(BX$33, ALTO!$G$3:$J$9, 4, FALSE)</f>
        <v>1.5999999999999999E-5</v>
      </c>
      <c r="BY64" s="6">
        <f>VLOOKUP(BY$33, ALTO!$G$3:$J$9, 4, FALSE)</f>
        <v>1.5999999999999999E-5</v>
      </c>
      <c r="BZ64" s="6">
        <f>VLOOKUP(BZ$33, ALTO!$G$3:$J$9, 4, FALSE)</f>
        <v>1.5999999999999999E-5</v>
      </c>
      <c r="CA64" s="6">
        <f>VLOOKUP(CA$33, ALTO!$G$3:$J$9, 4, FALSE)</f>
        <v>1.5999999999999999E-5</v>
      </c>
      <c r="CB64" s="6">
        <f>VLOOKUP(CB$33, ALTO!$G$3:$J$9, 4, FALSE)</f>
        <v>1.5999999999999999E-5</v>
      </c>
      <c r="CC64" s="6">
        <f>VLOOKUP(CC$33, ALTO!$G$3:$J$9, 4, FALSE)</f>
        <v>1.5999999999999999E-5</v>
      </c>
      <c r="CD64" s="6">
        <f>VLOOKUP(CD$33, ALTO!$G$3:$J$9, 4, FALSE)</f>
        <v>1.5999999999999999E-5</v>
      </c>
      <c r="CE64" s="6">
        <f>VLOOKUP(CE$33, ALTO!$G$3:$J$9, 4, FALSE)</f>
        <v>1.5999999999999999E-5</v>
      </c>
      <c r="CF64" s="6">
        <f>VLOOKUP(CF$33, ALTO!$G$3:$J$9, 4, FALSE)</f>
        <v>1.5999999999999999E-5</v>
      </c>
      <c r="CG64" s="6">
        <f>VLOOKUP(CG$33, ALTO!$G$3:$J$9, 4, FALSE)</f>
        <v>1.5999999999999999E-5</v>
      </c>
      <c r="CH64" s="6">
        <f>VLOOKUP(CH$33, ALTO!$G$3:$J$9, 4, FALSE)</f>
        <v>1.5999999999999999E-5</v>
      </c>
      <c r="CI64" s="6">
        <f>VLOOKUP(CI$33, ALTO!$G$3:$J$9, 4, FALSE)</f>
        <v>1.5999999999999999E-5</v>
      </c>
      <c r="CJ64" s="6">
        <f>VLOOKUP(CJ$33, ALTO!$G$3:$J$9, 4, FALSE)</f>
        <v>1.5999999999999999E-5</v>
      </c>
      <c r="CK64" s="6">
        <f>VLOOKUP(CK$33, ALTO!$G$3:$J$9, 4, FALSE)</f>
        <v>1.5999999999999999E-5</v>
      </c>
      <c r="CL64" s="6">
        <f>VLOOKUP(CL$33, ALTO!$G$3:$J$9, 4, FALSE)</f>
        <v>1.5999999999999999E-5</v>
      </c>
      <c r="CM64" s="6">
        <f>VLOOKUP(CM$33, ALTO!$G$3:$J$9, 4, FALSE)</f>
        <v>1.5999999999999999E-5</v>
      </c>
      <c r="CN64" s="6">
        <f>VLOOKUP(CN$33, ALTO!$G$3:$J$9, 4, FALSE)</f>
        <v>1.5999999999999999E-5</v>
      </c>
      <c r="CO64" s="6">
        <f>VLOOKUP(CO$33, ALTO!$G$3:$J$9, 4, FALSE)</f>
        <v>1.5999999999999999E-5</v>
      </c>
      <c r="CP64" s="6">
        <f>VLOOKUP(CP$33, ALTO!$G$3:$J$9, 4, FALSE)</f>
        <v>1.5999999999999999E-5</v>
      </c>
      <c r="CQ64" s="6">
        <f>VLOOKUP(CQ$33, ALTO!$G$3:$J$9, 4, FALSE)</f>
        <v>1.5999999999999999E-5</v>
      </c>
      <c r="CR64" s="6">
        <f>VLOOKUP(CR$33, ALTO!$G$3:$J$9, 4, FALSE)</f>
        <v>1.5999999999999999E-5</v>
      </c>
      <c r="CS64" s="6">
        <f>VLOOKUP(CS$33, ALTO!$G$3:$J$9, 4, FALSE)</f>
        <v>1.5999999999999999E-5</v>
      </c>
      <c r="CT64" s="6">
        <f>VLOOKUP(CT$33, ALTO!$G$3:$J$9, 4, FALSE)</f>
        <v>1.5999999999999999E-5</v>
      </c>
      <c r="CU64" s="6">
        <f>VLOOKUP(CU$33, ALTO!$G$3:$J$9, 4, FALSE)</f>
        <v>1.5999999999999999E-5</v>
      </c>
      <c r="CV64" s="6">
        <f>VLOOKUP(CV$33, ALTO!$G$3:$J$9, 4, FALSE)</f>
        <v>1.5999999999999999E-5</v>
      </c>
      <c r="CW64" s="6">
        <f>VLOOKUP(CW$33, ALTO!$G$3:$J$9, 4, FALSE)</f>
        <v>9.6000000000000002E-2</v>
      </c>
      <c r="CX64" s="6">
        <f>VLOOKUP(CX$33, ALTO!$G$3:$J$9, 4, FALSE)</f>
        <v>9.6000000000000002E-2</v>
      </c>
      <c r="CY64" s="6">
        <f>VLOOKUP(CY$33, ALTO!$G$3:$J$9, 4, FALSE)</f>
        <v>9.6000000000000002E-2</v>
      </c>
      <c r="CZ64" s="6">
        <f>VLOOKUP(CZ$33, ALTO!$G$3:$J$9, 4, FALSE)</f>
        <v>9.6000000000000002E-2</v>
      </c>
      <c r="DA64" s="6">
        <f>VLOOKUP(DA$33, ALTO!$G$3:$J$9, 4, FALSE)</f>
        <v>9.6000000000000002E-2</v>
      </c>
      <c r="DB64" s="6">
        <f>VLOOKUP(DB$33, ALTO!$G$3:$J$9, 4, FALSE)</f>
        <v>9.6000000000000002E-2</v>
      </c>
      <c r="DC64" s="6">
        <f>VLOOKUP(DC$33, ALTO!$G$3:$J$9, 4, FALSE)</f>
        <v>9.6000000000000002E-2</v>
      </c>
      <c r="DD64" s="6">
        <f>VLOOKUP(DD$33, ALTO!$G$3:$J$9, 4, FALSE)</f>
        <v>9.6000000000000002E-2</v>
      </c>
      <c r="DE64" s="6">
        <f>VLOOKUP(DE$33, ALTO!$G$3:$J$9, 4, FALSE)</f>
        <v>9.6000000000000002E-2</v>
      </c>
      <c r="DF64" s="6">
        <f>VLOOKUP(DF$33, ALTO!$G$3:$J$9, 4, FALSE)</f>
        <v>9.6000000000000002E-2</v>
      </c>
      <c r="DG64" s="6">
        <f>VLOOKUP(DG$33, ALTO!$G$3:$J$9, 4, FALSE)</f>
        <v>9.6000000000000002E-2</v>
      </c>
      <c r="DH64" s="6">
        <f>VLOOKUP(DH$33, ALTO!$G$3:$J$9, 4, FALSE)</f>
        <v>9.6000000000000002E-2</v>
      </c>
      <c r="DI64" s="6">
        <f>VLOOKUP(DI$33, ALTO!$G$3:$J$9, 4, FALSE)</f>
        <v>9.6000000000000002E-2</v>
      </c>
      <c r="DJ64" s="6">
        <f>VLOOKUP(DJ$33, ALTO!$G$3:$J$9, 4, FALSE)</f>
        <v>9.6000000000000002E-2</v>
      </c>
      <c r="DK64" s="6">
        <f>VLOOKUP(DK$33, ALTO!$G$3:$J$9, 4, FALSE)</f>
        <v>9.6000000000000002E-2</v>
      </c>
      <c r="DL64" s="6">
        <f>VLOOKUP(DL$33, ALTO!$G$3:$J$9, 4, FALSE)</f>
        <v>1.5999999999999999E-5</v>
      </c>
      <c r="DM64" s="6">
        <f>VLOOKUP(DM$33, ALTO!$G$3:$J$9, 4, FALSE)</f>
        <v>1.5999999999999999E-5</v>
      </c>
      <c r="DN64" s="6">
        <f>VLOOKUP(DN$33, ALTO!$G$3:$J$9, 4, FALSE)</f>
        <v>1.5999999999999999E-5</v>
      </c>
      <c r="DO64" s="6">
        <f>VLOOKUP(DO$33, ALTO!$G$3:$J$9, 4, FALSE)</f>
        <v>1.5999999999999999E-5</v>
      </c>
      <c r="DP64" s="6">
        <f>VLOOKUP(DP$33, ALTO!$G$3:$J$9, 4, FALSE)</f>
        <v>0</v>
      </c>
      <c r="DQ64" s="6">
        <f>VLOOKUP(DQ$33, ALTO!$G$3:$J$9, 4, FALSE)</f>
        <v>0</v>
      </c>
      <c r="DR64" s="6">
        <f>VLOOKUP(DR$33, ALTO!$G$3:$J$9, 4, FALSE)</f>
        <v>0</v>
      </c>
      <c r="DS64" s="6">
        <f>VLOOKUP(DS$33, ALTO!$G$3:$J$9, 4, FALSE)</f>
        <v>0</v>
      </c>
      <c r="DT64" s="6">
        <f>VLOOKUP(DT$33, ALTO!$G$3:$J$9, 4, FALSE)</f>
        <v>0</v>
      </c>
      <c r="DU64" s="6">
        <f>VLOOKUP(DU$33, ALTO!$G$3:$J$9, 4, FALSE)</f>
        <v>0</v>
      </c>
      <c r="DV64" s="6">
        <f>VLOOKUP(DV$33, ALTO!$G$3:$J$9, 4, FALSE)</f>
        <v>0</v>
      </c>
      <c r="DW64" s="6">
        <f>VLOOKUP(DW$33, ALTO!$G$3:$J$9, 4, FALSE)</f>
        <v>0</v>
      </c>
      <c r="DX64" s="6">
        <f>VLOOKUP(DX$33, ALTO!$G$3:$J$9, 4, FALSE)</f>
        <v>0</v>
      </c>
      <c r="DY64" s="6">
        <f>VLOOKUP(DY$33, ALTO!$G$3:$J$9, 4, FALSE)</f>
        <v>0</v>
      </c>
      <c r="DZ64" s="6">
        <f>VLOOKUP(DZ$33, ALTO!$G$3:$J$9, 4, FALSE)</f>
        <v>0</v>
      </c>
      <c r="EA64" s="6">
        <f>VLOOKUP(EA$33, ALTO!$G$3:$J$9, 4, FALSE)</f>
        <v>0</v>
      </c>
      <c r="EB64" s="6">
        <f>VLOOKUP(EB$33, ALTO!$G$3:$J$9, 4, FALSE)</f>
        <v>0</v>
      </c>
      <c r="EC64" s="6">
        <f>VLOOKUP(EC$33, ALTO!$G$3:$J$9, 4, FALSE)</f>
        <v>0</v>
      </c>
      <c r="ED64" s="6">
        <f>VLOOKUP(ED$33, ALTO!$G$3:$J$9, 4, FALSE)</f>
        <v>0</v>
      </c>
      <c r="EE64" s="6">
        <f>VLOOKUP(EE$33, ALTO!$G$3:$J$9, 4, FALSE)</f>
        <v>0</v>
      </c>
      <c r="EF64" s="6">
        <f>VLOOKUP(EF$33, ALTO!$G$3:$J$9, 4, FALSE)</f>
        <v>0</v>
      </c>
      <c r="EG64" s="6">
        <f>VLOOKUP(EG$33, ALTO!$G$3:$J$9, 4, FALSE)</f>
        <v>0</v>
      </c>
      <c r="EH64" s="6">
        <f>VLOOKUP(EH$33, ALTO!$G$3:$J$9, 4, FALSE)</f>
        <v>0</v>
      </c>
      <c r="EI64" s="6">
        <f>VLOOKUP(EI$33, ALTO!$G$3:$J$9, 4, FALSE)</f>
        <v>0</v>
      </c>
      <c r="EJ64" s="6">
        <f>VLOOKUP(EJ$33, ALTO!$G$3:$J$9, 4, FALSE)</f>
        <v>0</v>
      </c>
      <c r="EK64" s="6">
        <f>VLOOKUP(EK$33, ALTO!$G$3:$J$9, 4, FALSE)</f>
        <v>0</v>
      </c>
      <c r="EL64" s="6">
        <f>VLOOKUP(EL$33, ALTO!$G$3:$J$9, 4, FALSE)</f>
        <v>0</v>
      </c>
      <c r="EM64" s="6">
        <f>VLOOKUP(EM$33, ALTO!$G$3:$J$9, 4, FALSE)</f>
        <v>0</v>
      </c>
      <c r="EN64" s="6">
        <f>VLOOKUP(EN$33, ALTO!$G$3:$J$9, 4, FALSE)</f>
        <v>0</v>
      </c>
      <c r="EO64" s="6">
        <f>VLOOKUP(EO$33, ALTO!$G$3:$J$9, 4, FALSE)</f>
        <v>0</v>
      </c>
      <c r="EP64" s="6">
        <f>VLOOKUP(EP$33, ALTO!$G$3:$J$9, 4, FALSE)</f>
        <v>0</v>
      </c>
      <c r="EQ64" s="6">
        <f>VLOOKUP(EQ$33, ALTO!$G$3:$J$9, 4, FALSE)</f>
        <v>0</v>
      </c>
      <c r="ER64" s="6">
        <f>VLOOKUP(ER$33, ALTO!$G$3:$J$9, 4, FALSE)</f>
        <v>0</v>
      </c>
      <c r="ES64" s="6">
        <f>VLOOKUP(ES$33, ALTO!$G$3:$J$9, 4, FALSE)</f>
        <v>0</v>
      </c>
      <c r="ET64" s="6">
        <f>VLOOKUP(ET$33, ALTO!$G$3:$J$9, 4, FALSE)</f>
        <v>0</v>
      </c>
      <c r="EU64" s="6">
        <f>VLOOKUP(EU$33, ALTO!$G$3:$J$9, 4, FALSE)</f>
        <v>0</v>
      </c>
      <c r="EV64" s="6">
        <f>VLOOKUP(EV$33, ALTO!$G$3:$J$9, 4, FALSE)</f>
        <v>0</v>
      </c>
      <c r="EW64" s="6">
        <f>VLOOKUP(EW$33, ALTO!$G$3:$J$9, 4, FALSE)</f>
        <v>0</v>
      </c>
      <c r="EX64" s="6">
        <f>VLOOKUP(EX$33, ALTO!$G$3:$J$9, 4, FALSE)</f>
        <v>0</v>
      </c>
      <c r="EY64" s="6">
        <f>VLOOKUP(EY$33, ALTO!$G$3:$J$9, 4, FALSE)</f>
        <v>0</v>
      </c>
      <c r="EZ64" s="6">
        <f>VLOOKUP(EZ$33, ALTO!$G$3:$J$9, 4, FALSE)</f>
        <v>0</v>
      </c>
      <c r="FA64" s="6">
        <f>VLOOKUP(FA$33, ALTO!$G$3:$J$9, 4, FALSE)</f>
        <v>0</v>
      </c>
      <c r="FB64" s="6">
        <f>VLOOKUP(FB$33, ALTO!$G$3:$J$9, 4, FALSE)</f>
        <v>0</v>
      </c>
      <c r="FC64" s="6">
        <f>VLOOKUP(FC$33, ALTO!$G$3:$J$9, 4, FALSE)</f>
        <v>0</v>
      </c>
      <c r="FD64" s="6">
        <f>VLOOKUP(FD$33, ALTO!$G$3:$J$9, 4, FALSE)</f>
        <v>0</v>
      </c>
      <c r="FE64" s="6">
        <f>VLOOKUP(FE$33, ALTO!$G$3:$J$9, 4, FALSE)</f>
        <v>0</v>
      </c>
      <c r="FF64" s="6">
        <f>VLOOKUP(FF$33, ALTO!$G$3:$J$9, 4, FALSE)</f>
        <v>0</v>
      </c>
      <c r="FG64" s="6">
        <f>VLOOKUP(FG$33, ALTO!$G$3:$J$9, 4, FALSE)</f>
        <v>0</v>
      </c>
      <c r="FH64" s="6">
        <f>VLOOKUP(FH$33, ALTO!$G$3:$J$9, 4, FALSE)</f>
        <v>0</v>
      </c>
      <c r="FI64" s="6">
        <f>VLOOKUP(FI$33, ALTO!$G$3:$J$9, 4, FALSE)</f>
        <v>0</v>
      </c>
      <c r="FJ64" s="6">
        <f>VLOOKUP(FJ$33, ALTO!$G$3:$J$9, 4, FALSE)</f>
        <v>0</v>
      </c>
      <c r="FK64" s="6">
        <f>VLOOKUP(FK$33, ALTO!$G$3:$J$9, 4, FALSE)</f>
        <v>0</v>
      </c>
      <c r="FL64" s="6">
        <f>VLOOKUP(FL$33, ALTO!$G$3:$J$9, 4, FALSE)</f>
        <v>0</v>
      </c>
      <c r="FM64" s="6">
        <f>VLOOKUP(FM$33, ALTO!$G$3:$J$9, 4, FALSE)</f>
        <v>0</v>
      </c>
      <c r="FN64" s="6">
        <f>VLOOKUP(FN$33, ALTO!$G$3:$J$9, 4, FALSE)</f>
        <v>0</v>
      </c>
      <c r="FO64" s="6">
        <f>VLOOKUP(FO$33, ALTO!$G$3:$J$9, 4, FALSE)</f>
        <v>0</v>
      </c>
      <c r="FP64" s="6">
        <f>VLOOKUP(FP$33, ALTO!$G$3:$J$9, 4, FALSE)</f>
        <v>0</v>
      </c>
      <c r="FQ64" s="6">
        <f>VLOOKUP(FQ$33, ALTO!$G$3:$J$9, 4, FALSE)</f>
        <v>0</v>
      </c>
      <c r="FR64" s="6">
        <f>VLOOKUP(FR$33, ALTO!$G$3:$J$9, 4, FALSE)</f>
        <v>0</v>
      </c>
      <c r="FS64" s="6">
        <f>VLOOKUP(FS$33, ALTO!$G$3:$J$9, 4, FALSE)</f>
        <v>0</v>
      </c>
      <c r="FT64" s="6">
        <f>VLOOKUP(FT$33, ALTO!$G$3:$J$9, 4, FALSE)</f>
        <v>0</v>
      </c>
      <c r="FU64" s="6">
        <f>VLOOKUP(FU$33, ALTO!$G$3:$J$9, 4, FALSE)</f>
        <v>0</v>
      </c>
      <c r="FV64" s="6">
        <f>VLOOKUP(FV$33, ALTO!$G$3:$J$9, 4, FALSE)</f>
        <v>0</v>
      </c>
      <c r="FW64" s="6">
        <f>VLOOKUP(FW$33, ALTO!$G$3:$J$9, 4, FALSE)</f>
        <v>0</v>
      </c>
      <c r="FX64" s="6">
        <f>VLOOKUP(FX$33, ALTO!$G$3:$J$9, 4, FALSE)</f>
        <v>0</v>
      </c>
      <c r="FY64" s="6">
        <f>VLOOKUP(FY$33, ALTO!$G$3:$J$9, 4, FALSE)</f>
        <v>0</v>
      </c>
      <c r="FZ64" s="6">
        <f>VLOOKUP(FZ$33, ALTO!$G$3:$J$9, 4, FALSE)</f>
        <v>0</v>
      </c>
      <c r="GA64" s="6">
        <f>VLOOKUP(GA$33, ALTO!$G$3:$J$9, 4, FALSE)</f>
        <v>0</v>
      </c>
      <c r="GB64" s="6">
        <f>VLOOKUP(GB$33, ALTO!$G$3:$J$9, 4, FALSE)</f>
        <v>0</v>
      </c>
      <c r="GC64" s="6">
        <f>VLOOKUP(GC$33, ALTO!$G$3:$J$9, 4, FALSE)</f>
        <v>0</v>
      </c>
      <c r="GD64" s="6">
        <f>VLOOKUP(GD$33, ALTO!$G$3:$J$9, 4, FALSE)</f>
        <v>0</v>
      </c>
      <c r="GE64" s="6">
        <f>VLOOKUP(GE$33, ALTO!$G$3:$J$9, 4, FALSE)</f>
        <v>0</v>
      </c>
      <c r="GF64" s="6">
        <f>VLOOKUP(GF$33, ALTO!$G$3:$J$9, 4, FALSE)</f>
        <v>0</v>
      </c>
      <c r="GG64" s="6">
        <f>VLOOKUP(GG$33, ALTO!$G$3:$J$9, 4, FALSE)</f>
        <v>0</v>
      </c>
      <c r="GH64" s="6">
        <f>VLOOKUP(GH$33, ALTO!$G$3:$J$9, 4, FALSE)</f>
        <v>0</v>
      </c>
      <c r="GI64" s="6">
        <f>VLOOKUP(GI$33, ALTO!$G$3:$J$9, 4, FALSE)</f>
        <v>0</v>
      </c>
      <c r="GJ64" s="6">
        <f>VLOOKUP(GJ$33, ALTO!$G$3:$J$9, 4, FALSE)</f>
        <v>0</v>
      </c>
      <c r="GK64" s="6">
        <f>VLOOKUP(GK$33, ALTO!$G$3:$J$9, 4, FALSE)</f>
        <v>0</v>
      </c>
      <c r="GL64" s="6">
        <f>VLOOKUP(GL$33, ALTO!$G$3:$J$9, 4, FALSE)</f>
        <v>0</v>
      </c>
      <c r="GM64" s="6">
        <f>VLOOKUP(GM$33, ALTO!$G$3:$J$9, 4, FALSE)</f>
        <v>0</v>
      </c>
      <c r="GN64" s="6">
        <f>VLOOKUP(GN$33, ALTO!$G$3:$J$9, 4, FALSE)</f>
        <v>0</v>
      </c>
      <c r="GO64" s="6">
        <f>VLOOKUP(GO$33, ALTO!$G$3:$J$9, 4, FALSE)</f>
        <v>0</v>
      </c>
      <c r="GP64" s="6">
        <f>VLOOKUP(GP$33, ALTO!$G$3:$J$9, 4, FALSE)</f>
        <v>0</v>
      </c>
      <c r="GQ64" s="6">
        <f>VLOOKUP(GQ$33, ALTO!$G$3:$J$9, 4, FALSE)</f>
        <v>0</v>
      </c>
      <c r="GR64" s="6">
        <f>VLOOKUP(GR$33, ALTO!$G$3:$J$9, 4, FALSE)</f>
        <v>0</v>
      </c>
      <c r="GS64" s="6">
        <f>VLOOKUP(GS$33, ALTO!$G$3:$J$9, 4, FALSE)</f>
        <v>0</v>
      </c>
      <c r="GT64" s="6">
        <f>VLOOKUP(GT$33, ALTO!$G$3:$J$9, 4, FALSE)</f>
        <v>0</v>
      </c>
      <c r="GU64" s="6">
        <f>VLOOKUP(GU$33, ALTO!$G$3:$J$9, 4, FALSE)</f>
        <v>0</v>
      </c>
      <c r="GV64" s="6">
        <f>VLOOKUP(GV$33, ALTO!$G$3:$J$9, 4, FALSE)</f>
        <v>0</v>
      </c>
      <c r="GW64" s="6">
        <f>VLOOKUP(GW$33, ALTO!$G$3:$J$9, 4, FALSE)</f>
        <v>0</v>
      </c>
      <c r="GX64" s="6">
        <f>VLOOKUP(GX$33, ALTO!$G$3:$J$9, 4, FALSE)</f>
        <v>0</v>
      </c>
      <c r="GY64" s="6">
        <f>VLOOKUP(GY$33, ALTO!$G$3:$J$9, 4, FALSE)</f>
        <v>0</v>
      </c>
      <c r="GZ64" s="6">
        <f>VLOOKUP(GZ$33, ALTO!$G$3:$J$9, 4, FALSE)</f>
        <v>0</v>
      </c>
      <c r="HA64" s="6">
        <f>VLOOKUP(HA$33, ALTO!$G$3:$J$9, 4, FALSE)</f>
        <v>0</v>
      </c>
      <c r="HB64" s="6">
        <f>VLOOKUP(HB$33, ALTO!$G$3:$J$9, 4, FALSE)</f>
        <v>0</v>
      </c>
      <c r="HC64" s="6">
        <f>VLOOKUP(HC$33, ALTO!$G$3:$J$9, 4, FALSE)</f>
        <v>0</v>
      </c>
      <c r="HD64" s="6">
        <f>VLOOKUP(HD$33, ALTO!$G$3:$J$9, 4, FALSE)</f>
        <v>0</v>
      </c>
      <c r="HE64" s="6">
        <f>VLOOKUP(HE$33, ALTO!$G$3:$J$9, 4, FALSE)</f>
        <v>0</v>
      </c>
      <c r="HF64" s="6">
        <f>VLOOKUP(HF$33, ALTO!$G$3:$J$9, 4, FALSE)</f>
        <v>0</v>
      </c>
      <c r="HG64" s="6">
        <f>VLOOKUP(HG$33, ALTO!$G$3:$J$9, 4, FALSE)</f>
        <v>0</v>
      </c>
      <c r="HH64" s="6">
        <f>VLOOKUP(HH$33, ALTO!$G$3:$J$9, 4, FALSE)</f>
        <v>0</v>
      </c>
      <c r="HI64" s="6">
        <f>VLOOKUP(HI$33, ALTO!$G$3:$J$9, 4, FALSE)</f>
        <v>0</v>
      </c>
      <c r="HJ64" s="6">
        <f>VLOOKUP(HJ$33, ALTO!$G$3:$J$9, 4, FALSE)</f>
        <v>0</v>
      </c>
      <c r="HK64" s="6">
        <f>VLOOKUP(HK$33, ALTO!$G$3:$J$9, 4, FALSE)</f>
        <v>0</v>
      </c>
      <c r="HL64" s="6">
        <f>VLOOKUP(HL$33, ALTO!$G$3:$J$9, 4, FALSE)</f>
        <v>0</v>
      </c>
      <c r="HM64" s="6">
        <f>VLOOKUP(HM$33, ALTO!$G$3:$J$9, 4, FALSE)</f>
        <v>0</v>
      </c>
      <c r="HN64" s="6">
        <f>VLOOKUP(HN$33, ALTO!$G$3:$J$9, 4, FALSE)</f>
        <v>0</v>
      </c>
      <c r="HO64" s="6">
        <f>VLOOKUP(HO$33, ALTO!$G$3:$J$9, 4, FALSE)</f>
        <v>0</v>
      </c>
      <c r="HP64" s="6">
        <f>VLOOKUP(HP$33, ALTO!$G$3:$J$9, 4, FALSE)</f>
        <v>0</v>
      </c>
      <c r="HQ64" s="6">
        <f>VLOOKUP(HQ$33, ALTO!$G$3:$J$9, 4, FALSE)</f>
        <v>0</v>
      </c>
      <c r="HR64" s="6">
        <f>VLOOKUP(HR$33, ALTO!$G$3:$J$9, 4, FALSE)</f>
        <v>0</v>
      </c>
      <c r="HS64" s="6">
        <f>VLOOKUP(HS$33, ALTO!$G$3:$J$9, 4, FALSE)</f>
        <v>0</v>
      </c>
      <c r="HT64" s="6">
        <f>VLOOKUP(HT$33, ALTO!$G$3:$J$9, 4, FALSE)</f>
        <v>0</v>
      </c>
      <c r="HU64" s="6">
        <f>VLOOKUP(HU$33, ALTO!$G$3:$J$9, 4, FALSE)</f>
        <v>0</v>
      </c>
      <c r="HV64" s="6">
        <f>VLOOKUP(HV$33, ALTO!$G$3:$J$9, 4, FALSE)</f>
        <v>0</v>
      </c>
      <c r="HW64" s="6">
        <f>VLOOKUP(HW$33, ALTO!$G$3:$J$9, 4, FALSE)</f>
        <v>0</v>
      </c>
      <c r="HX64" s="6">
        <f>VLOOKUP(HX$33, ALTO!$G$3:$J$9, 4, FALSE)</f>
        <v>0</v>
      </c>
      <c r="HY64" s="6">
        <f>VLOOKUP(HY$33, ALTO!$G$3:$J$9, 4, FALSE)</f>
        <v>0</v>
      </c>
      <c r="HZ64" s="6">
        <f>VLOOKUP(HZ$33, ALTO!$G$3:$J$9, 4, FALSE)</f>
        <v>0</v>
      </c>
      <c r="IA64" s="6">
        <f>VLOOKUP(IA$33, ALTO!$G$3:$J$9, 4, FALSE)</f>
        <v>0</v>
      </c>
      <c r="IB64" s="6">
        <f>VLOOKUP(IB$33, ALTO!$G$3:$J$9, 4, FALSE)</f>
        <v>0</v>
      </c>
      <c r="IC64" s="6">
        <f>VLOOKUP(IC$33, ALTO!$G$3:$J$9, 4, FALSE)</f>
        <v>0</v>
      </c>
      <c r="ID64" s="6">
        <f>VLOOKUP(ID$33, ALTO!$G$3:$J$9, 4, FALSE)</f>
        <v>0</v>
      </c>
      <c r="IE64" s="6">
        <f>VLOOKUP(IE$33, ALTO!$G$3:$J$9, 4, FALSE)</f>
        <v>0</v>
      </c>
      <c r="IF64" s="6">
        <f>VLOOKUP(IF$33, ALTO!$G$3:$J$9, 4, FALSE)</f>
        <v>0</v>
      </c>
      <c r="IG64" s="6">
        <f>VLOOKUP(IG$33, ALTO!$G$3:$J$9, 4, FALSE)</f>
        <v>0</v>
      </c>
      <c r="IH64" s="6">
        <f>VLOOKUP(IH$33, ALTO!$G$3:$J$9, 4, FALSE)</f>
        <v>0</v>
      </c>
      <c r="II64" s="6">
        <f>VLOOKUP(II$33, ALTO!$G$3:$J$9, 4, FALSE)</f>
        <v>0</v>
      </c>
      <c r="IJ64" s="6">
        <f>VLOOKUP(IJ$33, ALTO!$G$3:$J$9, 4, FALSE)</f>
        <v>0</v>
      </c>
      <c r="IK64" s="6">
        <f>VLOOKUP(IK$33, ALTO!$G$3:$J$9, 4, FALSE)</f>
        <v>0</v>
      </c>
      <c r="IL64" s="6">
        <f>VLOOKUP(IL$33, ALTO!$G$3:$J$9, 4, FALSE)</f>
        <v>0</v>
      </c>
      <c r="IM64" s="6">
        <f>VLOOKUP(IM$33, ALTO!$G$3:$J$9, 4, FALSE)</f>
        <v>0</v>
      </c>
      <c r="IN64" s="6">
        <f>VLOOKUP(IN$33, ALTO!$G$3:$J$9, 4, FALSE)</f>
        <v>0</v>
      </c>
      <c r="IO64" s="6">
        <f>VLOOKUP(IO$33, ALTO!$G$3:$J$9, 4, FALSE)</f>
        <v>0</v>
      </c>
      <c r="IP64" s="6">
        <f>VLOOKUP(IP$33, ALTO!$G$3:$J$9, 4, FALSE)</f>
        <v>0</v>
      </c>
      <c r="IQ64" s="6">
        <f>VLOOKUP(IQ$33, ALTO!$G$3:$J$9, 4, FALSE)</f>
        <v>0</v>
      </c>
      <c r="IR64" s="6">
        <f>VLOOKUP(IR$33, ALTO!$G$3:$J$9, 4, FALSE)</f>
        <v>0</v>
      </c>
      <c r="IS64" s="6">
        <f>VLOOKUP(IS$33, ALTO!$G$3:$J$9, 4, FALSE)</f>
        <v>0</v>
      </c>
      <c r="IT64" s="6">
        <f>VLOOKUP(IT$33, ALTO!$G$3:$J$9, 4, FALSE)</f>
        <v>0</v>
      </c>
      <c r="IU64" s="6">
        <f>VLOOKUP(IU$33, ALTO!$G$3:$J$9, 4, FALSE)</f>
        <v>0</v>
      </c>
      <c r="IV64" s="6">
        <f>VLOOKUP(IV$33, ALTO!$G$3:$J$9, 4, FALSE)</f>
        <v>0</v>
      </c>
      <c r="IW64" s="6">
        <f>VLOOKUP(IW$33, ALTO!$G$3:$J$9, 4, FALSE)</f>
        <v>0</v>
      </c>
      <c r="IX64" s="6">
        <f>VLOOKUP(IX$33, ALTO!$G$3:$J$9, 4, FALSE)</f>
        <v>0</v>
      </c>
      <c r="IY64" s="6">
        <f>VLOOKUP(IY$33, ALTO!$G$3:$J$9, 4, FALSE)</f>
        <v>0</v>
      </c>
      <c r="IZ64" s="6">
        <f>VLOOKUP(IZ$33, ALTO!$G$3:$J$9, 4, FALSE)</f>
        <v>0</v>
      </c>
      <c r="JA64" s="6">
        <f>VLOOKUP(JA$33, ALTO!$G$3:$J$9, 4, FALSE)</f>
        <v>0</v>
      </c>
      <c r="JB64" s="6">
        <f>VLOOKUP(JB$33, ALTO!$G$3:$J$9, 4, FALSE)</f>
        <v>0</v>
      </c>
      <c r="JC64" s="6">
        <f>VLOOKUP(JC$33, ALTO!$G$3:$J$9, 4, FALSE)</f>
        <v>0</v>
      </c>
      <c r="JD64" s="6">
        <f>VLOOKUP(JD$33, ALTO!$G$3:$J$9, 4, FALSE)</f>
        <v>1.5999999999999999E-5</v>
      </c>
      <c r="JE64" s="6">
        <f>VLOOKUP(JE$33, ALTO!$G$3:$J$9, 4, FALSE)</f>
        <v>1.5999999999999999E-5</v>
      </c>
      <c r="JF64" s="6">
        <f>VLOOKUP(JF$33, ALTO!$G$3:$J$9, 4, FALSE)</f>
        <v>1.5999999999999999E-5</v>
      </c>
      <c r="JG64" s="6">
        <f>VLOOKUP(JG$33, ALTO!$G$3:$J$9, 4, FALSE)</f>
        <v>1.5999999999999999E-5</v>
      </c>
      <c r="JH64" s="6">
        <f>VLOOKUP(JH$33, ALTO!$G$3:$J$9, 4, FALSE)</f>
        <v>1.5999999999999999E-5</v>
      </c>
      <c r="JI64" s="6">
        <f>VLOOKUP(JI$33, ALTO!$G$3:$J$9, 4, FALSE)</f>
        <v>1.5999999999999999E-5</v>
      </c>
      <c r="JJ64" s="6">
        <f>VLOOKUP(JJ$33, ALTO!$G$3:$J$9, 4, FALSE)</f>
        <v>1.5999999999999999E-5</v>
      </c>
      <c r="JK64" s="6">
        <f>VLOOKUP(JK$33, ALTO!$G$3:$J$9, 4, FALSE)</f>
        <v>1.5999999999999999E-5</v>
      </c>
      <c r="JL64" s="6">
        <f>VLOOKUP(JL$33, ALTO!$G$3:$J$9, 4, FALSE)</f>
        <v>1.5999999999999999E-5</v>
      </c>
      <c r="JM64" s="6">
        <f>VLOOKUP(JM$33, ALTO!$G$3:$J$9, 4, FALSE)</f>
        <v>1.5999999999999999E-5</v>
      </c>
      <c r="JN64" s="6">
        <f>VLOOKUP(JN$33, ALTO!$G$3:$J$9, 4, FALSE)</f>
        <v>1.5999999999999999E-5</v>
      </c>
      <c r="JO64" s="6">
        <f>VLOOKUP(JO$33, ALTO!$G$3:$J$9, 4, FALSE)</f>
        <v>1.5999999999999999E-5</v>
      </c>
      <c r="JP64" s="6">
        <f>VLOOKUP(JP$33, ALTO!$G$3:$J$9, 4, FALSE)</f>
        <v>1.5999999999999999E-5</v>
      </c>
      <c r="JQ64" s="6">
        <f>VLOOKUP(JQ$33, ALTO!$G$3:$J$9, 4, FALSE)</f>
        <v>1.5999999999999999E-5</v>
      </c>
      <c r="JR64" s="6">
        <f>VLOOKUP(JR$33, ALTO!$G$3:$J$9, 4, FALSE)</f>
        <v>1.5999999999999999E-5</v>
      </c>
      <c r="JS64" s="6">
        <f>VLOOKUP(JS$33, ALTO!$G$3:$J$9, 4, FALSE)</f>
        <v>1.5999999999999999E-5</v>
      </c>
      <c r="JT64" s="6">
        <f>VLOOKUP(JT$33, ALTO!$G$3:$J$9, 4, FALSE)</f>
        <v>1.5999999999999999E-5</v>
      </c>
      <c r="JU64" s="6">
        <f>VLOOKUP(JU$33, ALTO!$G$3:$J$9, 4, FALSE)</f>
        <v>1.5999999999999999E-5</v>
      </c>
      <c r="JV64" s="6">
        <f>VLOOKUP(JV$33, ALTO!$G$3:$J$9, 4, FALSE)</f>
        <v>1.5999999999999999E-5</v>
      </c>
      <c r="JW64" s="6">
        <f>VLOOKUP(JW$33, ALTO!$G$3:$J$9, 4, FALSE)</f>
        <v>1.5999999999999999E-5</v>
      </c>
      <c r="JX64" s="6">
        <f>VLOOKUP(JX$33, ALTO!$G$3:$J$9, 4, FALSE)</f>
        <v>1.5999999999999999E-5</v>
      </c>
      <c r="JY64" s="6">
        <f>VLOOKUP(JY$33, ALTO!$G$3:$J$9, 4, FALSE)</f>
        <v>1.5999999999999999E-5</v>
      </c>
      <c r="JZ64" s="6">
        <f>VLOOKUP(JZ$33, ALTO!$G$3:$J$9, 4, FALSE)</f>
        <v>0</v>
      </c>
      <c r="KA64" s="6">
        <f>VLOOKUP(KA$33, ALTO!$G$3:$J$9, 4, FALSE)</f>
        <v>0</v>
      </c>
      <c r="KB64" s="6">
        <f>VLOOKUP(KB$33, ALTO!$G$3:$J$9, 4, FALSE)</f>
        <v>0</v>
      </c>
      <c r="KC64" s="6">
        <f>VLOOKUP(KC$33, ALTO!$G$3:$J$9, 4, FALSE)</f>
        <v>0</v>
      </c>
      <c r="KD64" s="6">
        <f>VLOOKUP(KD$33, ALTO!$G$3:$J$9, 4, FALSE)</f>
        <v>0</v>
      </c>
      <c r="KE64" s="6">
        <f>VLOOKUP(KE$33, ALTO!$G$3:$J$9, 4, FALSE)</f>
        <v>0</v>
      </c>
      <c r="KF64" s="6">
        <f>VLOOKUP(KF$33, ALTO!$G$3:$J$9, 4, FALSE)</f>
        <v>1.5999999999999999E-5</v>
      </c>
      <c r="KG64" s="6">
        <f>VLOOKUP(KG$33, ALTO!$G$3:$J$9, 4, FALSE)</f>
        <v>1.5999999999999999E-5</v>
      </c>
      <c r="KH64" s="6">
        <f>VLOOKUP(KH$33, ALTO!$G$3:$J$9, 4, FALSE)</f>
        <v>1.5999999999999999E-5</v>
      </c>
      <c r="KI64" s="6">
        <f>VLOOKUP(KI$33, ALTO!$G$3:$J$9, 4, FALSE)</f>
        <v>1.5999999999999999E-5</v>
      </c>
      <c r="KJ64" s="6">
        <f>VLOOKUP(KJ$33, ALTO!$G$3:$J$9, 4, FALSE)</f>
        <v>1.5999999999999999E-5</v>
      </c>
      <c r="KK64" s="6">
        <f>VLOOKUP(KK$33, ALTO!$G$3:$J$9, 4, FALSE)</f>
        <v>1.5999999999999999E-5</v>
      </c>
      <c r="KL64" s="6">
        <f>VLOOKUP(KL$33, ALTO!$G$3:$J$9, 4, FALSE)</f>
        <v>1.5999999999999999E-5</v>
      </c>
      <c r="KM64" s="6">
        <f>VLOOKUP(KM$33, ALTO!$G$3:$J$9, 4, FALSE)</f>
        <v>1.5999999999999999E-5</v>
      </c>
      <c r="KN64" s="6">
        <f>VLOOKUP(KN$33, ALTO!$G$3:$J$9, 4, FALSE)</f>
        <v>1.5999999999999999E-5</v>
      </c>
      <c r="KO64" s="6">
        <f>VLOOKUP(KO$33, ALTO!$G$3:$J$9, 4, FALSE)</f>
        <v>1.5999999999999999E-5</v>
      </c>
      <c r="KP64" s="6">
        <f>VLOOKUP(KP$33, ALTO!$G$3:$J$9, 4, FALSE)</f>
        <v>1.5999999999999999E-5</v>
      </c>
      <c r="KQ64" s="6">
        <f>VLOOKUP(KQ$33, ALTO!$G$3:$J$9, 4, FALSE)</f>
        <v>1.5999999999999999E-5</v>
      </c>
      <c r="KR64" s="6">
        <f>VLOOKUP(KR$33, ALTO!$G$3:$J$9, 4, FALSE)</f>
        <v>1.5999999999999999E-5</v>
      </c>
      <c r="KS64" s="6">
        <f>VLOOKUP(KS$33, ALTO!$G$3:$J$9, 4, FALSE)</f>
        <v>1.5999999999999999E-5</v>
      </c>
      <c r="KT64" s="6">
        <f>VLOOKUP(KT$33, ALTO!$G$3:$J$9, 4, FALSE)</f>
        <v>1.5999999999999999E-5</v>
      </c>
      <c r="KU64" s="6">
        <f>VLOOKUP(KU$33, ALTO!$G$3:$J$9, 4, FALSE)</f>
        <v>1.5999999999999999E-5</v>
      </c>
      <c r="KV64" s="6">
        <f>VLOOKUP(KV$33, ALTO!$G$3:$J$9, 4, FALSE)</f>
        <v>1.5999999999999999E-5</v>
      </c>
      <c r="KW64" s="6">
        <f>VLOOKUP(KW$33, ALTO!$G$3:$J$9, 4, FALSE)</f>
        <v>1.5999999999999999E-5</v>
      </c>
      <c r="KX64" s="6">
        <f>VLOOKUP(KX$33, ALTO!$G$3:$J$9, 4, FALSE)</f>
        <v>1.5999999999999999E-5</v>
      </c>
      <c r="KY64" s="6">
        <f>VLOOKUP(KY$33, ALTO!$G$3:$J$9, 4, FALSE)</f>
        <v>1.5999999999999999E-5</v>
      </c>
      <c r="KZ64" s="6">
        <f>VLOOKUP(KZ$33, ALTO!$G$3:$J$9, 4, FALSE)</f>
        <v>1.5999999999999999E-5</v>
      </c>
      <c r="LA64" s="6">
        <f>VLOOKUP(LA$33, ALTO!$G$3:$J$9, 4, FALSE)</f>
        <v>1.5999999999999999E-5</v>
      </c>
      <c r="LB64" s="6">
        <f>VLOOKUP(LB$33, ALTO!$G$3:$J$9, 4, FALSE)</f>
        <v>1.5999999999999999E-5</v>
      </c>
      <c r="LC64" s="6">
        <f>VLOOKUP(LC$33, ALTO!$G$3:$J$9, 4, FALSE)</f>
        <v>1.5999999999999999E-5</v>
      </c>
      <c r="LD64" s="6">
        <f>VLOOKUP(LD$33, ALTO!$G$3:$J$9, 4, FALSE)</f>
        <v>1.5999999999999999E-5</v>
      </c>
      <c r="LE64" s="6">
        <f>VLOOKUP(LE$33, ALTO!$G$3:$J$9, 4, FALSE)</f>
        <v>9.6000000000000002E-2</v>
      </c>
      <c r="LF64" s="6">
        <f>VLOOKUP(LF$33, ALTO!$G$3:$J$9, 4, FALSE)</f>
        <v>9.6000000000000002E-2</v>
      </c>
      <c r="LG64" s="6">
        <f>VLOOKUP(LG$33, ALTO!$G$3:$J$9, 4, FALSE)</f>
        <v>9.6000000000000002E-2</v>
      </c>
      <c r="LH64" s="6">
        <f>VLOOKUP(LH$33, ALTO!$G$3:$J$9, 4, FALSE)</f>
        <v>9.6000000000000002E-2</v>
      </c>
      <c r="LI64" s="6">
        <f>VLOOKUP(LI$33, ALTO!$G$3:$J$9, 4, FALSE)</f>
        <v>9.6000000000000002E-2</v>
      </c>
      <c r="LJ64" s="6">
        <f>VLOOKUP(LJ$33, ALTO!$G$3:$J$9, 4, FALSE)</f>
        <v>9.6000000000000002E-2</v>
      </c>
      <c r="LK64" s="6">
        <f>VLOOKUP(LK$33, ALTO!$G$3:$J$9, 4, FALSE)</f>
        <v>9.6000000000000002E-2</v>
      </c>
      <c r="LL64" s="6">
        <f>VLOOKUP(LL$33, ALTO!$G$3:$J$9, 4, FALSE)</f>
        <v>9.6000000000000002E-2</v>
      </c>
      <c r="LM64" s="6">
        <f>VLOOKUP(LM$33, ALTO!$G$3:$J$9, 4, FALSE)</f>
        <v>9.6000000000000002E-2</v>
      </c>
      <c r="LN64" s="6">
        <f>VLOOKUP(LN$33, ALTO!$G$3:$J$9, 4, FALSE)</f>
        <v>9.6000000000000002E-2</v>
      </c>
      <c r="LO64" s="6">
        <f>VLOOKUP(LO$33, ALTO!$G$3:$J$9, 4, FALSE)</f>
        <v>9.6000000000000002E-2</v>
      </c>
      <c r="LP64" s="6">
        <f>VLOOKUP(LP$33, ALTO!$G$3:$J$9, 4, FALSE)</f>
        <v>9.6000000000000002E-2</v>
      </c>
      <c r="LQ64" s="6">
        <f>VLOOKUP(LQ$33, ALTO!$G$3:$J$9, 4, FALSE)</f>
        <v>9.6000000000000002E-2</v>
      </c>
      <c r="LR64" s="6">
        <f>VLOOKUP(LR$33, ALTO!$G$3:$J$9, 4, FALSE)</f>
        <v>9.6000000000000002E-2</v>
      </c>
      <c r="LS64" s="6">
        <f>VLOOKUP(LS$33, ALTO!$G$3:$J$9, 4, FALSE)</f>
        <v>9.6000000000000002E-2</v>
      </c>
      <c r="LT64" s="6">
        <f>VLOOKUP(LT$33, ALTO!$G$3:$J$9, 4, FALSE)</f>
        <v>1.5999999999999999E-5</v>
      </c>
      <c r="LU64" s="6">
        <f>VLOOKUP(LU$33, ALTO!$G$3:$J$9, 4, FALSE)</f>
        <v>1.5999999999999999E-5</v>
      </c>
      <c r="LV64" s="6">
        <f>VLOOKUP(LV$33, ALTO!$G$3:$J$9, 4, FALSE)</f>
        <v>1.5999999999999999E-5</v>
      </c>
      <c r="LW64" s="6">
        <f>VLOOKUP(LW$33, ALTO!$G$3:$J$9, 4, FALSE)</f>
        <v>1.5999999999999999E-5</v>
      </c>
      <c r="LX64" s="6">
        <f>VLOOKUP(LX$33, ALTO!$G$3:$J$9, 4, FALSE)</f>
        <v>1.5999999999999999E-5</v>
      </c>
      <c r="LY64" s="6">
        <f>VLOOKUP(LY$33, ALTO!$G$3:$J$9, 4, FALSE)</f>
        <v>1.5999999999999999E-5</v>
      </c>
      <c r="LZ64" s="6">
        <f>VLOOKUP(LZ$33, ALTO!$G$3:$J$9, 4, FALSE)</f>
        <v>1.5999999999999999E-5</v>
      </c>
      <c r="MA64" s="6">
        <f>VLOOKUP(MA$33, ALTO!$G$3:$J$9, 4, FALSE)</f>
        <v>1.5999999999999999E-5</v>
      </c>
      <c r="MB64" s="6">
        <f>VLOOKUP(MB$33, ALTO!$G$3:$J$9, 4, FALSE)</f>
        <v>1.5999999999999999E-5</v>
      </c>
      <c r="MC64" s="6">
        <f>VLOOKUP(MC$33, ALTO!$G$3:$J$9, 4, FALSE)</f>
        <v>1.5999999999999999E-5</v>
      </c>
      <c r="MD64" s="6">
        <f>VLOOKUP(MD$33, ALTO!$G$3:$J$9, 4, FALSE)</f>
        <v>1.5999999999999999E-5</v>
      </c>
      <c r="ME64" s="6">
        <f>VLOOKUP(ME$33, ALTO!$G$3:$J$9, 4, FALSE)</f>
        <v>1.5999999999999999E-5</v>
      </c>
      <c r="MF64" s="6">
        <f>VLOOKUP(MF$33, ALTO!$G$3:$J$9, 4, FALSE)</f>
        <v>1.5999999999999999E-5</v>
      </c>
      <c r="MG64" s="6">
        <f>VLOOKUP(MG$33, ALTO!$G$3:$J$9, 4, FALSE)</f>
        <v>1.5999999999999999E-5</v>
      </c>
      <c r="MH64" s="6">
        <f>VLOOKUP(MH$33, ALTO!$G$3:$J$9, 4, FALSE)</f>
        <v>1.5999999999999999E-5</v>
      </c>
      <c r="MI64" s="6">
        <f>VLOOKUP(MI$33, ALTO!$G$3:$J$9, 4, FALSE)</f>
        <v>1.5999999999999999E-5</v>
      </c>
      <c r="MJ64" s="6">
        <f>VLOOKUP(MJ$33, ALTO!$G$3:$J$9, 4, FALSE)</f>
        <v>1.5999999999999999E-5</v>
      </c>
      <c r="MK64" s="6">
        <f>VLOOKUP(MK$33, ALTO!$G$3:$J$9, 4, FALSE)</f>
        <v>9.6000000000000002E-2</v>
      </c>
      <c r="ML64" s="6">
        <f>VLOOKUP(ML$33, ALTO!$G$3:$J$9, 4, FALSE)</f>
        <v>9.6000000000000002E-2</v>
      </c>
      <c r="MM64" s="6">
        <f>VLOOKUP(MM$33, ALTO!$G$3:$J$9, 4, FALSE)</f>
        <v>9.6000000000000002E-2</v>
      </c>
      <c r="MN64" s="6">
        <f>VLOOKUP(MN$33, ALTO!$G$3:$J$9, 4, FALSE)</f>
        <v>9.6000000000000002E-2</v>
      </c>
      <c r="MO64" s="6">
        <f>VLOOKUP(MO$33, ALTO!$G$3:$J$9, 4, FALSE)</f>
        <v>9.6000000000000002E-2</v>
      </c>
      <c r="MP64" s="6">
        <f>VLOOKUP(MP$33, ALTO!$G$3:$J$9, 4, FALSE)</f>
        <v>9.6000000000000002E-2</v>
      </c>
      <c r="MQ64" s="6">
        <f>VLOOKUP(MQ$33, ALTO!$G$3:$J$9, 4, FALSE)</f>
        <v>9.6000000000000002E-2</v>
      </c>
      <c r="MR64" s="6">
        <f>VLOOKUP(MR$33, ALTO!$G$3:$J$9, 4, FALSE)</f>
        <v>9.6000000000000002E-2</v>
      </c>
      <c r="MS64" s="6">
        <f>VLOOKUP(MS$33, ALTO!$G$3:$J$9, 4, FALSE)</f>
        <v>9.6000000000000002E-2</v>
      </c>
      <c r="MT64" s="6">
        <f>VLOOKUP(MT$33, ALTO!$G$3:$J$9, 4, FALSE)</f>
        <v>9.6000000000000002E-2</v>
      </c>
      <c r="MU64" s="6">
        <f>VLOOKUP(MU$33, ALTO!$G$3:$J$9, 4, FALSE)</f>
        <v>9.6000000000000002E-2</v>
      </c>
      <c r="MV64" s="6">
        <f>VLOOKUP(MV$33, ALTO!$G$3:$J$9, 4, FALSE)</f>
        <v>9.6000000000000002E-2</v>
      </c>
      <c r="MW64" s="6">
        <f>VLOOKUP(MW$33, ALTO!$G$3:$J$9, 4, FALSE)</f>
        <v>9.6000000000000002E-2</v>
      </c>
      <c r="MX64" s="6">
        <f>VLOOKUP(MX$33, ALTO!$G$3:$J$9, 4, FALSE)</f>
        <v>9.6000000000000002E-2</v>
      </c>
      <c r="MY64" s="6">
        <f>VLOOKUP(MY$33, ALTO!$G$3:$J$9, 4, FALSE)</f>
        <v>9.6000000000000002E-2</v>
      </c>
      <c r="MZ64" s="6">
        <f>VLOOKUP(MZ$33, ALTO!$G$3:$J$9, 4, FALSE)</f>
        <v>1.5999999999999999E-5</v>
      </c>
      <c r="NA64" s="6">
        <f>VLOOKUP(NA$33, ALTO!$G$3:$J$9, 4, FALSE)</f>
        <v>1.5999999999999999E-5</v>
      </c>
      <c r="NB64" s="6">
        <f>VLOOKUP(NB$33, ALTO!$G$3:$J$9, 4, FALSE)</f>
        <v>1.5999999999999999E-5</v>
      </c>
      <c r="NC64" s="6">
        <f>VLOOKUP(NC$33, ALTO!$G$3:$J$9, 4, FALSE)</f>
        <v>1.5999999999999999E-5</v>
      </c>
      <c r="ND64" s="6">
        <f>VLOOKUP(ND$33, ALTO!$G$3:$J$9, 4, FALSE)</f>
        <v>1.5999999999999999E-5</v>
      </c>
      <c r="NE64" s="6">
        <f>VLOOKUP(NE$33, ALTO!$G$3:$J$9, 4, FALSE)</f>
        <v>1.5999999999999999E-5</v>
      </c>
      <c r="NF64" s="6">
        <f>VLOOKUP(NF$33, ALTO!$G$3:$J$9, 4, FALSE)</f>
        <v>1.5999999999999999E-5</v>
      </c>
      <c r="NG64" s="6">
        <f>VLOOKUP(NG$33, ALTO!$G$3:$J$9, 4, FALSE)</f>
        <v>1.5999999999999999E-5</v>
      </c>
      <c r="NH64" s="6">
        <f>VLOOKUP(NH$33, ALTO!$G$3:$J$9, 4, FALSE)</f>
        <v>1.5999999999999999E-5</v>
      </c>
      <c r="NI64" s="6">
        <f>VLOOKUP(NI$33, ALTO!$G$3:$J$9, 4, FALSE)</f>
        <v>1.5999999999999999E-5</v>
      </c>
      <c r="NJ64" s="6">
        <f>VLOOKUP(NJ$33, ALTO!$G$3:$J$9, 4, FALSE)</f>
        <v>1.5999999999999999E-5</v>
      </c>
      <c r="NK64" s="6">
        <f>VLOOKUP(NK$33, ALTO!$G$3:$J$9, 4, FALSE)</f>
        <v>1.5999999999999999E-5</v>
      </c>
      <c r="NL64" s="6">
        <f>VLOOKUP(NL$33, ALTO!$G$3:$J$9, 4, FALSE)</f>
        <v>1.5999999999999999E-5</v>
      </c>
      <c r="NM64" s="6">
        <f>VLOOKUP(NM$33, ALTO!$G$3:$J$9, 4, FALSE)</f>
        <v>1.5999999999999999E-5</v>
      </c>
      <c r="NN64" s="6">
        <f>VLOOKUP(NN$33, ALTO!$G$3:$J$9, 4, FALSE)</f>
        <v>1.5999999999999999E-5</v>
      </c>
      <c r="NO64" s="6">
        <f>VLOOKUP(NO$33, ALTO!$G$3:$J$9, 4, FALSE)</f>
        <v>1.5999999999999999E-5</v>
      </c>
      <c r="NP64" s="6">
        <f>VLOOKUP(NP$33, ALTO!$G$3:$J$9, 4, FALSE)</f>
        <v>1.5999999999999999E-5</v>
      </c>
      <c r="NQ64" s="6">
        <f>VLOOKUP(NQ$33, ALTO!$G$3:$J$9, 4, FALSE)</f>
        <v>1.5999999999999999E-5</v>
      </c>
      <c r="NR64" s="6">
        <f>VLOOKUP(NR$33, ALTO!$G$3:$J$9, 4, FALSE)</f>
        <v>1.5999999999999999E-5</v>
      </c>
      <c r="NS64" s="6">
        <f>VLOOKUP(NS$33, ALTO!$G$3:$J$9, 4, FALSE)</f>
        <v>1.5999999999999999E-5</v>
      </c>
      <c r="NT64" s="6">
        <f>VLOOKUP(NT$33, ALTO!$G$3:$J$9, 4, FALSE)</f>
        <v>1.5999999999999999E-5</v>
      </c>
      <c r="NU64" s="6">
        <f>VLOOKUP(NU$33, ALTO!$G$3:$J$9, 4, FALSE)</f>
        <v>1.5999999999999999E-5</v>
      </c>
      <c r="NV64" s="6">
        <f>VLOOKUP(NV$33, ALTO!$G$3:$J$9, 4, FALSE)</f>
        <v>1.5999999999999999E-5</v>
      </c>
      <c r="NW64" s="6">
        <f>VLOOKUP(NW$33, ALTO!$G$3:$J$9, 4, FALSE)</f>
        <v>1.5999999999999999E-5</v>
      </c>
      <c r="NX64" s="6">
        <f>VLOOKUP(NX$33, ALTO!$G$3:$J$9, 4, FALSE)</f>
        <v>1.5999999999999999E-5</v>
      </c>
      <c r="NY64" s="6">
        <f>VLOOKUP(NY$33, ALTO!$G$3:$J$9, 4, FALSE)</f>
        <v>9.6000000000000002E-2</v>
      </c>
      <c r="NZ64" s="6">
        <f>VLOOKUP(NZ$33, ALTO!$G$3:$J$9, 4, FALSE)</f>
        <v>9.6000000000000002E-2</v>
      </c>
      <c r="OA64" s="6">
        <f>VLOOKUP(OA$33, ALTO!$G$3:$J$9, 4, FALSE)</f>
        <v>9.6000000000000002E-2</v>
      </c>
      <c r="OB64" s="6">
        <f>VLOOKUP(OB$33, ALTO!$G$3:$J$9, 4, FALSE)</f>
        <v>9.6000000000000002E-2</v>
      </c>
      <c r="OC64" s="6">
        <f>VLOOKUP(OC$33, ALTO!$G$3:$J$9, 4, FALSE)</f>
        <v>9.6000000000000002E-2</v>
      </c>
      <c r="OD64" s="6">
        <f>VLOOKUP(OD$33, ALTO!$G$3:$J$9, 4, FALSE)</f>
        <v>9.6000000000000002E-2</v>
      </c>
      <c r="OE64" s="6">
        <f>VLOOKUP(OE$33, ALTO!$G$3:$J$9, 4, FALSE)</f>
        <v>9.6000000000000002E-2</v>
      </c>
      <c r="OF64" s="6">
        <f>VLOOKUP(OF$33, ALTO!$G$3:$J$9, 4, FALSE)</f>
        <v>9.6000000000000002E-2</v>
      </c>
      <c r="OG64" s="6">
        <f>VLOOKUP(OG$33, ALTO!$G$3:$J$9, 4, FALSE)</f>
        <v>9.6000000000000002E-2</v>
      </c>
      <c r="OH64" s="6">
        <f>VLOOKUP(OH$33, ALTO!$G$3:$J$9, 4, FALSE)</f>
        <v>9.6000000000000002E-2</v>
      </c>
      <c r="OI64" s="6">
        <f>VLOOKUP(OI$33, ALTO!$G$3:$J$9, 4, FALSE)</f>
        <v>9.6000000000000002E-2</v>
      </c>
      <c r="OJ64" s="6">
        <f>VLOOKUP(OJ$33, ALTO!$G$3:$J$9, 4, FALSE)</f>
        <v>9.6000000000000002E-2</v>
      </c>
      <c r="OK64" s="6">
        <f>VLOOKUP(OK$33, ALTO!$G$3:$J$9, 4, FALSE)</f>
        <v>9.6000000000000002E-2</v>
      </c>
      <c r="OL64" s="6">
        <f>VLOOKUP(OL$33, ALTO!$G$3:$J$9, 4, FALSE)</f>
        <v>9.6000000000000002E-2</v>
      </c>
      <c r="OM64" s="6">
        <f>VLOOKUP(OM$33, ALTO!$G$3:$J$9, 4, FALSE)</f>
        <v>9.6000000000000002E-2</v>
      </c>
      <c r="ON64" s="6">
        <f>VLOOKUP(ON$33, ALTO!$G$3:$J$9, 4, FALSE)</f>
        <v>1.5999999999999999E-5</v>
      </c>
      <c r="OO64" s="6">
        <f>VLOOKUP(OO$33, ALTO!$G$3:$J$9, 4, FALSE)</f>
        <v>1.5999999999999999E-5</v>
      </c>
      <c r="OP64" s="6">
        <f>VLOOKUP(OP$33, ALTO!$G$3:$J$9, 4, FALSE)</f>
        <v>1.5999999999999999E-5</v>
      </c>
      <c r="OQ64" s="6">
        <f>VLOOKUP(OQ$33, ALTO!$G$3:$J$9, 4, FALSE)</f>
        <v>1.5999999999999999E-5</v>
      </c>
      <c r="OR64" s="6">
        <f>VLOOKUP(OR$33, ALTO!$G$3:$J$9, 4, FALSE)</f>
        <v>0</v>
      </c>
      <c r="OS64" s="6">
        <f>VLOOKUP(OS$33, ALTO!$G$3:$J$9, 4, FALSE)</f>
        <v>0</v>
      </c>
      <c r="OT64" s="6">
        <f>VLOOKUP(OT$33, ALTO!$G$3:$J$9, 4, FALSE)</f>
        <v>0</v>
      </c>
      <c r="OU64" s="6">
        <f>VLOOKUP(OU$33, ALTO!$G$3:$J$9, 4, FALSE)</f>
        <v>0</v>
      </c>
      <c r="OV64" s="6">
        <f>VLOOKUP(OV$33, ALTO!$G$3:$J$9, 4, FALSE)</f>
        <v>0</v>
      </c>
      <c r="OW64" s="6">
        <f>VLOOKUP(OW$33, ALTO!$G$3:$J$9, 4, FALSE)</f>
        <v>0</v>
      </c>
      <c r="OX64" s="6">
        <f>VLOOKUP(OX$33, ALTO!$G$3:$J$9, 4, FALSE)</f>
        <v>0</v>
      </c>
      <c r="OY64" s="6">
        <f>VLOOKUP(OY$33, ALTO!$G$3:$J$9, 4, FALSE)</f>
        <v>0</v>
      </c>
      <c r="OZ64" s="6">
        <f>VLOOKUP(OZ$33, ALTO!$G$3:$J$9, 4, FALSE)</f>
        <v>0</v>
      </c>
      <c r="PA64" s="6">
        <f>VLOOKUP(PA$33, ALTO!$G$3:$J$9, 4, FALSE)</f>
        <v>0</v>
      </c>
      <c r="PB64" s="6">
        <f>VLOOKUP(PB$33, ALTO!$G$3:$J$9, 4, FALSE)</f>
        <v>0</v>
      </c>
      <c r="PC64" s="6">
        <f>VLOOKUP(PC$33, ALTO!$G$3:$J$9, 4, FALSE)</f>
        <v>0</v>
      </c>
      <c r="PD64" s="6">
        <f>VLOOKUP(PD$33, ALTO!$G$3:$J$9, 4, FALSE)</f>
        <v>0</v>
      </c>
      <c r="PE64" s="6">
        <f>VLOOKUP(PE$33, ALTO!$G$3:$J$9, 4, FALSE)</f>
        <v>0</v>
      </c>
      <c r="PF64" s="6">
        <f>VLOOKUP(PF$33, ALTO!$G$3:$J$9, 4, FALSE)</f>
        <v>0</v>
      </c>
      <c r="PG64" s="6">
        <f>VLOOKUP(PG$33, ALTO!$G$3:$J$9, 4, FALSE)</f>
        <v>0</v>
      </c>
      <c r="PH64" s="6">
        <f>VLOOKUP(PH$33, ALTO!$G$3:$J$9, 4, FALSE)</f>
        <v>0</v>
      </c>
      <c r="PI64" s="6">
        <f>VLOOKUP(PI$33, ALTO!$G$3:$J$9, 4, FALSE)</f>
        <v>0</v>
      </c>
      <c r="PJ64" s="6">
        <f>VLOOKUP(PJ$33, ALTO!$G$3:$J$9, 4, FALSE)</f>
        <v>0</v>
      </c>
      <c r="PK64" s="6">
        <f>VLOOKUP(PK$33, ALTO!$G$3:$J$9, 4, FALSE)</f>
        <v>0</v>
      </c>
      <c r="PL64" s="6">
        <f>VLOOKUP(PL$33, ALTO!$G$3:$J$9, 4, FALSE)</f>
        <v>0</v>
      </c>
      <c r="PM64" s="6">
        <f>VLOOKUP(PM$33, ALTO!$G$3:$J$9, 4, FALSE)</f>
        <v>0</v>
      </c>
      <c r="PN64" s="6">
        <f>VLOOKUP(PN$33, ALTO!$G$3:$J$9, 4, FALSE)</f>
        <v>0</v>
      </c>
      <c r="PO64" s="6">
        <f>VLOOKUP(PO$33, ALTO!$G$3:$J$9, 4, FALSE)</f>
        <v>0</v>
      </c>
      <c r="PP64" s="6">
        <f>VLOOKUP(PP$33, ALTO!$G$3:$J$9, 4, FALSE)</f>
        <v>0</v>
      </c>
      <c r="PQ64" s="6">
        <f>VLOOKUP(PQ$33, ALTO!$G$3:$J$9, 4, FALSE)</f>
        <v>0</v>
      </c>
      <c r="PR64" s="6">
        <f>VLOOKUP(PR$33, ALTO!$G$3:$J$9, 4, FALSE)</f>
        <v>0</v>
      </c>
      <c r="PS64" s="6">
        <f>VLOOKUP(PS$33, ALTO!$G$3:$J$9, 4, FALSE)</f>
        <v>0</v>
      </c>
      <c r="PT64" s="6">
        <f>VLOOKUP(PT$33, ALTO!$G$3:$J$9, 4, FALSE)</f>
        <v>1.5999999999999999E-5</v>
      </c>
      <c r="PU64" s="6">
        <f>VLOOKUP(PU$33, ALTO!$G$3:$J$9, 4, FALSE)</f>
        <v>1.5999999999999999E-5</v>
      </c>
      <c r="PV64" s="6">
        <f>VLOOKUP(PV$33, ALTO!$G$3:$J$9, 4, FALSE)</f>
        <v>1.5999999999999999E-5</v>
      </c>
      <c r="PW64" s="6">
        <f>VLOOKUP(PW$33, ALTO!$G$3:$J$9, 4, FALSE)</f>
        <v>1.5999999999999999E-5</v>
      </c>
      <c r="PX64" s="6">
        <f>VLOOKUP(PX$33, ALTO!$G$3:$J$9, 4, FALSE)</f>
        <v>1.5999999999999999E-5</v>
      </c>
      <c r="PY64" s="6">
        <f>VLOOKUP(PY$33, ALTO!$G$3:$J$9, 4, FALSE)</f>
        <v>1.5999999999999999E-5</v>
      </c>
      <c r="PZ64" s="6">
        <f>VLOOKUP(PZ$33, ALTO!$G$3:$J$9, 4, FALSE)</f>
        <v>1.5999999999999999E-5</v>
      </c>
      <c r="QA64" s="6">
        <f>VLOOKUP(QA$33, ALTO!$G$3:$J$9, 4, FALSE)</f>
        <v>1.5999999999999999E-5</v>
      </c>
      <c r="QB64" s="6">
        <f>VLOOKUP(QB$33, ALTO!$G$3:$J$9, 4, FALSE)</f>
        <v>1.5999999999999999E-5</v>
      </c>
      <c r="QC64" s="6">
        <f>VLOOKUP(QC$33, ALTO!$G$3:$J$9, 4, FALSE)</f>
        <v>1.5999999999999999E-5</v>
      </c>
      <c r="QD64" s="6">
        <f>VLOOKUP(QD$33, ALTO!$G$3:$J$9, 4, FALSE)</f>
        <v>1.5999999999999999E-5</v>
      </c>
      <c r="QE64" s="6">
        <f>VLOOKUP(QE$33, ALTO!$G$3:$J$9, 4, FALSE)</f>
        <v>1.5999999999999999E-5</v>
      </c>
      <c r="QF64" s="6">
        <f>VLOOKUP(QF$33, ALTO!$G$3:$J$9, 4, FALSE)</f>
        <v>1.5999999999999999E-5</v>
      </c>
      <c r="QG64" s="6">
        <f>VLOOKUP(QG$33, ALTO!$G$3:$J$9, 4, FALSE)</f>
        <v>1.5999999999999999E-5</v>
      </c>
      <c r="QH64" s="6">
        <f>VLOOKUP(QH$33, ALTO!$G$3:$J$9, 4, FALSE)</f>
        <v>1.5999999999999999E-5</v>
      </c>
      <c r="QI64" s="6">
        <f>VLOOKUP(QI$33, ALTO!$G$3:$J$9, 4, FALSE)</f>
        <v>1.5999999999999999E-5</v>
      </c>
      <c r="QJ64" s="6">
        <f>VLOOKUP(QJ$33, ALTO!$G$3:$J$9, 4, FALSE)</f>
        <v>1.5999999999999999E-5</v>
      </c>
      <c r="QK64" s="6">
        <f>VLOOKUP(QK$33, ALTO!$G$3:$J$9, 4, FALSE)</f>
        <v>1.5999999999999999E-5</v>
      </c>
      <c r="QL64" s="6">
        <f>VLOOKUP(QL$33, ALTO!$G$3:$J$9, 4, FALSE)</f>
        <v>1.5999999999999999E-5</v>
      </c>
      <c r="QM64" s="6">
        <f>VLOOKUP(QM$33, ALTO!$G$3:$J$9, 4, FALSE)</f>
        <v>1.5999999999999999E-5</v>
      </c>
      <c r="QN64" s="6">
        <f>VLOOKUP(QN$33, ALTO!$G$3:$J$9, 4, FALSE)</f>
        <v>1.5999999999999999E-5</v>
      </c>
      <c r="QO64" s="6">
        <f>VLOOKUP(QO$33, ALTO!$G$3:$J$9, 4, FALSE)</f>
        <v>1.5999999999999999E-5</v>
      </c>
      <c r="QP64" s="6">
        <f>VLOOKUP(QP$33, ALTO!$G$3:$J$9, 4, FALSE)</f>
        <v>1.5999999999999999E-5</v>
      </c>
      <c r="QQ64" s="6">
        <f>VLOOKUP(QQ$33, ALTO!$G$3:$J$9, 4, FALSE)</f>
        <v>1.5999999999999999E-5</v>
      </c>
      <c r="QR64" s="6">
        <f>VLOOKUP(QR$33, ALTO!$G$3:$J$9, 4, FALSE)</f>
        <v>1.5999999999999999E-5</v>
      </c>
      <c r="QS64" s="6">
        <f>VLOOKUP(QS$33, ALTO!$G$3:$J$9, 4, FALSE)</f>
        <v>9.6000000000000002E-2</v>
      </c>
      <c r="QT64" s="6">
        <f>VLOOKUP(QT$33, ALTO!$G$3:$J$9, 4, FALSE)</f>
        <v>9.6000000000000002E-2</v>
      </c>
      <c r="QU64" s="6">
        <f>VLOOKUP(QU$33, ALTO!$G$3:$J$9, 4, FALSE)</f>
        <v>9.6000000000000002E-2</v>
      </c>
      <c r="QV64" s="6">
        <f>VLOOKUP(QV$33, ALTO!$G$3:$J$9, 4, FALSE)</f>
        <v>9.6000000000000002E-2</v>
      </c>
      <c r="QW64" s="6">
        <f>VLOOKUP(QW$33, ALTO!$G$3:$J$9, 4, FALSE)</f>
        <v>9.6000000000000002E-2</v>
      </c>
      <c r="QX64" s="6">
        <f>VLOOKUP(QX$33, ALTO!$G$3:$J$9, 4, FALSE)</f>
        <v>9.6000000000000002E-2</v>
      </c>
      <c r="QY64" s="6">
        <f>VLOOKUP(QY$33, ALTO!$G$3:$J$9, 4, FALSE)</f>
        <v>9.6000000000000002E-2</v>
      </c>
      <c r="QZ64" s="6">
        <f>VLOOKUP(QZ$33, ALTO!$G$3:$J$9, 4, FALSE)</f>
        <v>9.6000000000000002E-2</v>
      </c>
      <c r="RA64" s="6">
        <f>VLOOKUP(RA$33, ALTO!$G$3:$J$9, 4, FALSE)</f>
        <v>9.6000000000000002E-2</v>
      </c>
      <c r="RB64" s="6">
        <f>VLOOKUP(RB$33, ALTO!$G$3:$J$9, 4, FALSE)</f>
        <v>9.6000000000000002E-2</v>
      </c>
      <c r="RC64" s="6">
        <f>VLOOKUP(RC$33, ALTO!$G$3:$J$9, 4, FALSE)</f>
        <v>9.6000000000000002E-2</v>
      </c>
      <c r="RD64" s="6">
        <f>VLOOKUP(RD$33, ALTO!$G$3:$J$9, 4, FALSE)</f>
        <v>9.6000000000000002E-2</v>
      </c>
      <c r="RE64" s="6">
        <f>VLOOKUP(RE$33, ALTO!$G$3:$J$9, 4, FALSE)</f>
        <v>9.6000000000000002E-2</v>
      </c>
      <c r="RF64" s="6">
        <f>VLOOKUP(RF$33, ALTO!$G$3:$J$9, 4, FALSE)</f>
        <v>9.6000000000000002E-2</v>
      </c>
      <c r="RG64" s="6">
        <f>VLOOKUP(RG$33, ALTO!$G$3:$J$9, 4, FALSE)</f>
        <v>9.6000000000000002E-2</v>
      </c>
      <c r="RH64" s="6">
        <f>VLOOKUP(RH$33, ALTO!$G$3:$J$9, 4, FALSE)</f>
        <v>1.5999999999999999E-5</v>
      </c>
      <c r="RI64" s="6">
        <f>VLOOKUP(RI$33, ALTO!$G$3:$J$9, 4, FALSE)</f>
        <v>1.5999999999999999E-5</v>
      </c>
      <c r="RJ64" s="6">
        <f>VLOOKUP(RJ$33, ALTO!$G$3:$J$9, 4, FALSE)</f>
        <v>1.5999999999999999E-5</v>
      </c>
      <c r="RK64" s="6">
        <f>VLOOKUP(RK$33, ALTO!$G$3:$J$9, 4, FALSE)</f>
        <v>1.5999999999999999E-5</v>
      </c>
      <c r="RL64" s="6">
        <f>VLOOKUP(RL$33, ALTO!$G$3:$J$9, 4, FALSE)</f>
        <v>1.5999999999999999E-5</v>
      </c>
      <c r="RM64" s="6">
        <f>VLOOKUP(RM$33, ALTO!$G$3:$J$9, 4, FALSE)</f>
        <v>1.5999999999999999E-5</v>
      </c>
      <c r="RN64" s="6">
        <f>VLOOKUP(RN$33, ALTO!$G$3:$J$9, 4, FALSE)</f>
        <v>1.5999999999999999E-5</v>
      </c>
      <c r="RO64" s="6">
        <f>VLOOKUP(RO$33, ALTO!$G$3:$J$9, 4, FALSE)</f>
        <v>1.5999999999999999E-5</v>
      </c>
      <c r="RP64" s="6">
        <f>VLOOKUP(RP$33, ALTO!$G$3:$J$9, 4, FALSE)</f>
        <v>1.5999999999999999E-5</v>
      </c>
      <c r="RQ64" s="6">
        <f>VLOOKUP(RQ$33, ALTO!$G$3:$J$9, 4, FALSE)</f>
        <v>1.5999999999999999E-5</v>
      </c>
      <c r="RR64" s="6">
        <f>VLOOKUP(RR$33, ALTO!$G$3:$J$9, 4, FALSE)</f>
        <v>1.5999999999999999E-5</v>
      </c>
      <c r="RS64" s="6">
        <f>VLOOKUP(RS$33, ALTO!$G$3:$J$9, 4, FALSE)</f>
        <v>1.5999999999999999E-5</v>
      </c>
      <c r="RT64" s="6">
        <f>VLOOKUP(RT$33, ALTO!$G$3:$J$9, 4, FALSE)</f>
        <v>1.5999999999999999E-5</v>
      </c>
      <c r="RU64" s="6">
        <f>VLOOKUP(RU$33, ALTO!$G$3:$J$9, 4, FALSE)</f>
        <v>1.5999999999999999E-5</v>
      </c>
      <c r="RV64" s="6">
        <f>VLOOKUP(RV$33, ALTO!$G$3:$J$9, 4, FALSE)</f>
        <v>1.5999999999999999E-5</v>
      </c>
      <c r="RW64" s="6">
        <f>VLOOKUP(RW$33, ALTO!$G$3:$J$9, 4, FALSE)</f>
        <v>1.5999999999999999E-5</v>
      </c>
      <c r="RX64" s="6">
        <f>VLOOKUP(RX$33, ALTO!$G$3:$J$9, 4, FALSE)</f>
        <v>1.5999999999999999E-5</v>
      </c>
      <c r="RY64" s="6">
        <f>VLOOKUP(RY$33, ALTO!$G$3:$J$9, 4, FALSE)</f>
        <v>9.6000000000000002E-2</v>
      </c>
      <c r="RZ64" s="6">
        <f>VLOOKUP(RZ$33, ALTO!$G$3:$J$9, 4, FALSE)</f>
        <v>9.6000000000000002E-2</v>
      </c>
      <c r="SA64" s="6">
        <f>VLOOKUP(SA$33, ALTO!$G$3:$J$9, 4, FALSE)</f>
        <v>9.6000000000000002E-2</v>
      </c>
      <c r="SB64" s="6">
        <f>VLOOKUP(SB$33, ALTO!$G$3:$J$9, 4, FALSE)</f>
        <v>9.6000000000000002E-2</v>
      </c>
      <c r="SC64" s="6">
        <f>VLOOKUP(SC$33, ALTO!$G$3:$J$9, 4, FALSE)</f>
        <v>9.6000000000000002E-2</v>
      </c>
      <c r="SD64" s="6">
        <f>VLOOKUP(SD$33, ALTO!$G$3:$J$9, 4, FALSE)</f>
        <v>9.6000000000000002E-2</v>
      </c>
      <c r="SE64" s="6">
        <f>VLOOKUP(SE$33, ALTO!$G$3:$J$9, 4, FALSE)</f>
        <v>9.6000000000000002E-2</v>
      </c>
      <c r="SF64" s="6">
        <f>VLOOKUP(SF$33, ALTO!$G$3:$J$9, 4, FALSE)</f>
        <v>9.6000000000000002E-2</v>
      </c>
      <c r="SG64" s="6">
        <f>VLOOKUP(SG$33, ALTO!$G$3:$J$9, 4, FALSE)</f>
        <v>9.6000000000000002E-2</v>
      </c>
      <c r="SH64" s="6">
        <f>VLOOKUP(SH$33, ALTO!$G$3:$J$9, 4, FALSE)</f>
        <v>9.6000000000000002E-2</v>
      </c>
      <c r="SI64" s="6">
        <f>VLOOKUP(SI$33, ALTO!$G$3:$J$9, 4, FALSE)</f>
        <v>9.6000000000000002E-2</v>
      </c>
      <c r="SJ64" s="6">
        <f>VLOOKUP(SJ$33, ALTO!$G$3:$J$9, 4, FALSE)</f>
        <v>9.6000000000000002E-2</v>
      </c>
      <c r="SK64" s="6">
        <f>VLOOKUP(SK$33, ALTO!$G$3:$J$9, 4, FALSE)</f>
        <v>9.6000000000000002E-2</v>
      </c>
      <c r="SL64" s="6">
        <f>VLOOKUP(SL$33, ALTO!$G$3:$J$9, 4, FALSE)</f>
        <v>9.6000000000000002E-2</v>
      </c>
      <c r="SM64" s="6">
        <f>VLOOKUP(SM$33, ALTO!$G$3:$J$9, 4, FALSE)</f>
        <v>9.6000000000000002E-2</v>
      </c>
      <c r="SN64" s="6">
        <f>VLOOKUP(SN$33, ALTO!$G$3:$J$9, 4, FALSE)</f>
        <v>1.5999999999999999E-5</v>
      </c>
      <c r="SO64" s="6">
        <f>VLOOKUP(SO$33, ALTO!$G$3:$J$9, 4, FALSE)</f>
        <v>1.5999999999999999E-5</v>
      </c>
      <c r="SP64" s="6">
        <f>VLOOKUP(SP$33, ALTO!$G$3:$J$9, 4, FALSE)</f>
        <v>1.5999999999999999E-5</v>
      </c>
      <c r="SQ64" s="6">
        <f>VLOOKUP(SQ$33, ALTO!$G$3:$J$9, 4, FALSE)</f>
        <v>1.5999999999999999E-5</v>
      </c>
      <c r="SR64" s="6">
        <f>VLOOKUP(SR$33, ALTO!$G$3:$J$9, 4, FALSE)</f>
        <v>1.5999999999999999E-5</v>
      </c>
      <c r="SS64" s="6">
        <f>VLOOKUP(SS$33, ALTO!$G$3:$J$9, 4, FALSE)</f>
        <v>1.5999999999999999E-5</v>
      </c>
      <c r="ST64" s="6">
        <f>VLOOKUP(ST$33, ALTO!$G$3:$J$9, 4, FALSE)</f>
        <v>1.5999999999999999E-5</v>
      </c>
      <c r="SU64" s="6">
        <f>VLOOKUP(SU$33, ALTO!$G$3:$J$9, 4, FALSE)</f>
        <v>1.5999999999999999E-5</v>
      </c>
      <c r="SV64" s="6">
        <f>VLOOKUP(SV$33, ALTO!$G$3:$J$9, 4, FALSE)</f>
        <v>1.5999999999999999E-5</v>
      </c>
      <c r="SW64" s="6">
        <f>VLOOKUP(SW$33, ALTO!$G$3:$J$9, 4, FALSE)</f>
        <v>1.5999999999999999E-5</v>
      </c>
      <c r="SX64" s="6">
        <f>VLOOKUP(SX$33, ALTO!$G$3:$J$9, 4, FALSE)</f>
        <v>1.5999999999999999E-5</v>
      </c>
      <c r="SY64" s="6">
        <f>VLOOKUP(SY$33, ALTO!$G$3:$J$9, 4, FALSE)</f>
        <v>1.5999999999999999E-5</v>
      </c>
      <c r="SZ64" s="6">
        <f>VLOOKUP(SZ$33, ALTO!$G$3:$J$9, 4, FALSE)</f>
        <v>1.5999999999999999E-5</v>
      </c>
      <c r="TA64" s="6">
        <f>VLOOKUP(TA$33, ALTO!$G$3:$J$9, 4, FALSE)</f>
        <v>1.5999999999999999E-5</v>
      </c>
      <c r="TB64" s="6">
        <f>VLOOKUP(TB$33, ALTO!$G$3:$J$9, 4, FALSE)</f>
        <v>1.5999999999999999E-5</v>
      </c>
      <c r="TC64" s="6">
        <f>VLOOKUP(TC$33, ALTO!$G$3:$J$9, 4, FALSE)</f>
        <v>1.5999999999999999E-5</v>
      </c>
      <c r="TD64" s="6">
        <f>VLOOKUP(TD$33, ALTO!$G$3:$J$9, 4, FALSE)</f>
        <v>1.5999999999999999E-5</v>
      </c>
      <c r="TE64" s="6">
        <f>VLOOKUP(TE$33, ALTO!$G$3:$J$9, 4, FALSE)</f>
        <v>1.5999999999999999E-5</v>
      </c>
      <c r="TF64" s="6">
        <f>VLOOKUP(TF$33, ALTO!$G$3:$J$9, 4, FALSE)</f>
        <v>1.5999999999999999E-5</v>
      </c>
      <c r="TG64" s="6">
        <f>VLOOKUP(TG$33, ALTO!$G$3:$J$9, 4, FALSE)</f>
        <v>1.5999999999999999E-5</v>
      </c>
      <c r="TH64" s="6">
        <f>VLOOKUP(TH$33, ALTO!$G$3:$J$9, 4, FALSE)</f>
        <v>1.5999999999999999E-5</v>
      </c>
      <c r="TI64" s="6">
        <f>VLOOKUP(TI$33, ALTO!$G$3:$J$9, 4, FALSE)</f>
        <v>1.5999999999999999E-5</v>
      </c>
      <c r="TJ64" s="6">
        <f>VLOOKUP(TJ$33, ALTO!$G$3:$J$9, 4, FALSE)</f>
        <v>1.5999999999999999E-5</v>
      </c>
      <c r="TK64" s="6">
        <f>VLOOKUP(TK$33, ALTO!$G$3:$J$9, 4, FALSE)</f>
        <v>1.5999999999999999E-5</v>
      </c>
      <c r="TL64" s="6">
        <f>VLOOKUP(TL$33, ALTO!$G$3:$J$9, 4, FALSE)</f>
        <v>1.5999999999999999E-5</v>
      </c>
      <c r="TM64" s="6">
        <f>VLOOKUP(TM$33, ALTO!$G$3:$J$9, 4, FALSE)</f>
        <v>9.6000000000000002E-2</v>
      </c>
      <c r="TN64" s="6">
        <f>VLOOKUP(TN$33, ALTO!$G$3:$J$9, 4, FALSE)</f>
        <v>9.6000000000000002E-2</v>
      </c>
      <c r="TO64" s="6">
        <f>VLOOKUP(TO$33, ALTO!$G$3:$J$9, 4, FALSE)</f>
        <v>9.6000000000000002E-2</v>
      </c>
      <c r="TP64" s="6">
        <f>VLOOKUP(TP$33, ALTO!$G$3:$J$9, 4, FALSE)</f>
        <v>9.6000000000000002E-2</v>
      </c>
      <c r="TQ64" s="6">
        <f>VLOOKUP(TQ$33, ALTO!$G$3:$J$9, 4, FALSE)</f>
        <v>9.6000000000000002E-2</v>
      </c>
      <c r="TR64" s="6">
        <f>VLOOKUP(TR$33, ALTO!$G$3:$J$9, 4, FALSE)</f>
        <v>9.6000000000000002E-2</v>
      </c>
      <c r="TS64" s="6">
        <f>VLOOKUP(TS$33, ALTO!$G$3:$J$9, 4, FALSE)</f>
        <v>9.6000000000000002E-2</v>
      </c>
      <c r="TT64" s="6">
        <f>VLOOKUP(TT$33, ALTO!$G$3:$J$9, 4, FALSE)</f>
        <v>9.6000000000000002E-2</v>
      </c>
      <c r="TU64" s="6">
        <f>VLOOKUP(TU$33, ALTO!$G$3:$J$9, 4, FALSE)</f>
        <v>9.6000000000000002E-2</v>
      </c>
      <c r="TV64" s="6">
        <f>VLOOKUP(TV$33, ALTO!$G$3:$J$9, 4, FALSE)</f>
        <v>9.6000000000000002E-2</v>
      </c>
      <c r="TW64" s="6">
        <f>VLOOKUP(TW$33, ALTO!$G$3:$J$9, 4, FALSE)</f>
        <v>9.6000000000000002E-2</v>
      </c>
      <c r="TX64" s="6">
        <f>VLOOKUP(TX$33, ALTO!$G$3:$J$9, 4, FALSE)</f>
        <v>9.6000000000000002E-2</v>
      </c>
      <c r="TY64" s="6">
        <f>VLOOKUP(TY$33, ALTO!$G$3:$J$9, 4, FALSE)</f>
        <v>9.6000000000000002E-2</v>
      </c>
      <c r="TZ64" s="6">
        <f>VLOOKUP(TZ$33, ALTO!$G$3:$J$9, 4, FALSE)</f>
        <v>9.6000000000000002E-2</v>
      </c>
      <c r="UA64" s="6">
        <f>VLOOKUP(UA$33, ALTO!$G$3:$J$9, 4, FALSE)</f>
        <v>9.6000000000000002E-2</v>
      </c>
      <c r="UB64" s="6">
        <f>VLOOKUP(UB$33, ALTO!$G$3:$J$9, 4, FALSE)</f>
        <v>1.5999999999999999E-5</v>
      </c>
      <c r="UC64" s="6">
        <f>VLOOKUP(UC$33, ALTO!$G$3:$J$9, 4, FALSE)</f>
        <v>1.5999999999999999E-5</v>
      </c>
      <c r="UD64" s="6">
        <f>VLOOKUP(UD$33, ALTO!$G$3:$J$9, 4, FALSE)</f>
        <v>1.5999999999999999E-5</v>
      </c>
      <c r="UE64" s="6">
        <f>VLOOKUP(UE$33, ALTO!$G$3:$J$9, 4, FALSE)</f>
        <v>1.5999999999999999E-5</v>
      </c>
      <c r="UF64" s="6">
        <f>VLOOKUP(UF$33, ALTO!$G$3:$J$9, 4, FALSE)</f>
        <v>0</v>
      </c>
      <c r="UG64" s="6">
        <f>VLOOKUP(UG$33, ALTO!$G$3:$J$9, 4, FALSE)</f>
        <v>0</v>
      </c>
      <c r="UH64" s="6">
        <f>VLOOKUP(UH$33, ALTO!$G$3:$J$9, 4, FALSE)</f>
        <v>0</v>
      </c>
      <c r="UI64" s="6">
        <f>VLOOKUP(UI$33, ALTO!$G$3:$J$9, 4, FALSE)</f>
        <v>0</v>
      </c>
      <c r="UJ64" s="6">
        <f>VLOOKUP(UJ$33, ALTO!$G$3:$J$9, 4, FALSE)</f>
        <v>0</v>
      </c>
      <c r="UK64" s="6">
        <f>VLOOKUP(UK$33, ALTO!$G$3:$J$9, 4, FALSE)</f>
        <v>0</v>
      </c>
      <c r="UL64" s="6">
        <f>VLOOKUP(UL$33, ALTO!$G$3:$J$9, 4, FALSE)</f>
        <v>0</v>
      </c>
      <c r="UM64" s="6">
        <f>VLOOKUP(UM$33, ALTO!$G$3:$J$9, 4, FALSE)</f>
        <v>0</v>
      </c>
      <c r="UN64" s="6">
        <f>VLOOKUP(UN$33, ALTO!$G$3:$J$9, 4, FALSE)</f>
        <v>0</v>
      </c>
      <c r="UO64" s="6">
        <f>VLOOKUP(UO$33, ALTO!$G$3:$J$9, 4, FALSE)</f>
        <v>0</v>
      </c>
      <c r="UP64" s="6">
        <f>VLOOKUP(UP$33, ALTO!$G$3:$J$9, 4, FALSE)</f>
        <v>0</v>
      </c>
      <c r="UQ64" s="6">
        <f>VLOOKUP(UQ$33, ALTO!$G$3:$J$9, 4, FALSE)</f>
        <v>0</v>
      </c>
      <c r="UR64" s="6">
        <f>VLOOKUP(UR$33, ALTO!$G$3:$J$9, 4, FALSE)</f>
        <v>0</v>
      </c>
      <c r="US64" s="6">
        <f>VLOOKUP(US$33, ALTO!$G$3:$J$9, 4, FALSE)</f>
        <v>0</v>
      </c>
      <c r="UT64" s="6">
        <f>VLOOKUP(UT$33, ALTO!$G$3:$J$9, 4, FALSE)</f>
        <v>0</v>
      </c>
      <c r="UU64" s="6">
        <f>VLOOKUP(UU$33, ALTO!$G$3:$J$9, 4, FALSE)</f>
        <v>0</v>
      </c>
      <c r="UV64" s="6">
        <f>VLOOKUP(UV$33, ALTO!$G$3:$J$9, 4, FALSE)</f>
        <v>0</v>
      </c>
      <c r="UW64" s="6">
        <f>VLOOKUP(UW$33, ALTO!$G$3:$J$9, 4, FALSE)</f>
        <v>0</v>
      </c>
      <c r="UX64" s="6">
        <f>VLOOKUP(UX$33, ALTO!$G$3:$J$9, 4, FALSE)</f>
        <v>0</v>
      </c>
      <c r="UY64" s="6">
        <f>VLOOKUP(UY$33, ALTO!$G$3:$J$9, 4, FALSE)</f>
        <v>0</v>
      </c>
      <c r="UZ64" s="6">
        <f>VLOOKUP(UZ$33, ALTO!$G$3:$J$9, 4, FALSE)</f>
        <v>0</v>
      </c>
      <c r="VA64" s="6">
        <f>VLOOKUP(VA$33, ALTO!$G$3:$J$9, 4, FALSE)</f>
        <v>0</v>
      </c>
      <c r="VB64" s="6">
        <f>VLOOKUP(VB$33, ALTO!$G$3:$J$9, 4, FALSE)</f>
        <v>0</v>
      </c>
      <c r="VC64" s="6">
        <f>VLOOKUP(VC$33, ALTO!$G$3:$J$9, 4, FALSE)</f>
        <v>0</v>
      </c>
      <c r="VD64" s="6">
        <f>VLOOKUP(VD$33, ALTO!$G$3:$J$9, 4, FALSE)</f>
        <v>0</v>
      </c>
      <c r="VE64" s="6">
        <f>VLOOKUP(VE$33, ALTO!$G$3:$J$9, 4, FALSE)</f>
        <v>0</v>
      </c>
      <c r="VF64" s="6">
        <f>VLOOKUP(VF$33, ALTO!$G$3:$J$9, 4, FALSE)</f>
        <v>0</v>
      </c>
      <c r="VG64" s="6">
        <f>VLOOKUP(VG$33, ALTO!$G$3:$J$9, 4, FALSE)</f>
        <v>0</v>
      </c>
      <c r="VH64" s="6">
        <f>VLOOKUP(VH$33, ALTO!$G$3:$J$9, 4, FALSE)</f>
        <v>1.5999999999999999E-5</v>
      </c>
      <c r="VI64" s="6">
        <f>VLOOKUP(VI$33, ALTO!$G$3:$J$9, 4, FALSE)</f>
        <v>1.5999999999999999E-5</v>
      </c>
      <c r="VJ64" s="6">
        <f>VLOOKUP(VJ$33, ALTO!$G$3:$J$9, 4, FALSE)</f>
        <v>1.5999999999999999E-5</v>
      </c>
      <c r="VK64" s="6">
        <f>VLOOKUP(VK$33, ALTO!$G$3:$J$9, 4, FALSE)</f>
        <v>1.5999999999999999E-5</v>
      </c>
      <c r="VL64" s="6">
        <f>VLOOKUP(VL$33, ALTO!$G$3:$J$9, 4, FALSE)</f>
        <v>1.5999999999999999E-5</v>
      </c>
      <c r="VM64" s="6">
        <f>VLOOKUP(VM$33, ALTO!$G$3:$J$9, 4, FALSE)</f>
        <v>1.5999999999999999E-5</v>
      </c>
      <c r="VN64" s="6">
        <f>VLOOKUP(VN$33, ALTO!$G$3:$J$9, 4, FALSE)</f>
        <v>1.5999999999999999E-5</v>
      </c>
      <c r="VO64" s="6">
        <f>VLOOKUP(VO$33, ALTO!$G$3:$J$9, 4, FALSE)</f>
        <v>1.5999999999999999E-5</v>
      </c>
      <c r="VP64" s="6">
        <f>VLOOKUP(VP$33, ALTO!$G$3:$J$9, 4, FALSE)</f>
        <v>1.5999999999999999E-5</v>
      </c>
      <c r="VQ64" s="6">
        <f>VLOOKUP(VQ$33, ALTO!$G$3:$J$9, 4, FALSE)</f>
        <v>1.5999999999999999E-5</v>
      </c>
      <c r="VR64" s="6">
        <f>VLOOKUP(VR$33, ALTO!$G$3:$J$9, 4, FALSE)</f>
        <v>1.5999999999999999E-5</v>
      </c>
      <c r="VS64" s="6">
        <f>VLOOKUP(VS$33, ALTO!$G$3:$J$9, 4, FALSE)</f>
        <v>1.5999999999999999E-5</v>
      </c>
      <c r="VT64" s="6">
        <f>VLOOKUP(VT$33, ALTO!$G$3:$J$9, 4, FALSE)</f>
        <v>1.5999999999999999E-5</v>
      </c>
      <c r="VU64" s="6">
        <f>VLOOKUP(VU$33, ALTO!$G$3:$J$9, 4, FALSE)</f>
        <v>1.5999999999999999E-5</v>
      </c>
      <c r="VV64" s="6">
        <f>VLOOKUP(VV$33, ALTO!$G$3:$J$9, 4, FALSE)</f>
        <v>1.5999999999999999E-5</v>
      </c>
      <c r="VW64" s="6">
        <f>VLOOKUP(VW$33, ALTO!$G$3:$J$9, 4, FALSE)</f>
        <v>1.5999999999999999E-5</v>
      </c>
      <c r="VX64" s="6">
        <f>VLOOKUP(VX$33, ALTO!$G$3:$J$9, 4, FALSE)</f>
        <v>1.5999999999999999E-5</v>
      </c>
      <c r="VY64" s="6">
        <f>VLOOKUP(VY$33, ALTO!$G$3:$J$9, 4, FALSE)</f>
        <v>1.5999999999999999E-5</v>
      </c>
      <c r="VZ64" s="6">
        <f>VLOOKUP(VZ$33, ALTO!$G$3:$J$9, 4, FALSE)</f>
        <v>1.5999999999999999E-5</v>
      </c>
      <c r="WA64" s="6">
        <f>VLOOKUP(WA$33, ALTO!$G$3:$J$9, 4, FALSE)</f>
        <v>1.5999999999999999E-5</v>
      </c>
      <c r="WB64" s="6">
        <f>VLOOKUP(WB$33, ALTO!$G$3:$J$9, 4, FALSE)</f>
        <v>1.5999999999999999E-5</v>
      </c>
      <c r="WC64" s="6">
        <f>VLOOKUP(WC$33, ALTO!$G$3:$J$9, 4, FALSE)</f>
        <v>1.5999999999999999E-5</v>
      </c>
      <c r="WD64" s="6">
        <f>VLOOKUP(WD$33, ALTO!$G$3:$J$9, 4, FALSE)</f>
        <v>1.5999999999999999E-5</v>
      </c>
      <c r="WE64" s="6">
        <f>VLOOKUP(WE$33, ALTO!$G$3:$J$9, 4, FALSE)</f>
        <v>1.5999999999999999E-5</v>
      </c>
      <c r="WF64" s="6">
        <f>VLOOKUP(WF$33, ALTO!$G$3:$J$9, 4, FALSE)</f>
        <v>1.5999999999999999E-5</v>
      </c>
      <c r="WG64" s="6">
        <f>VLOOKUP(WG$33, ALTO!$G$3:$J$9, 4, FALSE)</f>
        <v>9.6000000000000002E-2</v>
      </c>
      <c r="WH64" s="6">
        <f>VLOOKUP(WH$33, ALTO!$G$3:$J$9, 4, FALSE)</f>
        <v>9.6000000000000002E-2</v>
      </c>
      <c r="WI64" s="6">
        <f>VLOOKUP(WI$33, ALTO!$G$3:$J$9, 4, FALSE)</f>
        <v>9.6000000000000002E-2</v>
      </c>
      <c r="WJ64" s="6">
        <f>VLOOKUP(WJ$33, ALTO!$G$3:$J$9, 4, FALSE)</f>
        <v>9.6000000000000002E-2</v>
      </c>
      <c r="WK64" s="6">
        <f>VLOOKUP(WK$33, ALTO!$G$3:$J$9, 4, FALSE)</f>
        <v>9.6000000000000002E-2</v>
      </c>
      <c r="WL64" s="6">
        <f>VLOOKUP(WL$33, ALTO!$G$3:$J$9, 4, FALSE)</f>
        <v>9.6000000000000002E-2</v>
      </c>
      <c r="WM64" s="6">
        <f>VLOOKUP(WM$33, ALTO!$G$3:$J$9, 4, FALSE)</f>
        <v>9.6000000000000002E-2</v>
      </c>
      <c r="WN64" s="6">
        <f>VLOOKUP(WN$33, ALTO!$G$3:$J$9, 4, FALSE)</f>
        <v>9.6000000000000002E-2</v>
      </c>
      <c r="WO64" s="6">
        <f>VLOOKUP(WO$33, ALTO!$G$3:$J$9, 4, FALSE)</f>
        <v>9.6000000000000002E-2</v>
      </c>
      <c r="WP64" s="6">
        <f>VLOOKUP(WP$33, ALTO!$G$3:$J$9, 4, FALSE)</f>
        <v>9.6000000000000002E-2</v>
      </c>
      <c r="WQ64" s="6">
        <f>VLOOKUP(WQ$33, ALTO!$G$3:$J$9, 4, FALSE)</f>
        <v>9.6000000000000002E-2</v>
      </c>
      <c r="WR64" s="6">
        <f>VLOOKUP(WR$33, ALTO!$G$3:$J$9, 4, FALSE)</f>
        <v>9.6000000000000002E-2</v>
      </c>
      <c r="WS64" s="6">
        <f>VLOOKUP(WS$33, ALTO!$G$3:$J$9, 4, FALSE)</f>
        <v>9.6000000000000002E-2</v>
      </c>
      <c r="WT64" s="6">
        <f>VLOOKUP(WT$33, ALTO!$G$3:$J$9, 4, FALSE)</f>
        <v>9.6000000000000002E-2</v>
      </c>
      <c r="WU64" s="6">
        <f>VLOOKUP(WU$33, ALTO!$G$3:$J$9, 4, FALSE)</f>
        <v>9.6000000000000002E-2</v>
      </c>
      <c r="WV64" s="6">
        <f>VLOOKUP(WV$33, ALTO!$G$3:$J$9, 4, FALSE)</f>
        <v>1.5999999999999999E-5</v>
      </c>
      <c r="WW64" s="6">
        <f>VLOOKUP(WW$33, ALTO!$G$3:$J$9, 4, FALSE)</f>
        <v>1.5999999999999999E-5</v>
      </c>
      <c r="WX64" s="6">
        <f>VLOOKUP(WX$33, ALTO!$G$3:$J$9, 4, FALSE)</f>
        <v>1.5999999999999999E-5</v>
      </c>
      <c r="WY64" s="6">
        <f>VLOOKUP(WY$33, ALTO!$G$3:$J$9, 4, FALSE)</f>
        <v>1.5999999999999999E-5</v>
      </c>
      <c r="WZ64" s="6">
        <f>VLOOKUP(WZ$33, ALTO!$G$3:$J$9, 4, FALSE)</f>
        <v>1.5999999999999999E-5</v>
      </c>
      <c r="XA64" s="6">
        <f>VLOOKUP(XA$33, ALTO!$G$3:$J$9, 4, FALSE)</f>
        <v>1.5999999999999999E-5</v>
      </c>
      <c r="XB64" s="6">
        <f>VLOOKUP(XB$33, ALTO!$G$3:$J$9, 4, FALSE)</f>
        <v>1.5999999999999999E-5</v>
      </c>
      <c r="XC64" s="6">
        <f>VLOOKUP(XC$33, ALTO!$G$3:$J$9, 4, FALSE)</f>
        <v>1.5999999999999999E-5</v>
      </c>
      <c r="XD64" s="6">
        <f>VLOOKUP(XD$33, ALTO!$G$3:$J$9, 4, FALSE)</f>
        <v>1.5999999999999999E-5</v>
      </c>
      <c r="XE64" s="6">
        <f>VLOOKUP(XE$33, ALTO!$G$3:$J$9, 4, FALSE)</f>
        <v>1.5999999999999999E-5</v>
      </c>
      <c r="XF64" s="6">
        <f>VLOOKUP(XF$33, ALTO!$G$3:$J$9, 4, FALSE)</f>
        <v>1.5999999999999999E-5</v>
      </c>
      <c r="XG64" s="6">
        <f>VLOOKUP(XG$33, ALTO!$G$3:$J$9, 4, FALSE)</f>
        <v>1.5999999999999999E-5</v>
      </c>
      <c r="XH64" s="6">
        <f>VLOOKUP(XH$33, ALTO!$G$3:$J$9, 4, FALSE)</f>
        <v>1.5999999999999999E-5</v>
      </c>
      <c r="XI64" s="6">
        <f>VLOOKUP(XI$33, ALTO!$G$3:$J$9, 4, FALSE)</f>
        <v>1.5999999999999999E-5</v>
      </c>
      <c r="XJ64" s="6">
        <f>VLOOKUP(XJ$33, ALTO!$G$3:$J$9, 4, FALSE)</f>
        <v>1.5999999999999999E-5</v>
      </c>
      <c r="XK64" s="6">
        <f>VLOOKUP(XK$33, ALTO!$G$3:$J$9, 4, FALSE)</f>
        <v>1.5999999999999999E-5</v>
      </c>
      <c r="XL64" s="6">
        <f>VLOOKUP(XL$33, ALTO!$G$3:$J$9, 4, FALSE)</f>
        <v>1.5999999999999999E-5</v>
      </c>
      <c r="XM64" s="6">
        <f>VLOOKUP(XM$33, ALTO!$G$3:$J$9, 4, FALSE)</f>
        <v>9.6000000000000002E-2</v>
      </c>
      <c r="XN64" s="6">
        <f>VLOOKUP(XN$33, ALTO!$G$3:$J$9, 4, FALSE)</f>
        <v>9.6000000000000002E-2</v>
      </c>
      <c r="XO64" s="6">
        <f>VLOOKUP(XO$33, ALTO!$G$3:$J$9, 4, FALSE)</f>
        <v>9.6000000000000002E-2</v>
      </c>
      <c r="XP64" s="6">
        <f>VLOOKUP(XP$33, ALTO!$G$3:$J$9, 4, FALSE)</f>
        <v>9.6000000000000002E-2</v>
      </c>
      <c r="XQ64" s="6">
        <f>VLOOKUP(XQ$33, ALTO!$G$3:$J$9, 4, FALSE)</f>
        <v>9.6000000000000002E-2</v>
      </c>
      <c r="XR64" s="6">
        <f>VLOOKUP(XR$33, ALTO!$G$3:$J$9, 4, FALSE)</f>
        <v>9.6000000000000002E-2</v>
      </c>
      <c r="XS64" s="6">
        <f>VLOOKUP(XS$33, ALTO!$G$3:$J$9, 4, FALSE)</f>
        <v>9.6000000000000002E-2</v>
      </c>
      <c r="XT64" s="6">
        <f>VLOOKUP(XT$33, ALTO!$G$3:$J$9, 4, FALSE)</f>
        <v>9.6000000000000002E-2</v>
      </c>
      <c r="XU64" s="6">
        <f>VLOOKUP(XU$33, ALTO!$G$3:$J$9, 4, FALSE)</f>
        <v>9.6000000000000002E-2</v>
      </c>
      <c r="XV64" s="6">
        <f>VLOOKUP(XV$33, ALTO!$G$3:$J$9, 4, FALSE)</f>
        <v>9.6000000000000002E-2</v>
      </c>
      <c r="XW64" s="6">
        <f>VLOOKUP(XW$33, ALTO!$G$3:$J$9, 4, FALSE)</f>
        <v>9.6000000000000002E-2</v>
      </c>
      <c r="XX64" s="6">
        <f>VLOOKUP(XX$33, ALTO!$G$3:$J$9, 4, FALSE)</f>
        <v>9.6000000000000002E-2</v>
      </c>
      <c r="XY64" s="6">
        <f>VLOOKUP(XY$33, ALTO!$G$3:$J$9, 4, FALSE)</f>
        <v>9.6000000000000002E-2</v>
      </c>
      <c r="XZ64" s="6">
        <f>VLOOKUP(XZ$33, ALTO!$G$3:$J$9, 4, FALSE)</f>
        <v>9.6000000000000002E-2</v>
      </c>
      <c r="YA64" s="6">
        <f>VLOOKUP(YA$33, ALTO!$G$3:$J$9, 4, FALSE)</f>
        <v>9.6000000000000002E-2</v>
      </c>
      <c r="YB64" s="6">
        <f>VLOOKUP(YB$33, ALTO!$G$3:$J$9, 4, FALSE)</f>
        <v>1.5999999999999999E-5</v>
      </c>
      <c r="YC64" s="6">
        <f>VLOOKUP(YC$33, ALTO!$G$3:$J$9, 4, FALSE)</f>
        <v>1.5999999999999999E-5</v>
      </c>
      <c r="YD64" s="6">
        <f>VLOOKUP(YD$33, ALTO!$G$3:$J$9, 4, FALSE)</f>
        <v>1.5999999999999999E-5</v>
      </c>
      <c r="YE64" s="6">
        <f>VLOOKUP(YE$33, ALTO!$G$3:$J$9, 4, FALSE)</f>
        <v>1.5999999999999999E-5</v>
      </c>
      <c r="YF64" s="6">
        <f>VLOOKUP(YF$33, ALTO!$G$3:$J$9, 4, FALSE)</f>
        <v>1.5999999999999999E-5</v>
      </c>
      <c r="YG64" s="6">
        <f>VLOOKUP(YG$33, ALTO!$G$3:$J$9, 4, FALSE)</f>
        <v>1.5999999999999999E-5</v>
      </c>
      <c r="YH64" s="6">
        <f>VLOOKUP(YH$33, ALTO!$G$3:$J$9, 4, FALSE)</f>
        <v>1.5999999999999999E-5</v>
      </c>
      <c r="YI64" s="6">
        <f>VLOOKUP(YI$33, ALTO!$G$3:$J$9, 4, FALSE)</f>
        <v>1.5999999999999999E-5</v>
      </c>
      <c r="YJ64" s="6">
        <f>VLOOKUP(YJ$33, ALTO!$G$3:$J$9, 4, FALSE)</f>
        <v>1.5999999999999999E-5</v>
      </c>
      <c r="YK64" s="6">
        <f>VLOOKUP(YK$33, ALTO!$G$3:$J$9, 4, FALSE)</f>
        <v>1.5999999999999999E-5</v>
      </c>
      <c r="YL64" s="6">
        <f>VLOOKUP(YL$33, ALTO!$G$3:$J$9, 4, FALSE)</f>
        <v>1.5999999999999999E-5</v>
      </c>
      <c r="YM64" s="6">
        <f>VLOOKUP(YM$33, ALTO!$G$3:$J$9, 4, FALSE)</f>
        <v>1.5999999999999999E-5</v>
      </c>
      <c r="YN64" s="6">
        <f>VLOOKUP(YN$33, ALTO!$G$3:$J$9, 4, FALSE)</f>
        <v>1.5999999999999999E-5</v>
      </c>
      <c r="YO64" s="6">
        <f>VLOOKUP(YO$33, ALTO!$G$3:$J$9, 4, FALSE)</f>
        <v>1.5999999999999999E-5</v>
      </c>
      <c r="YP64" s="6">
        <f>VLOOKUP(YP$33, ALTO!$G$3:$J$9, 4, FALSE)</f>
        <v>1.5999999999999999E-5</v>
      </c>
      <c r="YQ64" s="6">
        <f>VLOOKUP(YQ$33, ALTO!$G$3:$J$9, 4, FALSE)</f>
        <v>1.5999999999999999E-5</v>
      </c>
      <c r="YR64" s="6">
        <f>VLOOKUP(YR$33, ALTO!$G$3:$J$9, 4, FALSE)</f>
        <v>1.5999999999999999E-5</v>
      </c>
      <c r="YS64" s="6">
        <f>VLOOKUP(YS$33, ALTO!$G$3:$J$9, 4, FALSE)</f>
        <v>1.5999999999999999E-5</v>
      </c>
      <c r="YT64" s="6">
        <f>VLOOKUP(YT$33, ALTO!$G$3:$J$9, 4, FALSE)</f>
        <v>1.5999999999999999E-5</v>
      </c>
      <c r="YU64" s="6">
        <f>VLOOKUP(YU$33, ALTO!$G$3:$J$9, 4, FALSE)</f>
        <v>1.5999999999999999E-5</v>
      </c>
      <c r="YV64" s="6">
        <f>VLOOKUP(YV$33, ALTO!$G$3:$J$9, 4, FALSE)</f>
        <v>1.5999999999999999E-5</v>
      </c>
      <c r="YW64" s="6">
        <f>VLOOKUP(YW$33, ALTO!$G$3:$J$9, 4, FALSE)</f>
        <v>1.5999999999999999E-5</v>
      </c>
      <c r="YX64" s="6">
        <f>VLOOKUP(YX$33, ALTO!$G$3:$J$9, 4, FALSE)</f>
        <v>1.5999999999999999E-5</v>
      </c>
      <c r="YY64" s="6">
        <f>VLOOKUP(YY$33, ALTO!$G$3:$J$9, 4, FALSE)</f>
        <v>1.5999999999999999E-5</v>
      </c>
      <c r="YZ64" s="6">
        <f>VLOOKUP(YZ$33, ALTO!$G$3:$J$9, 4, FALSE)</f>
        <v>1.5999999999999999E-5</v>
      </c>
      <c r="ZA64" s="6">
        <f>VLOOKUP(ZA$33, ALTO!$G$3:$J$9, 4, FALSE)</f>
        <v>9.6000000000000002E-2</v>
      </c>
      <c r="ZB64" s="6">
        <f>VLOOKUP(ZB$33, ALTO!$G$3:$J$9, 4, FALSE)</f>
        <v>9.6000000000000002E-2</v>
      </c>
      <c r="ZC64" s="6">
        <f>VLOOKUP(ZC$33, ALTO!$G$3:$J$9, 4, FALSE)</f>
        <v>9.6000000000000002E-2</v>
      </c>
      <c r="ZD64" s="6">
        <f>VLOOKUP(ZD$33, ALTO!$G$3:$J$9, 4, FALSE)</f>
        <v>9.6000000000000002E-2</v>
      </c>
      <c r="ZE64" s="6">
        <f>VLOOKUP(ZE$33, ALTO!$G$3:$J$9, 4, FALSE)</f>
        <v>9.6000000000000002E-2</v>
      </c>
      <c r="ZF64" s="6">
        <f>VLOOKUP(ZF$33, ALTO!$G$3:$J$9, 4, FALSE)</f>
        <v>9.6000000000000002E-2</v>
      </c>
      <c r="ZG64" s="6">
        <f>VLOOKUP(ZG$33, ALTO!$G$3:$J$9, 4, FALSE)</f>
        <v>9.6000000000000002E-2</v>
      </c>
      <c r="ZH64" s="6">
        <f>VLOOKUP(ZH$33, ALTO!$G$3:$J$9, 4, FALSE)</f>
        <v>9.6000000000000002E-2</v>
      </c>
      <c r="ZI64" s="6">
        <f>VLOOKUP(ZI$33, ALTO!$G$3:$J$9, 4, FALSE)</f>
        <v>9.6000000000000002E-2</v>
      </c>
      <c r="ZJ64" s="6">
        <f>VLOOKUP(ZJ$33, ALTO!$G$3:$J$9, 4, FALSE)</f>
        <v>9.6000000000000002E-2</v>
      </c>
      <c r="ZK64" s="6">
        <f>VLOOKUP(ZK$33, ALTO!$G$3:$J$9, 4, FALSE)</f>
        <v>9.6000000000000002E-2</v>
      </c>
      <c r="ZL64" s="6">
        <f>VLOOKUP(ZL$33, ALTO!$G$3:$J$9, 4, FALSE)</f>
        <v>9.6000000000000002E-2</v>
      </c>
      <c r="ZM64" s="6">
        <f>VLOOKUP(ZM$33, ALTO!$G$3:$J$9, 4, FALSE)</f>
        <v>9.6000000000000002E-2</v>
      </c>
      <c r="ZN64" s="6">
        <f>VLOOKUP(ZN$33, ALTO!$G$3:$J$9, 4, FALSE)</f>
        <v>9.6000000000000002E-2</v>
      </c>
      <c r="ZO64" s="6">
        <f>VLOOKUP(ZO$33, ALTO!$G$3:$J$9, 4, FALSE)</f>
        <v>9.6000000000000002E-2</v>
      </c>
      <c r="ZP64" s="6">
        <f>VLOOKUP(ZP$33, ALTO!$G$3:$J$9, 4, FALSE)</f>
        <v>1.5999999999999999E-5</v>
      </c>
      <c r="ZQ64" s="6">
        <f>VLOOKUP(ZQ$33, ALTO!$G$3:$J$9, 4, FALSE)</f>
        <v>1.5999999999999999E-5</v>
      </c>
      <c r="ZR64" s="6">
        <f>VLOOKUP(ZR$33, ALTO!$G$3:$J$9, 4, FALSE)</f>
        <v>1.5999999999999999E-5</v>
      </c>
      <c r="ZS64" s="6">
        <f>VLOOKUP(ZS$33, ALTO!$G$3:$J$9, 4, FALSE)</f>
        <v>1.5999999999999999E-5</v>
      </c>
      <c r="ZT64" s="6">
        <f>VLOOKUP(ZT$33, ALTO!$G$3:$J$9, 4, FALSE)</f>
        <v>0</v>
      </c>
      <c r="ZU64" s="6">
        <f>VLOOKUP(ZU$33, ALTO!$G$3:$J$9, 4, FALSE)</f>
        <v>0</v>
      </c>
      <c r="ZV64" s="6">
        <f>VLOOKUP(ZV$33, ALTO!$G$3:$J$9, 4, FALSE)</f>
        <v>0</v>
      </c>
      <c r="ZW64" s="6">
        <f>VLOOKUP(ZW$33, ALTO!$G$3:$J$9, 4, FALSE)</f>
        <v>0</v>
      </c>
      <c r="ZX64" s="6">
        <f>VLOOKUP(ZX$33, ALTO!$G$3:$J$9, 4, FALSE)</f>
        <v>0</v>
      </c>
      <c r="ZY64" s="6">
        <f>VLOOKUP(ZY$33, ALTO!$G$3:$J$9, 4, FALSE)</f>
        <v>0</v>
      </c>
      <c r="ZZ64" s="6">
        <f>VLOOKUP(ZZ$33, ALTO!$G$3:$J$9, 4, FALSE)</f>
        <v>0</v>
      </c>
      <c r="AAA64" s="6">
        <f>VLOOKUP(AAA$33, ALTO!$G$3:$J$9, 4, FALSE)</f>
        <v>0</v>
      </c>
      <c r="AAB64" s="6">
        <f>VLOOKUP(AAB$33, ALTO!$G$3:$J$9, 4, FALSE)</f>
        <v>0</v>
      </c>
      <c r="AAC64" s="6">
        <f>VLOOKUP(AAC$33, ALTO!$G$3:$J$9, 4, FALSE)</f>
        <v>0</v>
      </c>
      <c r="AAD64" s="6">
        <f>VLOOKUP(AAD$33, ALTO!$G$3:$J$9, 4, FALSE)</f>
        <v>0</v>
      </c>
      <c r="AAE64" s="6">
        <f>VLOOKUP(AAE$33, ALTO!$G$3:$J$9, 4, FALSE)</f>
        <v>0</v>
      </c>
      <c r="AAF64" s="6">
        <f>VLOOKUP(AAF$33, ALTO!$G$3:$J$9, 4, FALSE)</f>
        <v>0</v>
      </c>
      <c r="AAG64" s="6">
        <f>VLOOKUP(AAG$33, ALTO!$G$3:$J$9, 4, FALSE)</f>
        <v>0</v>
      </c>
      <c r="AAH64" s="6">
        <f>VLOOKUP(AAH$33, ALTO!$G$3:$J$9, 4, FALSE)</f>
        <v>0</v>
      </c>
      <c r="AAI64" s="6">
        <f>VLOOKUP(AAI$33, ALTO!$G$3:$J$9, 4, FALSE)</f>
        <v>0</v>
      </c>
      <c r="AAJ64" s="6">
        <f>VLOOKUP(AAJ$33, ALTO!$G$3:$J$9, 4, FALSE)</f>
        <v>0</v>
      </c>
      <c r="AAK64" s="6">
        <f>VLOOKUP(AAK$33, ALTO!$G$3:$J$9, 4, FALSE)</f>
        <v>0</v>
      </c>
      <c r="AAL64" s="6">
        <f>VLOOKUP(AAL$33, ALTO!$G$3:$J$9, 4, FALSE)</f>
        <v>0</v>
      </c>
      <c r="AAM64" s="6">
        <f>VLOOKUP(AAM$33, ALTO!$G$3:$J$9, 4, FALSE)</f>
        <v>0</v>
      </c>
      <c r="AAN64" s="6">
        <f>VLOOKUP(AAN$33, ALTO!$G$3:$J$9, 4, FALSE)</f>
        <v>0</v>
      </c>
      <c r="AAO64" s="6">
        <f>VLOOKUP(AAO$33, ALTO!$G$3:$J$9, 4, FALSE)</f>
        <v>0</v>
      </c>
      <c r="AAP64" s="6">
        <f>VLOOKUP(AAP$33, ALTO!$G$3:$J$9, 4, FALSE)</f>
        <v>0</v>
      </c>
      <c r="AAQ64" s="6">
        <f>VLOOKUP(AAQ$33, ALTO!$G$3:$J$9, 4, FALSE)</f>
        <v>0</v>
      </c>
      <c r="AAR64" s="6">
        <f>VLOOKUP(AAR$33, ALTO!$G$3:$J$9, 4, FALSE)</f>
        <v>0</v>
      </c>
      <c r="AAS64" s="6">
        <f>VLOOKUP(AAS$33, ALTO!$G$3:$J$9, 4, FALSE)</f>
        <v>0</v>
      </c>
      <c r="AAT64" s="6">
        <f>VLOOKUP(AAT$33, ALTO!$G$3:$J$9, 4, FALSE)</f>
        <v>0</v>
      </c>
      <c r="AAU64" s="6">
        <f>VLOOKUP(AAU$33, ALTO!$G$3:$J$9, 4, FALSE)</f>
        <v>0</v>
      </c>
      <c r="AAV64" s="6">
        <f>VLOOKUP(AAV$33, ALTO!$G$3:$J$9, 4, FALSE)</f>
        <v>1.5999999999999999E-5</v>
      </c>
      <c r="AAW64" s="6">
        <f>VLOOKUP(AAW$33, ALTO!$G$3:$J$9, 4, FALSE)</f>
        <v>1.5999999999999999E-5</v>
      </c>
      <c r="AAX64" s="6">
        <f>VLOOKUP(AAX$33, ALTO!$G$3:$J$9, 4, FALSE)</f>
        <v>1.5999999999999999E-5</v>
      </c>
      <c r="AAY64" s="6">
        <f>VLOOKUP(AAY$33, ALTO!$G$3:$J$9, 4, FALSE)</f>
        <v>1.5999999999999999E-5</v>
      </c>
      <c r="AAZ64" s="6">
        <f>VLOOKUP(AAZ$33, ALTO!$G$3:$J$9, 4, FALSE)</f>
        <v>1.5999999999999999E-5</v>
      </c>
      <c r="ABA64" s="6">
        <f>VLOOKUP(ABA$33, ALTO!$G$3:$J$9, 4, FALSE)</f>
        <v>1.5999999999999999E-5</v>
      </c>
      <c r="ABB64" s="6">
        <f>VLOOKUP(ABB$33, ALTO!$G$3:$J$9, 4, FALSE)</f>
        <v>1.5999999999999999E-5</v>
      </c>
      <c r="ABC64" s="6">
        <f>VLOOKUP(ABC$33, ALTO!$G$3:$J$9, 4, FALSE)</f>
        <v>1.5999999999999999E-5</v>
      </c>
      <c r="ABD64" s="6">
        <f>VLOOKUP(ABD$33, ALTO!$G$3:$J$9, 4, FALSE)</f>
        <v>1.5999999999999999E-5</v>
      </c>
      <c r="ABE64" s="6">
        <f>VLOOKUP(ABE$33, ALTO!$G$3:$J$9, 4, FALSE)</f>
        <v>1.5999999999999999E-5</v>
      </c>
      <c r="ABF64" s="6">
        <f>VLOOKUP(ABF$33, ALTO!$G$3:$J$9, 4, FALSE)</f>
        <v>1.5999999999999999E-5</v>
      </c>
      <c r="ABG64" s="6">
        <f>VLOOKUP(ABG$33, ALTO!$G$3:$J$9, 4, FALSE)</f>
        <v>1.5999999999999999E-5</v>
      </c>
      <c r="ABH64" s="6">
        <f>VLOOKUP(ABH$33, ALTO!$G$3:$J$9, 4, FALSE)</f>
        <v>1.5999999999999999E-5</v>
      </c>
      <c r="ABI64" s="6">
        <f>VLOOKUP(ABI$33, ALTO!$G$3:$J$9, 4, FALSE)</f>
        <v>1.5999999999999999E-5</v>
      </c>
      <c r="ABJ64" s="6">
        <f>VLOOKUP(ABJ$33, ALTO!$G$3:$J$9, 4, FALSE)</f>
        <v>1.5999999999999999E-5</v>
      </c>
      <c r="ABK64" s="6">
        <f>VLOOKUP(ABK$33, ALTO!$G$3:$J$9, 4, FALSE)</f>
        <v>1.5999999999999999E-5</v>
      </c>
      <c r="ABL64" s="6">
        <f>VLOOKUP(ABL$33, ALTO!$G$3:$J$9, 4, FALSE)</f>
        <v>1.5999999999999999E-5</v>
      </c>
      <c r="ABM64" s="6">
        <f>VLOOKUP(ABM$33, ALTO!$G$3:$J$9, 4, FALSE)</f>
        <v>1.5999999999999999E-5</v>
      </c>
      <c r="ABN64" s="6">
        <f>VLOOKUP(ABN$33, ALTO!$G$3:$J$9, 4, FALSE)</f>
        <v>1.5999999999999999E-5</v>
      </c>
      <c r="ABO64" s="6">
        <f>VLOOKUP(ABO$33, ALTO!$G$3:$J$9, 4, FALSE)</f>
        <v>1.5999999999999999E-5</v>
      </c>
      <c r="ABP64" s="6">
        <f>VLOOKUP(ABP$33, ALTO!$G$3:$J$9, 4, FALSE)</f>
        <v>1.5999999999999999E-5</v>
      </c>
      <c r="ABQ64" s="6">
        <f>VLOOKUP(ABQ$33, ALTO!$G$3:$J$9, 4, FALSE)</f>
        <v>1.5999999999999999E-5</v>
      </c>
      <c r="ABR64" s="6">
        <f>VLOOKUP(ABR$33, ALTO!$G$3:$J$9, 4, FALSE)</f>
        <v>1.5999999999999999E-5</v>
      </c>
      <c r="ABS64" s="6">
        <f>VLOOKUP(ABS$33, ALTO!$G$3:$J$9, 4, FALSE)</f>
        <v>1.5999999999999999E-5</v>
      </c>
      <c r="ABT64" s="6">
        <f>VLOOKUP(ABT$33, ALTO!$G$3:$J$9, 4, FALSE)</f>
        <v>1.5999999999999999E-5</v>
      </c>
      <c r="ABU64" s="6">
        <f>VLOOKUP(ABU$33, ALTO!$G$3:$J$9, 4, FALSE)</f>
        <v>9.6000000000000002E-2</v>
      </c>
      <c r="ABV64" s="6">
        <f>VLOOKUP(ABV$33, ALTO!$G$3:$J$9, 4, FALSE)</f>
        <v>9.6000000000000002E-2</v>
      </c>
      <c r="ABW64" s="6">
        <f>VLOOKUP(ABW$33, ALTO!$G$3:$J$9, 4, FALSE)</f>
        <v>9.6000000000000002E-2</v>
      </c>
      <c r="ABX64" s="6">
        <f>VLOOKUP(ABX$33, ALTO!$G$3:$J$9, 4, FALSE)</f>
        <v>9.6000000000000002E-2</v>
      </c>
      <c r="ABY64" s="6">
        <f>VLOOKUP(ABY$33, ALTO!$G$3:$J$9, 4, FALSE)</f>
        <v>9.6000000000000002E-2</v>
      </c>
      <c r="ABZ64" s="6">
        <f>VLOOKUP(ABZ$33, ALTO!$G$3:$J$9, 4, FALSE)</f>
        <v>9.6000000000000002E-2</v>
      </c>
      <c r="ACA64" s="6">
        <f>VLOOKUP(ACA$33, ALTO!$G$3:$J$9, 4, FALSE)</f>
        <v>9.6000000000000002E-2</v>
      </c>
      <c r="ACB64" s="6">
        <f>VLOOKUP(ACB$33, ALTO!$G$3:$J$9, 4, FALSE)</f>
        <v>9.6000000000000002E-2</v>
      </c>
      <c r="ACC64" s="6">
        <f>VLOOKUP(ACC$33, ALTO!$G$3:$J$9, 4, FALSE)</f>
        <v>9.6000000000000002E-2</v>
      </c>
      <c r="ACD64" s="6">
        <f>VLOOKUP(ACD$33, ALTO!$G$3:$J$9, 4, FALSE)</f>
        <v>9.6000000000000002E-2</v>
      </c>
      <c r="ACE64" s="6">
        <f>VLOOKUP(ACE$33, ALTO!$G$3:$J$9, 4, FALSE)</f>
        <v>9.6000000000000002E-2</v>
      </c>
      <c r="ACF64" s="6">
        <f>VLOOKUP(ACF$33, ALTO!$G$3:$J$9, 4, FALSE)</f>
        <v>9.6000000000000002E-2</v>
      </c>
      <c r="ACG64" s="6">
        <f>VLOOKUP(ACG$33, ALTO!$G$3:$J$9, 4, FALSE)</f>
        <v>9.6000000000000002E-2</v>
      </c>
      <c r="ACH64" s="6">
        <f>VLOOKUP(ACH$33, ALTO!$G$3:$J$9, 4, FALSE)</f>
        <v>9.6000000000000002E-2</v>
      </c>
      <c r="ACI64" s="6">
        <f>VLOOKUP(ACI$33, ALTO!$G$3:$J$9, 4, FALSE)</f>
        <v>9.6000000000000002E-2</v>
      </c>
      <c r="ACJ64" s="6">
        <f>VLOOKUP(ACJ$33, ALTO!$G$3:$J$9, 4, FALSE)</f>
        <v>1.5999999999999999E-5</v>
      </c>
      <c r="ACK64" s="6">
        <f>VLOOKUP(ACK$33, ALTO!$G$3:$J$9, 4, FALSE)</f>
        <v>1.5999999999999999E-5</v>
      </c>
      <c r="ACL64" s="6">
        <f>VLOOKUP(ACL$33, ALTO!$G$3:$J$9, 4, FALSE)</f>
        <v>1.5999999999999999E-5</v>
      </c>
      <c r="ACM64" s="6">
        <f>VLOOKUP(ACM$33, ALTO!$G$3:$J$9, 4, FALSE)</f>
        <v>1.5999999999999999E-5</v>
      </c>
      <c r="ACN64" s="6">
        <f>VLOOKUP(ACN$33, ALTO!$G$3:$J$9, 4, FALSE)</f>
        <v>1.5999999999999999E-5</v>
      </c>
      <c r="ACO64" s="6">
        <f>VLOOKUP(ACO$33, ALTO!$G$3:$J$9, 4, FALSE)</f>
        <v>1.5999999999999999E-5</v>
      </c>
      <c r="ACP64" s="6">
        <f>VLOOKUP(ACP$33, ALTO!$G$3:$J$9, 4, FALSE)</f>
        <v>1.5999999999999999E-5</v>
      </c>
      <c r="ACQ64" s="6">
        <f>VLOOKUP(ACQ$33, ALTO!$G$3:$J$9, 4, FALSE)</f>
        <v>1.5999999999999999E-5</v>
      </c>
      <c r="ACR64" s="6">
        <f>VLOOKUP(ACR$33, ALTO!$G$3:$J$9, 4, FALSE)</f>
        <v>1.5999999999999999E-5</v>
      </c>
      <c r="ACS64" s="6">
        <f>VLOOKUP(ACS$33, ALTO!$G$3:$J$9, 4, FALSE)</f>
        <v>1.5999999999999999E-5</v>
      </c>
      <c r="ACT64" s="6">
        <f>VLOOKUP(ACT$33, ALTO!$G$3:$J$9, 4, FALSE)</f>
        <v>1.5999999999999999E-5</v>
      </c>
      <c r="ACU64" s="6">
        <f>VLOOKUP(ACU$33, ALTO!$G$3:$J$9, 4, FALSE)</f>
        <v>1.5999999999999999E-5</v>
      </c>
      <c r="ACV64" s="6">
        <f>VLOOKUP(ACV$33, ALTO!$G$3:$J$9, 4, FALSE)</f>
        <v>1.5999999999999999E-5</v>
      </c>
      <c r="ACW64" s="6">
        <f>VLOOKUP(ACW$33, ALTO!$G$3:$J$9, 4, FALSE)</f>
        <v>1.5999999999999999E-5</v>
      </c>
      <c r="ACX64" s="6">
        <f>VLOOKUP(ACX$33, ALTO!$G$3:$J$9, 4, FALSE)</f>
        <v>1.5999999999999999E-5</v>
      </c>
      <c r="ACY64" s="6">
        <f>VLOOKUP(ACY$33, ALTO!$G$3:$J$9, 4, FALSE)</f>
        <v>1.5999999999999999E-5</v>
      </c>
      <c r="ACZ64" s="6">
        <f>VLOOKUP(ACZ$33, ALTO!$G$3:$J$9, 4, FALSE)</f>
        <v>1.5999999999999999E-5</v>
      </c>
      <c r="ADA64" s="6">
        <f>VLOOKUP(ADA$33, ALTO!$G$3:$J$9, 4, FALSE)</f>
        <v>9.6000000000000002E-2</v>
      </c>
      <c r="ADB64" s="6">
        <f>VLOOKUP(ADB$33, ALTO!$G$3:$J$9, 4, FALSE)</f>
        <v>9.6000000000000002E-2</v>
      </c>
      <c r="ADC64" s="6">
        <f>VLOOKUP(ADC$33, ALTO!$G$3:$J$9, 4, FALSE)</f>
        <v>9.6000000000000002E-2</v>
      </c>
      <c r="ADD64" s="6">
        <f>VLOOKUP(ADD$33, ALTO!$G$3:$J$9, 4, FALSE)</f>
        <v>9.6000000000000002E-2</v>
      </c>
      <c r="ADE64" s="6">
        <f>VLOOKUP(ADE$33, ALTO!$G$3:$J$9, 4, FALSE)</f>
        <v>9.6000000000000002E-2</v>
      </c>
      <c r="ADF64" s="6">
        <f>VLOOKUP(ADF$33, ALTO!$G$3:$J$9, 4, FALSE)</f>
        <v>9.6000000000000002E-2</v>
      </c>
      <c r="ADG64" s="6">
        <f>VLOOKUP(ADG$33, ALTO!$G$3:$J$9, 4, FALSE)</f>
        <v>9.6000000000000002E-2</v>
      </c>
      <c r="ADH64" s="6">
        <f>VLOOKUP(ADH$33, ALTO!$G$3:$J$9, 4, FALSE)</f>
        <v>9.6000000000000002E-2</v>
      </c>
      <c r="ADI64" s="6">
        <f>VLOOKUP(ADI$33, ALTO!$G$3:$J$9, 4, FALSE)</f>
        <v>9.6000000000000002E-2</v>
      </c>
      <c r="ADJ64" s="6">
        <f>VLOOKUP(ADJ$33, ALTO!$G$3:$J$9, 4, FALSE)</f>
        <v>9.6000000000000002E-2</v>
      </c>
      <c r="ADK64" s="6">
        <f>VLOOKUP(ADK$33, ALTO!$G$3:$J$9, 4, FALSE)</f>
        <v>9.6000000000000002E-2</v>
      </c>
      <c r="ADL64" s="6">
        <f>VLOOKUP(ADL$33, ALTO!$G$3:$J$9, 4, FALSE)</f>
        <v>9.6000000000000002E-2</v>
      </c>
      <c r="ADM64" s="6">
        <f>VLOOKUP(ADM$33, ALTO!$G$3:$J$9, 4, FALSE)</f>
        <v>9.6000000000000002E-2</v>
      </c>
      <c r="ADN64" s="6">
        <f>VLOOKUP(ADN$33, ALTO!$G$3:$J$9, 4, FALSE)</f>
        <v>9.6000000000000002E-2</v>
      </c>
      <c r="ADO64" s="6">
        <f>VLOOKUP(ADO$33, ALTO!$G$3:$J$9, 4, FALSE)</f>
        <v>9.6000000000000002E-2</v>
      </c>
      <c r="ADP64" s="6">
        <f>VLOOKUP(ADP$33, ALTO!$G$3:$J$9, 4, FALSE)</f>
        <v>1.5999999999999999E-5</v>
      </c>
      <c r="ADQ64" s="6">
        <f>VLOOKUP(ADQ$33, ALTO!$G$3:$J$9, 4, FALSE)</f>
        <v>1.5999999999999999E-5</v>
      </c>
      <c r="ADR64" s="6">
        <f>VLOOKUP(ADR$33, ALTO!$G$3:$J$9, 4, FALSE)</f>
        <v>1.5999999999999999E-5</v>
      </c>
      <c r="ADS64" s="6">
        <f>VLOOKUP(ADS$33, ALTO!$G$3:$J$9, 4, FALSE)</f>
        <v>1.5999999999999999E-5</v>
      </c>
      <c r="ADT64" s="6">
        <f>VLOOKUP(ADT$33, ALTO!$G$3:$J$9, 4, FALSE)</f>
        <v>1.5999999999999999E-5</v>
      </c>
      <c r="ADU64" s="6">
        <f>VLOOKUP(ADU$33, ALTO!$G$3:$J$9, 4, FALSE)</f>
        <v>1.5999999999999999E-5</v>
      </c>
      <c r="ADV64" s="6">
        <f>VLOOKUP(ADV$33, ALTO!$G$3:$J$9, 4, FALSE)</f>
        <v>1.5999999999999999E-5</v>
      </c>
      <c r="ADW64" s="6">
        <f>VLOOKUP(ADW$33, ALTO!$G$3:$J$9, 4, FALSE)</f>
        <v>1.5999999999999999E-5</v>
      </c>
      <c r="ADX64" s="6">
        <f>VLOOKUP(ADX$33, ALTO!$G$3:$J$9, 4, FALSE)</f>
        <v>1.5999999999999999E-5</v>
      </c>
      <c r="ADY64" s="6">
        <f>VLOOKUP(ADY$33, ALTO!$G$3:$J$9, 4, FALSE)</f>
        <v>1.5999999999999999E-5</v>
      </c>
      <c r="ADZ64" s="6">
        <f>VLOOKUP(ADZ$33, ALTO!$G$3:$J$9, 4, FALSE)</f>
        <v>1.5999999999999999E-5</v>
      </c>
      <c r="AEA64" s="6">
        <f>VLOOKUP(AEA$33, ALTO!$G$3:$J$9, 4, FALSE)</f>
        <v>1.5999999999999999E-5</v>
      </c>
      <c r="AEB64" s="6">
        <f>VLOOKUP(AEB$33, ALTO!$G$3:$J$9, 4, FALSE)</f>
        <v>1.5999999999999999E-5</v>
      </c>
      <c r="AEC64" s="6">
        <f>VLOOKUP(AEC$33, ALTO!$G$3:$J$9, 4, FALSE)</f>
        <v>1.5999999999999999E-5</v>
      </c>
      <c r="AED64" s="6">
        <f>VLOOKUP(AED$33, ALTO!$G$3:$J$9, 4, FALSE)</f>
        <v>1.5999999999999999E-5</v>
      </c>
      <c r="AEE64" s="6">
        <f>VLOOKUP(AEE$33, ALTO!$G$3:$J$9, 4, FALSE)</f>
        <v>1.5999999999999999E-5</v>
      </c>
      <c r="AEF64" s="6">
        <f>VLOOKUP(AEF$33, ALTO!$G$3:$J$9, 4, FALSE)</f>
        <v>1.5999999999999999E-5</v>
      </c>
      <c r="AEG64" s="6">
        <f>VLOOKUP(AEG$33, ALTO!$G$3:$J$9, 4, FALSE)</f>
        <v>1.5999999999999999E-5</v>
      </c>
      <c r="AEH64" s="6">
        <f>VLOOKUP(AEH$33, ALTO!$G$3:$J$9, 4, FALSE)</f>
        <v>1.5999999999999999E-5</v>
      </c>
      <c r="AEI64" s="6">
        <f>VLOOKUP(AEI$33, ALTO!$G$3:$J$9, 4, FALSE)</f>
        <v>1.5999999999999999E-5</v>
      </c>
      <c r="AEJ64" s="6">
        <f>VLOOKUP(AEJ$33, ALTO!$G$3:$J$9, 4, FALSE)</f>
        <v>1.5999999999999999E-5</v>
      </c>
      <c r="AEK64" s="6">
        <f>VLOOKUP(AEK$33, ALTO!$G$3:$J$9, 4, FALSE)</f>
        <v>1.5999999999999999E-5</v>
      </c>
      <c r="AEL64" s="6">
        <f>VLOOKUP(AEL$33, ALTO!$G$3:$J$9, 4, FALSE)</f>
        <v>1.5999999999999999E-5</v>
      </c>
      <c r="AEM64" s="6">
        <f>VLOOKUP(AEM$33, ALTO!$G$3:$J$9, 4, FALSE)</f>
        <v>1.5999999999999999E-5</v>
      </c>
      <c r="AEN64" s="6">
        <f>VLOOKUP(AEN$33, ALTO!$G$3:$J$9, 4, FALSE)</f>
        <v>1.5999999999999999E-5</v>
      </c>
      <c r="AEO64" s="6">
        <f>VLOOKUP(AEO$33, ALTO!$G$3:$J$9, 4, FALSE)</f>
        <v>9.6000000000000002E-2</v>
      </c>
      <c r="AEP64" s="6">
        <f>VLOOKUP(AEP$33, ALTO!$G$3:$J$9, 4, FALSE)</f>
        <v>9.6000000000000002E-2</v>
      </c>
      <c r="AEQ64" s="6">
        <f>VLOOKUP(AEQ$33, ALTO!$G$3:$J$9, 4, FALSE)</f>
        <v>9.6000000000000002E-2</v>
      </c>
      <c r="AER64" s="6">
        <f>VLOOKUP(AER$33, ALTO!$G$3:$J$9, 4, FALSE)</f>
        <v>9.6000000000000002E-2</v>
      </c>
      <c r="AES64" s="6">
        <f>VLOOKUP(AES$33, ALTO!$G$3:$J$9, 4, FALSE)</f>
        <v>9.6000000000000002E-2</v>
      </c>
      <c r="AET64" s="6">
        <f>VLOOKUP(AET$33, ALTO!$G$3:$J$9, 4, FALSE)</f>
        <v>9.6000000000000002E-2</v>
      </c>
      <c r="AEU64" s="6">
        <f>VLOOKUP(AEU$33, ALTO!$G$3:$J$9, 4, FALSE)</f>
        <v>9.6000000000000002E-2</v>
      </c>
      <c r="AEV64" s="6">
        <f>VLOOKUP(AEV$33, ALTO!$G$3:$J$9, 4, FALSE)</f>
        <v>9.6000000000000002E-2</v>
      </c>
      <c r="AEW64" s="6">
        <f>VLOOKUP(AEW$33, ALTO!$G$3:$J$9, 4, FALSE)</f>
        <v>9.6000000000000002E-2</v>
      </c>
      <c r="AEX64" s="6">
        <f>VLOOKUP(AEX$33, ALTO!$G$3:$J$9, 4, FALSE)</f>
        <v>9.6000000000000002E-2</v>
      </c>
      <c r="AEY64" s="6">
        <f>VLOOKUP(AEY$33, ALTO!$G$3:$J$9, 4, FALSE)</f>
        <v>9.6000000000000002E-2</v>
      </c>
      <c r="AEZ64" s="6">
        <f>VLOOKUP(AEZ$33, ALTO!$G$3:$J$9, 4, FALSE)</f>
        <v>9.6000000000000002E-2</v>
      </c>
      <c r="AFA64" s="6">
        <f>VLOOKUP(AFA$33, ALTO!$G$3:$J$9, 4, FALSE)</f>
        <v>9.6000000000000002E-2</v>
      </c>
      <c r="AFB64" s="6">
        <f>VLOOKUP(AFB$33, ALTO!$G$3:$J$9, 4, FALSE)</f>
        <v>9.6000000000000002E-2</v>
      </c>
      <c r="AFC64" s="6">
        <f>VLOOKUP(AFC$33, ALTO!$G$3:$J$9, 4, FALSE)</f>
        <v>9.6000000000000002E-2</v>
      </c>
      <c r="AFD64" s="6">
        <f>VLOOKUP(AFD$33, ALTO!$G$3:$J$9, 4, FALSE)</f>
        <v>1.5999999999999999E-5</v>
      </c>
      <c r="AFE64" s="6">
        <f>VLOOKUP(AFE$33, ALTO!$G$3:$J$9, 4, FALSE)</f>
        <v>1.5999999999999999E-5</v>
      </c>
      <c r="AFF64" s="6">
        <f>VLOOKUP(AFF$33, ALTO!$G$3:$J$9, 4, FALSE)</f>
        <v>1.5999999999999999E-5</v>
      </c>
      <c r="AFG64" s="6">
        <f>VLOOKUP(AFG$33, ALTO!$G$3:$J$9, 4, FALSE)</f>
        <v>1.5999999999999999E-5</v>
      </c>
      <c r="AFH64" s="6">
        <f>VLOOKUP(AFH$33, ALTO!$G$3:$J$9, 4, FALSE)</f>
        <v>0</v>
      </c>
      <c r="AFI64" s="6">
        <f>VLOOKUP(AFI$33, ALTO!$G$3:$J$9, 4, FALSE)</f>
        <v>0</v>
      </c>
      <c r="AFJ64" s="6">
        <f>VLOOKUP(AFJ$33, ALTO!$G$3:$J$9, 4, FALSE)</f>
        <v>0</v>
      </c>
      <c r="AFK64" s="6">
        <f>VLOOKUP(AFK$33, ALTO!$G$3:$J$9, 4, FALSE)</f>
        <v>0</v>
      </c>
      <c r="AFL64" s="6">
        <f>VLOOKUP(AFL$33, ALTO!$G$3:$J$9, 4, FALSE)</f>
        <v>0</v>
      </c>
      <c r="AFM64" s="6">
        <f>VLOOKUP(AFM$33, ALTO!$G$3:$J$9, 4, FALSE)</f>
        <v>0</v>
      </c>
      <c r="AFN64" s="6">
        <f>VLOOKUP(AFN$33, ALTO!$G$3:$J$9, 4, FALSE)</f>
        <v>0</v>
      </c>
      <c r="AFO64" s="6">
        <f>VLOOKUP(AFO$33, ALTO!$G$3:$J$9, 4, FALSE)</f>
        <v>0</v>
      </c>
      <c r="AFP64" s="6">
        <f>VLOOKUP(AFP$33, ALTO!$G$3:$J$9, 4, FALSE)</f>
        <v>0</v>
      </c>
      <c r="AFQ64" s="6">
        <f>VLOOKUP(AFQ$33, ALTO!$G$3:$J$9, 4, FALSE)</f>
        <v>0</v>
      </c>
      <c r="AFR64" s="6">
        <f>VLOOKUP(AFR$33, ALTO!$G$3:$J$9, 4, FALSE)</f>
        <v>0</v>
      </c>
      <c r="AFS64" s="6">
        <f>VLOOKUP(AFS$33, ALTO!$G$3:$J$9, 4, FALSE)</f>
        <v>0</v>
      </c>
      <c r="AFT64" s="6">
        <f>VLOOKUP(AFT$33, ALTO!$G$3:$J$9, 4, FALSE)</f>
        <v>0</v>
      </c>
      <c r="AFU64" s="6">
        <f>VLOOKUP(AFU$33, ALTO!$G$3:$J$9, 4, FALSE)</f>
        <v>0</v>
      </c>
      <c r="AFV64" s="6">
        <f>VLOOKUP(AFV$33, ALTO!$G$3:$J$9, 4, FALSE)</f>
        <v>0</v>
      </c>
      <c r="AFW64" s="6">
        <f>VLOOKUP(AFW$33, ALTO!$G$3:$J$9, 4, FALSE)</f>
        <v>0</v>
      </c>
      <c r="AFX64" s="6">
        <f>VLOOKUP(AFX$33, ALTO!$G$3:$J$9, 4, FALSE)</f>
        <v>0</v>
      </c>
      <c r="AFY64" s="6">
        <f>VLOOKUP(AFY$33, ALTO!$G$3:$J$9, 4, FALSE)</f>
        <v>0</v>
      </c>
      <c r="AFZ64" s="6">
        <f>VLOOKUP(AFZ$33, ALTO!$G$3:$J$9, 4, FALSE)</f>
        <v>0</v>
      </c>
      <c r="AGA64" s="6">
        <f>VLOOKUP(AGA$33, ALTO!$G$3:$J$9, 4, FALSE)</f>
        <v>0</v>
      </c>
      <c r="AGB64" s="6">
        <f>VLOOKUP(AGB$33, ALTO!$G$3:$J$9, 4, FALSE)</f>
        <v>0</v>
      </c>
      <c r="AGC64" s="6">
        <f>VLOOKUP(AGC$33, ALTO!$G$3:$J$9, 4, FALSE)</f>
        <v>0</v>
      </c>
      <c r="AGD64" s="6">
        <f>VLOOKUP(AGD$33, ALTO!$G$3:$J$9, 4, FALSE)</f>
        <v>0</v>
      </c>
      <c r="AGE64" s="6">
        <f>VLOOKUP(AGE$33, ALTO!$G$3:$J$9, 4, FALSE)</f>
        <v>0</v>
      </c>
      <c r="AGF64" s="6">
        <f>VLOOKUP(AGF$33, ALTO!$G$3:$J$9, 4, FALSE)</f>
        <v>0</v>
      </c>
      <c r="AGG64" s="6">
        <f>VLOOKUP(AGG$33, ALTO!$G$3:$J$9, 4, FALSE)</f>
        <v>0</v>
      </c>
      <c r="AGH64" s="6">
        <f>VLOOKUP(AGH$33, ALTO!$G$3:$J$9, 4, FALSE)</f>
        <v>0</v>
      </c>
      <c r="AGI64" s="6">
        <f>VLOOKUP(AGI$33, ALTO!$G$3:$J$9, 4, FALSE)</f>
        <v>0</v>
      </c>
      <c r="AGJ64" s="6">
        <f>VLOOKUP(AGJ$33, ALTO!$G$3:$J$9, 4, FALSE)</f>
        <v>1.5999999999999999E-5</v>
      </c>
      <c r="AGK64" s="6">
        <f>VLOOKUP(AGK$33, ALTO!$G$3:$J$9, 4, FALSE)</f>
        <v>1.5999999999999999E-5</v>
      </c>
      <c r="AGL64" s="6">
        <f>VLOOKUP(AGL$33, ALTO!$G$3:$J$9, 4, FALSE)</f>
        <v>1.5999999999999999E-5</v>
      </c>
      <c r="AGM64" s="6">
        <f>VLOOKUP(AGM$33, ALTO!$G$3:$J$9, 4, FALSE)</f>
        <v>1.5999999999999999E-5</v>
      </c>
      <c r="AGN64" s="6">
        <f>VLOOKUP(AGN$33, ALTO!$G$3:$J$9, 4, FALSE)</f>
        <v>1.5999999999999999E-5</v>
      </c>
      <c r="AGO64" s="6">
        <f>VLOOKUP(AGO$33, ALTO!$G$3:$J$9, 4, FALSE)</f>
        <v>1.5999999999999999E-5</v>
      </c>
      <c r="AGP64" s="6">
        <f>VLOOKUP(AGP$33, ALTO!$G$3:$J$9, 4, FALSE)</f>
        <v>1.5999999999999999E-5</v>
      </c>
      <c r="AGQ64" s="6">
        <f>VLOOKUP(AGQ$33, ALTO!$G$3:$J$9, 4, FALSE)</f>
        <v>1.5999999999999999E-5</v>
      </c>
      <c r="AGR64" s="6">
        <f>VLOOKUP(AGR$33, ALTO!$G$3:$J$9, 4, FALSE)</f>
        <v>1.5999999999999999E-5</v>
      </c>
      <c r="AGS64" s="6">
        <f>VLOOKUP(AGS$33, ALTO!$G$3:$J$9, 4, FALSE)</f>
        <v>1.5999999999999999E-5</v>
      </c>
      <c r="AGT64" s="6">
        <f>VLOOKUP(AGT$33, ALTO!$G$3:$J$9, 4, FALSE)</f>
        <v>1.5999999999999999E-5</v>
      </c>
      <c r="AGU64" s="6">
        <f>VLOOKUP(AGU$33, ALTO!$G$3:$J$9, 4, FALSE)</f>
        <v>1.5999999999999999E-5</v>
      </c>
      <c r="AGV64" s="6">
        <f>VLOOKUP(AGV$33, ALTO!$G$3:$J$9, 4, FALSE)</f>
        <v>1.5999999999999999E-5</v>
      </c>
      <c r="AGW64" s="6">
        <f>VLOOKUP(AGW$33, ALTO!$G$3:$J$9, 4, FALSE)</f>
        <v>1.5999999999999999E-5</v>
      </c>
      <c r="AGX64" s="6">
        <f>VLOOKUP(AGX$33, ALTO!$G$3:$J$9, 4, FALSE)</f>
        <v>1.5999999999999999E-5</v>
      </c>
      <c r="AGY64" s="6">
        <f>VLOOKUP(AGY$33, ALTO!$G$3:$J$9, 4, FALSE)</f>
        <v>1.5999999999999999E-5</v>
      </c>
      <c r="AGZ64" s="6">
        <f>VLOOKUP(AGZ$33, ALTO!$G$3:$J$9, 4, FALSE)</f>
        <v>1.5999999999999999E-5</v>
      </c>
      <c r="AHA64" s="6">
        <f>VLOOKUP(AHA$33, ALTO!$G$3:$J$9, 4, FALSE)</f>
        <v>1.5999999999999999E-5</v>
      </c>
      <c r="AHB64" s="6">
        <f>VLOOKUP(AHB$33, ALTO!$G$3:$J$9, 4, FALSE)</f>
        <v>1.5999999999999999E-5</v>
      </c>
      <c r="AHC64" s="6">
        <f>VLOOKUP(AHC$33, ALTO!$G$3:$J$9, 4, FALSE)</f>
        <v>1.5999999999999999E-5</v>
      </c>
      <c r="AHD64" s="6">
        <f>VLOOKUP(AHD$33, ALTO!$G$3:$J$9, 4, FALSE)</f>
        <v>1.5999999999999999E-5</v>
      </c>
      <c r="AHE64" s="6">
        <f>VLOOKUP(AHE$33, ALTO!$G$3:$J$9, 4, FALSE)</f>
        <v>1.5999999999999999E-5</v>
      </c>
      <c r="AHF64" s="6">
        <f>VLOOKUP(AHF$33, ALTO!$G$3:$J$9, 4, FALSE)</f>
        <v>1.5999999999999999E-5</v>
      </c>
      <c r="AHG64" s="6">
        <f>VLOOKUP(AHG$33, ALTO!$G$3:$J$9, 4, FALSE)</f>
        <v>1.5999999999999999E-5</v>
      </c>
      <c r="AHH64" s="6">
        <f>VLOOKUP(AHH$33, ALTO!$G$3:$J$9, 4, FALSE)</f>
        <v>1.5999999999999999E-5</v>
      </c>
      <c r="AHI64" s="6">
        <f>VLOOKUP(AHI$33, ALTO!$G$3:$J$9, 4, FALSE)</f>
        <v>9.6000000000000002E-2</v>
      </c>
      <c r="AHJ64" s="6">
        <f>VLOOKUP(AHJ$33, ALTO!$G$3:$J$9, 4, FALSE)</f>
        <v>9.6000000000000002E-2</v>
      </c>
      <c r="AHK64" s="6">
        <f>VLOOKUP(AHK$33, ALTO!$G$3:$J$9, 4, FALSE)</f>
        <v>9.6000000000000002E-2</v>
      </c>
      <c r="AHL64" s="6">
        <f>VLOOKUP(AHL$33, ALTO!$G$3:$J$9, 4, FALSE)</f>
        <v>9.6000000000000002E-2</v>
      </c>
      <c r="AHM64" s="6">
        <f>VLOOKUP(AHM$33, ALTO!$G$3:$J$9, 4, FALSE)</f>
        <v>9.6000000000000002E-2</v>
      </c>
      <c r="AHN64" s="6">
        <f>VLOOKUP(AHN$33, ALTO!$G$3:$J$9, 4, FALSE)</f>
        <v>9.6000000000000002E-2</v>
      </c>
      <c r="AHO64" s="6">
        <f>VLOOKUP(AHO$33, ALTO!$G$3:$J$9, 4, FALSE)</f>
        <v>9.6000000000000002E-2</v>
      </c>
      <c r="AHP64" s="6">
        <f>VLOOKUP(AHP$33, ALTO!$G$3:$J$9, 4, FALSE)</f>
        <v>9.6000000000000002E-2</v>
      </c>
      <c r="AHQ64" s="6">
        <f>VLOOKUP(AHQ$33, ALTO!$G$3:$J$9, 4, FALSE)</f>
        <v>9.6000000000000002E-2</v>
      </c>
      <c r="AHR64" s="6">
        <f>VLOOKUP(AHR$33, ALTO!$G$3:$J$9, 4, FALSE)</f>
        <v>9.6000000000000002E-2</v>
      </c>
      <c r="AHS64" s="6">
        <f>VLOOKUP(AHS$33, ALTO!$G$3:$J$9, 4, FALSE)</f>
        <v>9.6000000000000002E-2</v>
      </c>
      <c r="AHT64" s="6">
        <f>VLOOKUP(AHT$33, ALTO!$G$3:$J$9, 4, FALSE)</f>
        <v>9.6000000000000002E-2</v>
      </c>
      <c r="AHU64" s="6">
        <f>VLOOKUP(AHU$33, ALTO!$G$3:$J$9, 4, FALSE)</f>
        <v>9.6000000000000002E-2</v>
      </c>
      <c r="AHV64" s="6">
        <f>VLOOKUP(AHV$33, ALTO!$G$3:$J$9, 4, FALSE)</f>
        <v>9.6000000000000002E-2</v>
      </c>
      <c r="AHW64" s="6">
        <f>VLOOKUP(AHW$33, ALTO!$G$3:$J$9, 4, FALSE)</f>
        <v>9.6000000000000002E-2</v>
      </c>
      <c r="AHX64" s="6">
        <f>VLOOKUP(AHX$33, ALTO!$G$3:$J$9, 4, FALSE)</f>
        <v>1.5999999999999999E-5</v>
      </c>
      <c r="AHY64" s="6">
        <f>VLOOKUP(AHY$33, ALTO!$G$3:$J$9, 4, FALSE)</f>
        <v>1.5999999999999999E-5</v>
      </c>
      <c r="AHZ64" s="6">
        <f>VLOOKUP(AHZ$33, ALTO!$G$3:$J$9, 4, FALSE)</f>
        <v>1.5999999999999999E-5</v>
      </c>
      <c r="AIA64" s="6">
        <f>VLOOKUP(AIA$33, ALTO!$G$3:$J$9, 4, FALSE)</f>
        <v>1.5999999999999999E-5</v>
      </c>
      <c r="AIB64" s="6">
        <f>VLOOKUP(AIB$33, ALTO!$G$3:$J$9, 4, FALSE)</f>
        <v>1.5999999999999999E-5</v>
      </c>
      <c r="AIC64" s="6">
        <f>VLOOKUP(AIC$33, ALTO!$G$3:$J$9, 4, FALSE)</f>
        <v>1.5999999999999999E-5</v>
      </c>
      <c r="AID64" s="6">
        <f>VLOOKUP(AID$33, ALTO!$G$3:$J$9, 4, FALSE)</f>
        <v>1.5999999999999999E-5</v>
      </c>
      <c r="AIE64" s="6">
        <f>VLOOKUP(AIE$33, ALTO!$G$3:$J$9, 4, FALSE)</f>
        <v>1.5999999999999999E-5</v>
      </c>
      <c r="AIF64" s="6">
        <f>VLOOKUP(AIF$33, ALTO!$G$3:$J$9, 4, FALSE)</f>
        <v>1.5999999999999999E-5</v>
      </c>
      <c r="AIG64" s="6">
        <f>VLOOKUP(AIG$33, ALTO!$G$3:$J$9, 4, FALSE)</f>
        <v>1.5999999999999999E-5</v>
      </c>
      <c r="AIH64" s="6">
        <f>VLOOKUP(AIH$33, ALTO!$G$3:$J$9, 4, FALSE)</f>
        <v>1.5999999999999999E-5</v>
      </c>
      <c r="AII64" s="6">
        <f>VLOOKUP(AII$33, ALTO!$G$3:$J$9, 4, FALSE)</f>
        <v>1.5999999999999999E-5</v>
      </c>
      <c r="AIJ64" s="6">
        <f>VLOOKUP(AIJ$33, ALTO!$G$3:$J$9, 4, FALSE)</f>
        <v>1.5999999999999999E-5</v>
      </c>
      <c r="AIK64" s="6">
        <f>VLOOKUP(AIK$33, ALTO!$G$3:$J$9, 4, FALSE)</f>
        <v>1.5999999999999999E-5</v>
      </c>
      <c r="AIL64" s="6">
        <f>VLOOKUP(AIL$33, ALTO!$G$3:$J$9, 4, FALSE)</f>
        <v>1.5999999999999999E-5</v>
      </c>
      <c r="AIM64" s="6">
        <f>VLOOKUP(AIM$33, ALTO!$G$3:$J$9, 4, FALSE)</f>
        <v>1.5999999999999999E-5</v>
      </c>
      <c r="AIN64" s="6">
        <f>VLOOKUP(AIN$33, ALTO!$G$3:$J$9, 4, FALSE)</f>
        <v>1.5999999999999999E-5</v>
      </c>
      <c r="AIO64" s="6">
        <f>VLOOKUP(AIO$33, ALTO!$G$3:$J$9, 4, FALSE)</f>
        <v>9.6000000000000002E-2</v>
      </c>
      <c r="AIP64" s="6">
        <f>VLOOKUP(AIP$33, ALTO!$G$3:$J$9, 4, FALSE)</f>
        <v>9.6000000000000002E-2</v>
      </c>
      <c r="AIQ64" s="6">
        <f>VLOOKUP(AIQ$33, ALTO!$G$3:$J$9, 4, FALSE)</f>
        <v>9.6000000000000002E-2</v>
      </c>
      <c r="AIR64" s="6">
        <f>VLOOKUP(AIR$33, ALTO!$G$3:$J$9, 4, FALSE)</f>
        <v>9.6000000000000002E-2</v>
      </c>
      <c r="AIS64" s="6">
        <f>VLOOKUP(AIS$33, ALTO!$G$3:$J$9, 4, FALSE)</f>
        <v>9.6000000000000002E-2</v>
      </c>
      <c r="AIT64" s="6">
        <f>VLOOKUP(AIT$33, ALTO!$G$3:$J$9, 4, FALSE)</f>
        <v>9.6000000000000002E-2</v>
      </c>
      <c r="AIU64" s="6">
        <f>VLOOKUP(AIU$33, ALTO!$G$3:$J$9, 4, FALSE)</f>
        <v>9.6000000000000002E-2</v>
      </c>
      <c r="AIV64" s="6">
        <f>VLOOKUP(AIV$33, ALTO!$G$3:$J$9, 4, FALSE)</f>
        <v>9.6000000000000002E-2</v>
      </c>
      <c r="AIW64" s="6">
        <f>VLOOKUP(AIW$33, ALTO!$G$3:$J$9, 4, FALSE)</f>
        <v>9.6000000000000002E-2</v>
      </c>
      <c r="AIX64" s="6">
        <f>VLOOKUP(AIX$33, ALTO!$G$3:$J$9, 4, FALSE)</f>
        <v>9.6000000000000002E-2</v>
      </c>
      <c r="AIY64" s="6">
        <f>VLOOKUP(AIY$33, ALTO!$G$3:$J$9, 4, FALSE)</f>
        <v>9.6000000000000002E-2</v>
      </c>
      <c r="AIZ64" s="6">
        <f>VLOOKUP(AIZ$33, ALTO!$G$3:$J$9, 4, FALSE)</f>
        <v>9.6000000000000002E-2</v>
      </c>
      <c r="AJA64" s="6">
        <f>VLOOKUP(AJA$33, ALTO!$G$3:$J$9, 4, FALSE)</f>
        <v>9.6000000000000002E-2</v>
      </c>
      <c r="AJB64" s="6">
        <f>VLOOKUP(AJB$33, ALTO!$G$3:$J$9, 4, FALSE)</f>
        <v>9.6000000000000002E-2</v>
      </c>
      <c r="AJC64" s="6">
        <f>VLOOKUP(AJC$33, ALTO!$G$3:$J$9, 4, FALSE)</f>
        <v>9.6000000000000002E-2</v>
      </c>
      <c r="AJD64" s="6">
        <f>VLOOKUP(AJD$33, ALTO!$G$3:$J$9, 4, FALSE)</f>
        <v>1.5999999999999999E-5</v>
      </c>
      <c r="AJE64" s="6">
        <f>VLOOKUP(AJE$33, ALTO!$G$3:$J$9, 4, FALSE)</f>
        <v>1.5999999999999999E-5</v>
      </c>
      <c r="AJF64" s="6">
        <f>VLOOKUP(AJF$33, ALTO!$G$3:$J$9, 4, FALSE)</f>
        <v>1.5999999999999999E-5</v>
      </c>
      <c r="AJG64" s="6">
        <f>VLOOKUP(AJG$33, ALTO!$G$3:$J$9, 4, FALSE)</f>
        <v>1.5999999999999999E-5</v>
      </c>
      <c r="AJH64" s="6">
        <f>VLOOKUP(AJH$33, ALTO!$G$3:$J$9, 4, FALSE)</f>
        <v>1.5999999999999999E-5</v>
      </c>
      <c r="AJI64" s="6">
        <f>VLOOKUP(AJI$33, ALTO!$G$3:$J$9, 4, FALSE)</f>
        <v>1.5999999999999999E-5</v>
      </c>
      <c r="AJJ64" s="6">
        <f>VLOOKUP(AJJ$33, ALTO!$G$3:$J$9, 4, FALSE)</f>
        <v>1.5999999999999999E-5</v>
      </c>
      <c r="AJK64" s="6">
        <f>VLOOKUP(AJK$33, ALTO!$G$3:$J$9, 4, FALSE)</f>
        <v>1.5999999999999999E-5</v>
      </c>
      <c r="AJL64" s="6">
        <f>VLOOKUP(AJL$33, ALTO!$G$3:$J$9, 4, FALSE)</f>
        <v>1.5999999999999999E-5</v>
      </c>
      <c r="AJM64" s="6">
        <f>VLOOKUP(AJM$33, ALTO!$G$3:$J$9, 4, FALSE)</f>
        <v>1.5999999999999999E-5</v>
      </c>
      <c r="AJN64" s="6">
        <f>VLOOKUP(AJN$33, ALTO!$G$3:$J$9, 4, FALSE)</f>
        <v>1.5999999999999999E-5</v>
      </c>
      <c r="AJO64" s="6">
        <f>VLOOKUP(AJO$33, ALTO!$G$3:$J$9, 4, FALSE)</f>
        <v>1.5999999999999999E-5</v>
      </c>
      <c r="AJP64" s="6">
        <f>VLOOKUP(AJP$33, ALTO!$G$3:$J$9, 4, FALSE)</f>
        <v>1.5999999999999999E-5</v>
      </c>
      <c r="AJQ64" s="6">
        <f>VLOOKUP(AJQ$33, ALTO!$G$3:$J$9, 4, FALSE)</f>
        <v>1.5999999999999999E-5</v>
      </c>
      <c r="AJR64" s="6">
        <f>VLOOKUP(AJR$33, ALTO!$G$3:$J$9, 4, FALSE)</f>
        <v>1.5999999999999999E-5</v>
      </c>
      <c r="AJS64" s="6">
        <f>VLOOKUP(AJS$33, ALTO!$G$3:$J$9, 4, FALSE)</f>
        <v>1.5999999999999999E-5</v>
      </c>
      <c r="AJT64" s="6">
        <f>VLOOKUP(AJT$33, ALTO!$G$3:$J$9, 4, FALSE)</f>
        <v>1.5999999999999999E-5</v>
      </c>
      <c r="AJU64" s="6">
        <f>VLOOKUP(AJU$33, ALTO!$G$3:$J$9, 4, FALSE)</f>
        <v>1.5999999999999999E-5</v>
      </c>
      <c r="AJV64" s="6">
        <f>VLOOKUP(AJV$33, ALTO!$G$3:$J$9, 4, FALSE)</f>
        <v>1.5999999999999999E-5</v>
      </c>
      <c r="AJW64" s="6">
        <f>VLOOKUP(AJW$33, ALTO!$G$3:$J$9, 4, FALSE)</f>
        <v>1.5999999999999999E-5</v>
      </c>
      <c r="AJX64" s="6">
        <f>VLOOKUP(AJX$33, ALTO!$G$3:$J$9, 4, FALSE)</f>
        <v>1.5999999999999999E-5</v>
      </c>
      <c r="AJY64" s="6">
        <f>VLOOKUP(AJY$33, ALTO!$G$3:$J$9, 4, FALSE)</f>
        <v>1.5999999999999999E-5</v>
      </c>
      <c r="AJZ64" s="6">
        <f>VLOOKUP(AJZ$33, ALTO!$G$3:$J$9, 4, FALSE)</f>
        <v>1.5999999999999999E-5</v>
      </c>
      <c r="AKA64" s="6">
        <f>VLOOKUP(AKA$33, ALTO!$G$3:$J$9, 4, FALSE)</f>
        <v>1.5999999999999999E-5</v>
      </c>
      <c r="AKB64" s="6">
        <f>VLOOKUP(AKB$33, ALTO!$G$3:$J$9, 4, FALSE)</f>
        <v>1.5999999999999999E-5</v>
      </c>
      <c r="AKC64" s="6">
        <f>VLOOKUP(AKC$33, ALTO!$G$3:$J$9, 4, FALSE)</f>
        <v>9.6000000000000002E-2</v>
      </c>
      <c r="AKD64" s="6">
        <f>VLOOKUP(AKD$33, ALTO!$G$3:$J$9, 4, FALSE)</f>
        <v>9.6000000000000002E-2</v>
      </c>
      <c r="AKE64" s="6">
        <f>VLOOKUP(AKE$33, ALTO!$G$3:$J$9, 4, FALSE)</f>
        <v>9.6000000000000002E-2</v>
      </c>
      <c r="AKF64" s="6">
        <f>VLOOKUP(AKF$33, ALTO!$G$3:$J$9, 4, FALSE)</f>
        <v>9.6000000000000002E-2</v>
      </c>
      <c r="AKG64" s="6">
        <f>VLOOKUP(AKG$33, ALTO!$G$3:$J$9, 4, FALSE)</f>
        <v>9.6000000000000002E-2</v>
      </c>
      <c r="AKH64" s="6">
        <f>VLOOKUP(AKH$33, ALTO!$G$3:$J$9, 4, FALSE)</f>
        <v>9.6000000000000002E-2</v>
      </c>
      <c r="AKI64" s="6">
        <f>VLOOKUP(AKI$33, ALTO!$G$3:$J$9, 4, FALSE)</f>
        <v>9.6000000000000002E-2</v>
      </c>
      <c r="AKJ64" s="6">
        <f>VLOOKUP(AKJ$33, ALTO!$G$3:$J$9, 4, FALSE)</f>
        <v>9.6000000000000002E-2</v>
      </c>
      <c r="AKK64" s="6">
        <f>VLOOKUP(AKK$33, ALTO!$G$3:$J$9, 4, FALSE)</f>
        <v>9.6000000000000002E-2</v>
      </c>
      <c r="AKL64" s="6">
        <f>VLOOKUP(AKL$33, ALTO!$G$3:$J$9, 4, FALSE)</f>
        <v>9.6000000000000002E-2</v>
      </c>
      <c r="AKM64" s="6">
        <f>VLOOKUP(AKM$33, ALTO!$G$3:$J$9, 4, FALSE)</f>
        <v>9.6000000000000002E-2</v>
      </c>
      <c r="AKN64" s="6">
        <f>VLOOKUP(AKN$33, ALTO!$G$3:$J$9, 4, FALSE)</f>
        <v>9.6000000000000002E-2</v>
      </c>
      <c r="AKO64" s="6">
        <f>VLOOKUP(AKO$33, ALTO!$G$3:$J$9, 4, FALSE)</f>
        <v>9.6000000000000002E-2</v>
      </c>
      <c r="AKP64" s="6">
        <f>VLOOKUP(AKP$33, ALTO!$G$3:$J$9, 4, FALSE)</f>
        <v>9.6000000000000002E-2</v>
      </c>
      <c r="AKQ64" s="6">
        <f>VLOOKUP(AKQ$33, ALTO!$G$3:$J$9, 4, FALSE)</f>
        <v>9.6000000000000002E-2</v>
      </c>
      <c r="AKR64" s="6">
        <f>VLOOKUP(AKR$33, ALTO!$G$3:$J$9, 4, FALSE)</f>
        <v>1.5999999999999999E-5</v>
      </c>
      <c r="AKS64" s="6">
        <f>VLOOKUP(AKS$33, ALTO!$G$3:$J$9, 4, FALSE)</f>
        <v>1.5999999999999999E-5</v>
      </c>
      <c r="AKT64" s="6">
        <f>VLOOKUP(AKT$33, ALTO!$G$3:$J$9, 4, FALSE)</f>
        <v>1.5999999999999999E-5</v>
      </c>
      <c r="AKU64" s="6">
        <f>VLOOKUP(AKU$33, ALTO!$G$3:$J$9, 4, FALSE)</f>
        <v>1.5999999999999999E-5</v>
      </c>
      <c r="AKV64" s="6">
        <f>VLOOKUP(AKV$33, ALTO!$G$3:$J$9, 4, FALSE)</f>
        <v>0</v>
      </c>
      <c r="AKW64" s="6">
        <f>VLOOKUP(AKW$33, ALTO!$G$3:$J$9, 4, FALSE)</f>
        <v>0</v>
      </c>
      <c r="AKX64" s="6">
        <f>VLOOKUP(AKX$33, ALTO!$G$3:$J$9, 4, FALSE)</f>
        <v>0</v>
      </c>
      <c r="AKY64" s="6">
        <f>VLOOKUP(AKY$33, ALTO!$G$3:$J$9, 4, FALSE)</f>
        <v>0</v>
      </c>
      <c r="AKZ64" s="6">
        <f>VLOOKUP(AKZ$33, ALTO!$G$3:$J$9, 4, FALSE)</f>
        <v>0</v>
      </c>
      <c r="ALA64" s="6">
        <f>VLOOKUP(ALA$33, ALTO!$G$3:$J$9, 4, FALSE)</f>
        <v>0</v>
      </c>
      <c r="ALB64" s="6">
        <f>VLOOKUP(ALB$33, ALTO!$G$3:$J$9, 4, FALSE)</f>
        <v>0</v>
      </c>
      <c r="ALC64" s="6">
        <f>VLOOKUP(ALC$33, ALTO!$G$3:$J$9, 4, FALSE)</f>
        <v>0</v>
      </c>
      <c r="ALD64" s="6">
        <f>VLOOKUP(ALD$33, ALTO!$G$3:$J$9, 4, FALSE)</f>
        <v>0</v>
      </c>
      <c r="ALE64" s="6">
        <f>VLOOKUP(ALE$33, ALTO!$G$3:$J$9, 4, FALSE)</f>
        <v>0</v>
      </c>
      <c r="ALF64" s="6">
        <f>VLOOKUP(ALF$33, ALTO!$G$3:$J$9, 4, FALSE)</f>
        <v>0</v>
      </c>
      <c r="ALG64" s="6">
        <f>VLOOKUP(ALG$33, ALTO!$G$3:$J$9, 4, FALSE)</f>
        <v>0</v>
      </c>
      <c r="ALH64" s="6">
        <f>VLOOKUP(ALH$33, ALTO!$G$3:$J$9, 4, FALSE)</f>
        <v>0</v>
      </c>
      <c r="ALI64" s="6">
        <f>VLOOKUP(ALI$33, ALTO!$G$3:$J$9, 4, FALSE)</f>
        <v>0</v>
      </c>
      <c r="ALJ64" s="6">
        <f>VLOOKUP(ALJ$33, ALTO!$G$3:$J$9, 4, FALSE)</f>
        <v>0</v>
      </c>
      <c r="ALK64" s="6">
        <f>VLOOKUP(ALK$33, ALTO!$G$3:$J$9, 4, FALSE)</f>
        <v>0</v>
      </c>
      <c r="ALL64" s="6">
        <f>VLOOKUP(ALL$33, ALTO!$G$3:$J$9, 4, FALSE)</f>
        <v>0</v>
      </c>
      <c r="ALM64" s="6">
        <f>VLOOKUP(ALM$33, ALTO!$G$3:$J$9, 4, FALSE)</f>
        <v>0</v>
      </c>
      <c r="ALN64" s="6">
        <f>VLOOKUP(ALN$33, ALTO!$G$3:$J$9, 4, FALSE)</f>
        <v>0</v>
      </c>
      <c r="ALO64" s="6">
        <f>VLOOKUP(ALO$33, ALTO!$G$3:$J$9, 4, FALSE)</f>
        <v>0</v>
      </c>
      <c r="ALP64" s="6">
        <f>VLOOKUP(ALP$33, ALTO!$G$3:$J$9, 4, FALSE)</f>
        <v>0</v>
      </c>
      <c r="ALQ64" s="6">
        <f>VLOOKUP(ALQ$33, ALTO!$G$3:$J$9, 4, FALSE)</f>
        <v>0</v>
      </c>
      <c r="ALR64" s="6">
        <f>VLOOKUP(ALR$33, ALTO!$G$3:$J$9, 4, FALSE)</f>
        <v>0</v>
      </c>
      <c r="ALS64" s="6">
        <f>VLOOKUP(ALS$33, ALTO!$G$3:$J$9, 4, FALSE)</f>
        <v>0</v>
      </c>
      <c r="ALT64" s="6">
        <f>VLOOKUP(ALT$33, ALTO!$G$3:$J$9, 4, FALSE)</f>
        <v>0</v>
      </c>
      <c r="ALU64" s="6">
        <f>VLOOKUP(ALU$33, ALTO!$G$3:$J$9, 4, FALSE)</f>
        <v>0</v>
      </c>
      <c r="ALV64" s="6">
        <f>VLOOKUP(ALV$33, ALTO!$G$3:$J$9, 4, FALSE)</f>
        <v>0</v>
      </c>
      <c r="ALW64" s="6">
        <f>VLOOKUP(ALW$33, ALTO!$G$3:$J$9, 4, FALSE)</f>
        <v>0</v>
      </c>
    </row>
    <row r="65" spans="2:1011" outlineLevel="1" x14ac:dyDescent="0.25">
      <c r="C65" s="5" t="s">
        <v>17</v>
      </c>
      <c r="D65" s="6">
        <f>VLOOKUP(D$39, ELIOT!$G$3:$J$9, 4, FALSE)</f>
        <v>0</v>
      </c>
      <c r="E65" s="6">
        <f>VLOOKUP(E$39, ELIOT!$G$3:$J$9, 4, FALSE)</f>
        <v>0</v>
      </c>
      <c r="F65" s="6">
        <f>VLOOKUP(F$39, ELIOT!$G$3:$J$9, 4, FALSE)</f>
        <v>0</v>
      </c>
      <c r="G65" s="6">
        <f>VLOOKUP(G$39, ELIOT!$G$3:$J$9, 4, FALSE)</f>
        <v>0</v>
      </c>
      <c r="H65" s="6">
        <f>VLOOKUP(H$39, ELIOT!$G$3:$J$9, 4, FALSE)</f>
        <v>0</v>
      </c>
      <c r="I65" s="6">
        <f>VLOOKUP(I$39, ELIOT!$G$3:$J$9, 4, FALSE)</f>
        <v>0</v>
      </c>
      <c r="J65" s="6">
        <f>VLOOKUP(J$39, ELIOT!$G$3:$J$9, 4, FALSE)</f>
        <v>0</v>
      </c>
      <c r="K65" s="6">
        <f>VLOOKUP(K$39, ELIOT!$G$3:$J$9, 4, FALSE)</f>
        <v>0</v>
      </c>
      <c r="L65" s="6">
        <f>VLOOKUP(L$39, ELIOT!$G$3:$J$9, 4, FALSE)</f>
        <v>0</v>
      </c>
      <c r="M65" s="6">
        <f>VLOOKUP(M$39, ELIOT!$G$3:$J$9, 4, FALSE)</f>
        <v>0</v>
      </c>
      <c r="N65" s="6">
        <f>VLOOKUP(N$39, ELIOT!$G$3:$J$9, 4, FALSE)</f>
        <v>0</v>
      </c>
      <c r="O65" s="6">
        <f>VLOOKUP(O$39, ELIOT!$G$3:$J$9, 4, FALSE)</f>
        <v>0</v>
      </c>
      <c r="P65" s="6">
        <f>VLOOKUP(P$39, ELIOT!$G$3:$J$9, 4, FALSE)</f>
        <v>0</v>
      </c>
      <c r="Q65" s="6">
        <f>VLOOKUP(Q$39, ELIOT!$G$3:$J$9, 4, FALSE)</f>
        <v>0</v>
      </c>
      <c r="R65" s="6">
        <f>VLOOKUP(R$39, ELIOT!$G$3:$J$9, 4, FALSE)</f>
        <v>0</v>
      </c>
      <c r="S65" s="6">
        <f>VLOOKUP(S$39, ELIOT!$G$3:$J$9, 4, FALSE)</f>
        <v>0</v>
      </c>
      <c r="T65" s="6">
        <f>VLOOKUP(T$39, ELIOT!$G$3:$J$9, 4, FALSE)</f>
        <v>0</v>
      </c>
      <c r="U65" s="6">
        <f>VLOOKUP(U$39, ELIOT!$G$3:$J$9, 4, FALSE)</f>
        <v>0</v>
      </c>
      <c r="V65" s="6">
        <f>VLOOKUP(V$39, ELIOT!$G$3:$J$9, 4, FALSE)</f>
        <v>0</v>
      </c>
      <c r="W65" s="6">
        <f>VLOOKUP(W$39, ELIOT!$G$3:$J$9, 4, FALSE)</f>
        <v>0</v>
      </c>
      <c r="X65" s="6">
        <f>VLOOKUP(X$39, ELIOT!$G$3:$J$9, 4, FALSE)</f>
        <v>0</v>
      </c>
      <c r="Y65" s="6">
        <f>VLOOKUP(Y$39, ELIOT!$G$3:$J$9, 4, FALSE)</f>
        <v>0</v>
      </c>
      <c r="Z65" s="6">
        <f>VLOOKUP(Z$39, ELIOT!$G$3:$J$9, 4, FALSE)</f>
        <v>0</v>
      </c>
      <c r="AA65" s="6">
        <f>VLOOKUP(AA$39, ELIOT!$G$3:$J$9, 4, FALSE)</f>
        <v>0</v>
      </c>
      <c r="AB65" s="6">
        <f>VLOOKUP(AB$39, ELIOT!$G$3:$J$9, 4, FALSE)</f>
        <v>0</v>
      </c>
      <c r="AC65" s="6">
        <f>VLOOKUP(AC$39, ELIOT!$G$3:$J$9, 4, FALSE)</f>
        <v>0</v>
      </c>
      <c r="AD65" s="6">
        <f>VLOOKUP(AD$39, ELIOT!$G$3:$J$9, 4, FALSE)</f>
        <v>0</v>
      </c>
      <c r="AE65" s="6">
        <f>VLOOKUP(AE$39, ELIOT!$G$3:$J$9, 4, FALSE)</f>
        <v>0</v>
      </c>
      <c r="AF65" s="6">
        <f>VLOOKUP(AF$39, ELIOT!$G$3:$J$9, 4, FALSE)</f>
        <v>0</v>
      </c>
      <c r="AG65" s="6">
        <f>VLOOKUP(AG$39, ELIOT!$G$3:$J$9, 4, FALSE)</f>
        <v>0</v>
      </c>
      <c r="AH65" s="6">
        <f>VLOOKUP(AH$39, ELIOT!$G$3:$J$9, 4, FALSE)</f>
        <v>0</v>
      </c>
      <c r="AI65" s="6">
        <f>VLOOKUP(AI$39, ELIOT!$G$3:$J$9, 4, FALSE)</f>
        <v>0</v>
      </c>
      <c r="AJ65" s="6">
        <f>VLOOKUP(AJ$39, ELIOT!$G$3:$J$9, 4, FALSE)</f>
        <v>0</v>
      </c>
      <c r="AK65" s="6">
        <f>VLOOKUP(AK$39, ELIOT!$G$3:$J$9, 4, FALSE)</f>
        <v>0</v>
      </c>
      <c r="AL65" s="6">
        <f>VLOOKUP(AL$39, ELIOT!$G$3:$J$9, 4, FALSE)</f>
        <v>0</v>
      </c>
      <c r="AM65" s="6">
        <f>VLOOKUP(AM$39, ELIOT!$G$3:$J$9, 4, FALSE)</f>
        <v>0</v>
      </c>
      <c r="AN65" s="6">
        <f>VLOOKUP(AN$39, ELIOT!$G$3:$J$9, 4, FALSE)</f>
        <v>0</v>
      </c>
      <c r="AO65" s="6">
        <f>VLOOKUP(AO$39, ELIOT!$G$3:$J$9, 4, FALSE)</f>
        <v>0</v>
      </c>
      <c r="AP65" s="6">
        <f>VLOOKUP(AP$39, ELIOT!$G$3:$J$9, 4, FALSE)</f>
        <v>0</v>
      </c>
      <c r="AQ65" s="6">
        <f>VLOOKUP(AQ$39, ELIOT!$G$3:$J$9, 4, FALSE)</f>
        <v>0</v>
      </c>
      <c r="AR65" s="6">
        <f>VLOOKUP(AR$39, ELIOT!$G$3:$J$9, 4, FALSE)</f>
        <v>0</v>
      </c>
      <c r="AS65" s="6">
        <f>VLOOKUP(AS$39, ELIOT!$G$3:$J$9, 4, FALSE)</f>
        <v>0</v>
      </c>
      <c r="AT65" s="6">
        <f>VLOOKUP(AT$39, ELIOT!$G$3:$J$9, 4, FALSE)</f>
        <v>0</v>
      </c>
      <c r="AU65" s="6">
        <f>VLOOKUP(AU$39, ELIOT!$G$3:$J$9, 4, FALSE)</f>
        <v>0</v>
      </c>
      <c r="AV65" s="6">
        <f>VLOOKUP(AV$39, ELIOT!$G$3:$J$9, 4, FALSE)</f>
        <v>0</v>
      </c>
      <c r="AW65" s="6">
        <f>VLOOKUP(AW$39, ELIOT!$G$3:$J$9, 4, FALSE)</f>
        <v>0</v>
      </c>
      <c r="AX65" s="6">
        <f>VLOOKUP(AX$39, ELIOT!$G$3:$J$9, 4, FALSE)</f>
        <v>0</v>
      </c>
      <c r="AY65" s="6">
        <f>VLOOKUP(AY$39, ELIOT!$G$3:$J$9, 4, FALSE)</f>
        <v>0</v>
      </c>
      <c r="AZ65" s="6">
        <f>VLOOKUP(AZ$39, ELIOT!$G$3:$J$9, 4, FALSE)</f>
        <v>0</v>
      </c>
      <c r="BA65" s="6">
        <f>VLOOKUP(BA$39, ELIOT!$G$3:$J$9, 4, FALSE)</f>
        <v>0</v>
      </c>
      <c r="BB65" s="6">
        <f>VLOOKUP(BB$39, ELIOT!$G$3:$J$9, 4, FALSE)</f>
        <v>0</v>
      </c>
      <c r="BC65" s="6">
        <f>VLOOKUP(BC$39, ELIOT!$G$3:$J$9, 4, FALSE)</f>
        <v>0</v>
      </c>
      <c r="BD65" s="6">
        <f>VLOOKUP(BD$39, ELIOT!$G$3:$J$9, 4, FALSE)</f>
        <v>0</v>
      </c>
      <c r="BE65" s="6">
        <f>VLOOKUP(BE$39, ELIOT!$G$3:$J$9, 4, FALSE)</f>
        <v>0</v>
      </c>
      <c r="BF65" s="6">
        <f>VLOOKUP(BF$39, ELIOT!$G$3:$J$9, 4, FALSE)</f>
        <v>0</v>
      </c>
      <c r="BG65" s="6">
        <f>VLOOKUP(BG$39, ELIOT!$G$3:$J$9, 4, FALSE)</f>
        <v>0</v>
      </c>
      <c r="BH65" s="6">
        <f>VLOOKUP(BH$39, ELIOT!$G$3:$J$9, 4, FALSE)</f>
        <v>0</v>
      </c>
      <c r="BI65" s="6">
        <f>VLOOKUP(BI$39, ELIOT!$G$3:$J$9, 4, FALSE)</f>
        <v>0</v>
      </c>
      <c r="BJ65" s="6">
        <f>VLOOKUP(BJ$39, ELIOT!$G$3:$J$9, 4, FALSE)</f>
        <v>0</v>
      </c>
      <c r="BK65" s="6">
        <f>VLOOKUP(BK$39, ELIOT!$G$3:$J$9, 4, FALSE)</f>
        <v>0</v>
      </c>
      <c r="BL65" s="6">
        <f>VLOOKUP(BL$39, ELIOT!$G$3:$J$9, 4, FALSE)</f>
        <v>0</v>
      </c>
      <c r="BM65" s="6">
        <f>VLOOKUP(BM$39, ELIOT!$G$3:$J$9, 4, FALSE)</f>
        <v>0</v>
      </c>
      <c r="BN65" s="6">
        <f>VLOOKUP(BN$39, ELIOT!$G$3:$J$9, 4, FALSE)</f>
        <v>0</v>
      </c>
      <c r="BO65" s="6">
        <f>VLOOKUP(BO$39, ELIOT!$G$3:$J$9, 4, FALSE)</f>
        <v>0</v>
      </c>
      <c r="BP65" s="6">
        <f>VLOOKUP(BP$39, ELIOT!$G$3:$J$9, 4, FALSE)</f>
        <v>0</v>
      </c>
      <c r="BQ65" s="6">
        <f>VLOOKUP(BQ$39, ELIOT!$G$3:$J$9, 4, FALSE)</f>
        <v>0</v>
      </c>
      <c r="BR65" s="6">
        <f>VLOOKUP(BR$39, ELIOT!$G$3:$J$9, 4, FALSE)</f>
        <v>0</v>
      </c>
      <c r="BS65" s="6">
        <f>VLOOKUP(BS$39, ELIOT!$G$3:$J$9, 4, FALSE)</f>
        <v>0</v>
      </c>
      <c r="BT65" s="6">
        <f>VLOOKUP(BT$39, ELIOT!$G$3:$J$9, 4, FALSE)</f>
        <v>0</v>
      </c>
      <c r="BU65" s="6">
        <f>VLOOKUP(BU$39, ELIOT!$G$3:$J$9, 4, FALSE)</f>
        <v>0</v>
      </c>
      <c r="BV65" s="6">
        <f>VLOOKUP(BV$39, ELIOT!$G$3:$J$9, 4, FALSE)</f>
        <v>0</v>
      </c>
      <c r="BW65" s="6">
        <f>VLOOKUP(BW$39, ELIOT!$G$3:$J$9, 4, FALSE)</f>
        <v>0</v>
      </c>
      <c r="BX65" s="6">
        <f>VLOOKUP(BX$39, ELIOT!$G$3:$J$9, 4, FALSE)</f>
        <v>0</v>
      </c>
      <c r="BY65" s="6">
        <f>VLOOKUP(BY$39, ELIOT!$G$3:$J$9, 4, FALSE)</f>
        <v>0</v>
      </c>
      <c r="BZ65" s="6">
        <f>VLOOKUP(BZ$39, ELIOT!$G$3:$J$9, 4, FALSE)</f>
        <v>0</v>
      </c>
      <c r="CA65" s="6">
        <f>VLOOKUP(CA$39, ELIOT!$G$3:$J$9, 4, FALSE)</f>
        <v>0</v>
      </c>
      <c r="CB65" s="6">
        <f>VLOOKUP(CB$39, ELIOT!$G$3:$J$9, 4, FALSE)</f>
        <v>0</v>
      </c>
      <c r="CC65" s="6">
        <f>VLOOKUP(CC$39, ELIOT!$G$3:$J$9, 4, FALSE)</f>
        <v>0</v>
      </c>
      <c r="CD65" s="6">
        <f>VLOOKUP(CD$39, ELIOT!$G$3:$J$9, 4, FALSE)</f>
        <v>0</v>
      </c>
      <c r="CE65" s="6">
        <f>VLOOKUP(CE$39, ELIOT!$G$3:$J$9, 4, FALSE)</f>
        <v>0</v>
      </c>
      <c r="CF65" s="6">
        <f>VLOOKUP(CF$39, ELIOT!$G$3:$J$9, 4, FALSE)</f>
        <v>0</v>
      </c>
      <c r="CG65" s="6">
        <f>VLOOKUP(CG$39, ELIOT!$G$3:$J$9, 4, FALSE)</f>
        <v>0</v>
      </c>
      <c r="CH65" s="6">
        <f>VLOOKUP(CH$39, ELIOT!$G$3:$J$9, 4, FALSE)</f>
        <v>0</v>
      </c>
      <c r="CI65" s="6">
        <f>VLOOKUP(CI$39, ELIOT!$G$3:$J$9, 4, FALSE)</f>
        <v>0</v>
      </c>
      <c r="CJ65" s="6">
        <f>VLOOKUP(CJ$39, ELIOT!$G$3:$J$9, 4, FALSE)</f>
        <v>0</v>
      </c>
      <c r="CK65" s="6">
        <f>VLOOKUP(CK$39, ELIOT!$G$3:$J$9, 4, FALSE)</f>
        <v>0</v>
      </c>
      <c r="CL65" s="6">
        <f>VLOOKUP(CL$39, ELIOT!$G$3:$J$9, 4, FALSE)</f>
        <v>0</v>
      </c>
      <c r="CM65" s="6">
        <f>VLOOKUP(CM$39, ELIOT!$G$3:$J$9, 4, FALSE)</f>
        <v>0</v>
      </c>
      <c r="CN65" s="6">
        <f>VLOOKUP(CN$39, ELIOT!$G$3:$J$9, 4, FALSE)</f>
        <v>0</v>
      </c>
      <c r="CO65" s="6">
        <f>VLOOKUP(CO$39, ELIOT!$G$3:$J$9, 4, FALSE)</f>
        <v>0</v>
      </c>
      <c r="CP65" s="6">
        <f>VLOOKUP(CP$39, ELIOT!$G$3:$J$9, 4, FALSE)</f>
        <v>0</v>
      </c>
      <c r="CQ65" s="6">
        <f>VLOOKUP(CQ$39, ELIOT!$G$3:$J$9, 4, FALSE)</f>
        <v>0</v>
      </c>
      <c r="CR65" s="6">
        <f>VLOOKUP(CR$39, ELIOT!$G$3:$J$9, 4, FALSE)</f>
        <v>0</v>
      </c>
      <c r="CS65" s="6">
        <f>VLOOKUP(CS$39, ELIOT!$G$3:$J$9, 4, FALSE)</f>
        <v>0</v>
      </c>
      <c r="CT65" s="6">
        <f>VLOOKUP(CT$39, ELIOT!$G$3:$J$9, 4, FALSE)</f>
        <v>0</v>
      </c>
      <c r="CU65" s="6">
        <f>VLOOKUP(CU$39, ELIOT!$G$3:$J$9, 4, FALSE)</f>
        <v>0</v>
      </c>
      <c r="CV65" s="6">
        <f>VLOOKUP(CV$39, ELIOT!$G$3:$J$9, 4, FALSE)</f>
        <v>0</v>
      </c>
      <c r="CW65" s="6">
        <f>VLOOKUP(CW$39, ELIOT!$G$3:$J$9, 4, FALSE)</f>
        <v>0</v>
      </c>
      <c r="CX65" s="6">
        <f>VLOOKUP(CX$39, ELIOT!$G$3:$J$9, 4, FALSE)</f>
        <v>0</v>
      </c>
      <c r="CY65" s="6">
        <f>VLOOKUP(CY$39, ELIOT!$G$3:$J$9, 4, FALSE)</f>
        <v>0</v>
      </c>
      <c r="CZ65" s="6">
        <f>VLOOKUP(CZ$39, ELIOT!$G$3:$J$9, 4, FALSE)</f>
        <v>0</v>
      </c>
      <c r="DA65" s="6">
        <f>VLOOKUP(DA$39, ELIOT!$G$3:$J$9, 4, FALSE)</f>
        <v>0</v>
      </c>
      <c r="DB65" s="6">
        <f>VLOOKUP(DB$39, ELIOT!$G$3:$J$9, 4, FALSE)</f>
        <v>0</v>
      </c>
      <c r="DC65" s="6">
        <f>VLOOKUP(DC$39, ELIOT!$G$3:$J$9, 4, FALSE)</f>
        <v>0</v>
      </c>
      <c r="DD65" s="6">
        <f>VLOOKUP(DD$39, ELIOT!$G$3:$J$9, 4, FALSE)</f>
        <v>0</v>
      </c>
      <c r="DE65" s="6">
        <f>VLOOKUP(DE$39, ELIOT!$G$3:$J$9, 4, FALSE)</f>
        <v>0</v>
      </c>
      <c r="DF65" s="6">
        <f>VLOOKUP(DF$39, ELIOT!$G$3:$J$9, 4, FALSE)</f>
        <v>0</v>
      </c>
      <c r="DG65" s="6">
        <f>VLOOKUP(DG$39, ELIOT!$G$3:$J$9, 4, FALSE)</f>
        <v>0</v>
      </c>
      <c r="DH65" s="6">
        <f>VLOOKUP(DH$39, ELIOT!$G$3:$J$9, 4, FALSE)</f>
        <v>0</v>
      </c>
      <c r="DI65" s="6">
        <f>VLOOKUP(DI$39, ELIOT!$G$3:$J$9, 4, FALSE)</f>
        <v>0</v>
      </c>
      <c r="DJ65" s="6">
        <f>VLOOKUP(DJ$39, ELIOT!$G$3:$J$9, 4, FALSE)</f>
        <v>0</v>
      </c>
      <c r="DK65" s="6">
        <f>VLOOKUP(DK$39, ELIOT!$G$3:$J$9, 4, FALSE)</f>
        <v>0</v>
      </c>
      <c r="DL65" s="6">
        <f>VLOOKUP(DL$39, ELIOT!$G$3:$J$9, 4, FALSE)</f>
        <v>0</v>
      </c>
      <c r="DM65" s="6">
        <f>VLOOKUP(DM$39, ELIOT!$G$3:$J$9, 4, FALSE)</f>
        <v>0</v>
      </c>
      <c r="DN65" s="6">
        <f>VLOOKUP(DN$39, ELIOT!$G$3:$J$9, 4, FALSE)</f>
        <v>0</v>
      </c>
      <c r="DO65" s="6">
        <f>VLOOKUP(DO$39, ELIOT!$G$3:$J$9, 4, FALSE)</f>
        <v>0</v>
      </c>
      <c r="DP65" s="6">
        <f>VLOOKUP(DP$39, ELIOT!$G$3:$J$9, 4, FALSE)</f>
        <v>0</v>
      </c>
      <c r="DQ65" s="6">
        <f>VLOOKUP(DQ$39, ELIOT!$G$3:$J$9, 4, FALSE)</f>
        <v>0</v>
      </c>
      <c r="DR65" s="6">
        <f>VLOOKUP(DR$39, ELIOT!$G$3:$J$9, 4, FALSE)</f>
        <v>0</v>
      </c>
      <c r="DS65" s="6">
        <f>VLOOKUP(DS$39, ELIOT!$G$3:$J$9, 4, FALSE)</f>
        <v>0</v>
      </c>
      <c r="DT65" s="6">
        <f>VLOOKUP(DT$39, ELIOT!$G$3:$J$9, 4, FALSE)</f>
        <v>0</v>
      </c>
      <c r="DU65" s="6">
        <f>VLOOKUP(DU$39, ELIOT!$G$3:$J$9, 4, FALSE)</f>
        <v>0</v>
      </c>
      <c r="DV65" s="6">
        <f>VLOOKUP(DV$39, ELIOT!$G$3:$J$9, 4, FALSE)</f>
        <v>0</v>
      </c>
      <c r="DW65" s="6">
        <f>VLOOKUP(DW$39, ELIOT!$G$3:$J$9, 4, FALSE)</f>
        <v>0</v>
      </c>
      <c r="DX65" s="6">
        <f>VLOOKUP(DX$39, ELIOT!$G$3:$J$9, 4, FALSE)</f>
        <v>0</v>
      </c>
      <c r="DY65" s="6">
        <f>VLOOKUP(DY$39, ELIOT!$G$3:$J$9, 4, FALSE)</f>
        <v>0</v>
      </c>
      <c r="DZ65" s="6">
        <f>VLOOKUP(DZ$39, ELIOT!$G$3:$J$9, 4, FALSE)</f>
        <v>0</v>
      </c>
      <c r="EA65" s="6">
        <f>VLOOKUP(EA$39, ELIOT!$G$3:$J$9, 4, FALSE)</f>
        <v>0</v>
      </c>
      <c r="EB65" s="6">
        <f>VLOOKUP(EB$39, ELIOT!$G$3:$J$9, 4, FALSE)</f>
        <v>0</v>
      </c>
      <c r="EC65" s="6">
        <f>VLOOKUP(EC$39, ELIOT!$G$3:$J$9, 4, FALSE)</f>
        <v>0</v>
      </c>
      <c r="ED65" s="6">
        <f>VLOOKUP(ED$39, ELIOT!$G$3:$J$9, 4, FALSE)</f>
        <v>0</v>
      </c>
      <c r="EE65" s="6">
        <f>VLOOKUP(EE$39, ELIOT!$G$3:$J$9, 4, FALSE)</f>
        <v>0</v>
      </c>
      <c r="EF65" s="6">
        <f>VLOOKUP(EF$39, ELIOT!$G$3:$J$9, 4, FALSE)</f>
        <v>0</v>
      </c>
      <c r="EG65" s="6">
        <f>VLOOKUP(EG$39, ELIOT!$G$3:$J$9, 4, FALSE)</f>
        <v>0</v>
      </c>
      <c r="EH65" s="6">
        <f>VLOOKUP(EH$39, ELIOT!$G$3:$J$9, 4, FALSE)</f>
        <v>0</v>
      </c>
      <c r="EI65" s="6">
        <f>VLOOKUP(EI$39, ELIOT!$G$3:$J$9, 4, FALSE)</f>
        <v>0</v>
      </c>
      <c r="EJ65" s="6">
        <f>VLOOKUP(EJ$39, ELIOT!$G$3:$J$9, 4, FALSE)</f>
        <v>0</v>
      </c>
      <c r="EK65" s="6">
        <f>VLOOKUP(EK$39, ELIOT!$G$3:$J$9, 4, FALSE)</f>
        <v>0</v>
      </c>
      <c r="EL65" s="6">
        <f>VLOOKUP(EL$39, ELIOT!$G$3:$J$9, 4, FALSE)</f>
        <v>0</v>
      </c>
      <c r="EM65" s="6">
        <f>VLOOKUP(EM$39, ELIOT!$G$3:$J$9, 4, FALSE)</f>
        <v>0</v>
      </c>
      <c r="EN65" s="6">
        <f>VLOOKUP(EN$39, ELIOT!$G$3:$J$9, 4, FALSE)</f>
        <v>0</v>
      </c>
      <c r="EO65" s="6">
        <f>VLOOKUP(EO$39, ELIOT!$G$3:$J$9, 4, FALSE)</f>
        <v>0</v>
      </c>
      <c r="EP65" s="6">
        <f>VLOOKUP(EP$39, ELIOT!$G$3:$J$9, 4, FALSE)</f>
        <v>0</v>
      </c>
      <c r="EQ65" s="6">
        <f>VLOOKUP(EQ$39, ELIOT!$G$3:$J$9, 4, FALSE)</f>
        <v>0</v>
      </c>
      <c r="ER65" s="6">
        <f>VLOOKUP(ER$39, ELIOT!$G$3:$J$9, 4, FALSE)</f>
        <v>0</v>
      </c>
      <c r="ES65" s="6">
        <f>VLOOKUP(ES$39, ELIOT!$G$3:$J$9, 4, FALSE)</f>
        <v>0</v>
      </c>
      <c r="ET65" s="6">
        <f>VLOOKUP(ET$39, ELIOT!$G$3:$J$9, 4, FALSE)</f>
        <v>0</v>
      </c>
      <c r="EU65" s="6">
        <f>VLOOKUP(EU$39, ELIOT!$G$3:$J$9, 4, FALSE)</f>
        <v>0</v>
      </c>
      <c r="EV65" s="6">
        <f>VLOOKUP(EV$39, ELIOT!$G$3:$J$9, 4, FALSE)</f>
        <v>0</v>
      </c>
      <c r="EW65" s="6">
        <f>VLOOKUP(EW$39, ELIOT!$G$3:$J$9, 4, FALSE)</f>
        <v>0</v>
      </c>
      <c r="EX65" s="6">
        <f>VLOOKUP(EX$39, ELIOT!$G$3:$J$9, 4, FALSE)</f>
        <v>0</v>
      </c>
      <c r="EY65" s="6">
        <f>VLOOKUP(EY$39, ELIOT!$G$3:$J$9, 4, FALSE)</f>
        <v>0</v>
      </c>
      <c r="EZ65" s="6">
        <f>VLOOKUP(EZ$39, ELIOT!$G$3:$J$9, 4, FALSE)</f>
        <v>0</v>
      </c>
      <c r="FA65" s="6">
        <f>VLOOKUP(FA$39, ELIOT!$G$3:$J$9, 4, FALSE)</f>
        <v>0</v>
      </c>
      <c r="FB65" s="6">
        <f>VLOOKUP(FB$39, ELIOT!$G$3:$J$9, 4, FALSE)</f>
        <v>0</v>
      </c>
      <c r="FC65" s="6">
        <f>VLOOKUP(FC$39, ELIOT!$G$3:$J$9, 4, FALSE)</f>
        <v>0</v>
      </c>
      <c r="FD65" s="6">
        <f>VLOOKUP(FD$39, ELIOT!$G$3:$J$9, 4, FALSE)</f>
        <v>0</v>
      </c>
      <c r="FE65" s="6">
        <f>VLOOKUP(FE$39, ELIOT!$G$3:$J$9, 4, FALSE)</f>
        <v>0</v>
      </c>
      <c r="FF65" s="6">
        <f>VLOOKUP(FF$39, ELIOT!$G$3:$J$9, 4, FALSE)</f>
        <v>0</v>
      </c>
      <c r="FG65" s="6">
        <f>VLOOKUP(FG$39, ELIOT!$G$3:$J$9, 4, FALSE)</f>
        <v>0</v>
      </c>
      <c r="FH65" s="6">
        <f>VLOOKUP(FH$39, ELIOT!$G$3:$J$9, 4, FALSE)</f>
        <v>0</v>
      </c>
      <c r="FI65" s="6">
        <f>VLOOKUP(FI$39, ELIOT!$G$3:$J$9, 4, FALSE)</f>
        <v>0</v>
      </c>
      <c r="FJ65" s="6">
        <f>VLOOKUP(FJ$39, ELIOT!$G$3:$J$9, 4, FALSE)</f>
        <v>0</v>
      </c>
      <c r="FK65" s="6">
        <f>VLOOKUP(FK$39, ELIOT!$G$3:$J$9, 4, FALSE)</f>
        <v>0</v>
      </c>
      <c r="FL65" s="6">
        <f>VLOOKUP(FL$39, ELIOT!$G$3:$J$9, 4, FALSE)</f>
        <v>0</v>
      </c>
      <c r="FM65" s="6">
        <f>VLOOKUP(FM$39, ELIOT!$G$3:$J$9, 4, FALSE)</f>
        <v>0</v>
      </c>
      <c r="FN65" s="6">
        <f>VLOOKUP(FN$39, ELIOT!$G$3:$J$9, 4, FALSE)</f>
        <v>0</v>
      </c>
      <c r="FO65" s="6">
        <f>VLOOKUP(FO$39, ELIOT!$G$3:$J$9, 4, FALSE)</f>
        <v>0</v>
      </c>
      <c r="FP65" s="6">
        <f>VLOOKUP(FP$39, ELIOT!$G$3:$J$9, 4, FALSE)</f>
        <v>0</v>
      </c>
      <c r="FQ65" s="6">
        <f>VLOOKUP(FQ$39, ELIOT!$G$3:$J$9, 4, FALSE)</f>
        <v>0</v>
      </c>
      <c r="FR65" s="6">
        <f>VLOOKUP(FR$39, ELIOT!$G$3:$J$9, 4, FALSE)</f>
        <v>0</v>
      </c>
      <c r="FS65" s="6">
        <f>VLOOKUP(FS$39, ELIOT!$G$3:$J$9, 4, FALSE)</f>
        <v>0</v>
      </c>
      <c r="FT65" s="6">
        <f>VLOOKUP(FT$39, ELIOT!$G$3:$J$9, 4, FALSE)</f>
        <v>0</v>
      </c>
      <c r="FU65" s="6">
        <f>VLOOKUP(FU$39, ELIOT!$G$3:$J$9, 4, FALSE)</f>
        <v>0</v>
      </c>
      <c r="FV65" s="6">
        <f>VLOOKUP(FV$39, ELIOT!$G$3:$J$9, 4, FALSE)</f>
        <v>0</v>
      </c>
      <c r="FW65" s="6">
        <f>VLOOKUP(FW$39, ELIOT!$G$3:$J$9, 4, FALSE)</f>
        <v>0</v>
      </c>
      <c r="FX65" s="6">
        <f>VLOOKUP(FX$39, ELIOT!$G$3:$J$9, 4, FALSE)</f>
        <v>0</v>
      </c>
      <c r="FY65" s="6">
        <f>VLOOKUP(FY$39, ELIOT!$G$3:$J$9, 4, FALSE)</f>
        <v>0</v>
      </c>
      <c r="FZ65" s="6">
        <f>VLOOKUP(FZ$39, ELIOT!$G$3:$J$9, 4, FALSE)</f>
        <v>0</v>
      </c>
      <c r="GA65" s="6">
        <f>VLOOKUP(GA$39, ELIOT!$G$3:$J$9, 4, FALSE)</f>
        <v>0</v>
      </c>
      <c r="GB65" s="6">
        <f>VLOOKUP(GB$39, ELIOT!$G$3:$J$9, 4, FALSE)</f>
        <v>0</v>
      </c>
      <c r="GC65" s="6">
        <f>VLOOKUP(GC$39, ELIOT!$G$3:$J$9, 4, FALSE)</f>
        <v>0</v>
      </c>
      <c r="GD65" s="6">
        <f>VLOOKUP(GD$39, ELIOT!$G$3:$J$9, 4, FALSE)</f>
        <v>0</v>
      </c>
      <c r="GE65" s="6">
        <f>VLOOKUP(GE$39, ELIOT!$G$3:$J$9, 4, FALSE)</f>
        <v>0</v>
      </c>
      <c r="GF65" s="6">
        <f>VLOOKUP(GF$39, ELIOT!$G$3:$J$9, 4, FALSE)</f>
        <v>0</v>
      </c>
      <c r="GG65" s="6">
        <f>VLOOKUP(GG$39, ELIOT!$G$3:$J$9, 4, FALSE)</f>
        <v>0</v>
      </c>
      <c r="GH65" s="6">
        <f>VLOOKUP(GH$39, ELIOT!$G$3:$J$9, 4, FALSE)</f>
        <v>0</v>
      </c>
      <c r="GI65" s="6">
        <f>VLOOKUP(GI$39, ELIOT!$G$3:$J$9, 4, FALSE)</f>
        <v>0</v>
      </c>
      <c r="GJ65" s="6">
        <f>VLOOKUP(GJ$39, ELIOT!$G$3:$J$9, 4, FALSE)</f>
        <v>0</v>
      </c>
      <c r="GK65" s="6">
        <f>VLOOKUP(GK$39, ELIOT!$G$3:$J$9, 4, FALSE)</f>
        <v>0</v>
      </c>
      <c r="GL65" s="6">
        <f>VLOOKUP(GL$39, ELIOT!$G$3:$J$9, 4, FALSE)</f>
        <v>0</v>
      </c>
      <c r="GM65" s="6">
        <f>VLOOKUP(GM$39, ELIOT!$G$3:$J$9, 4, FALSE)</f>
        <v>0</v>
      </c>
      <c r="GN65" s="6">
        <f>VLOOKUP(GN$39, ELIOT!$G$3:$J$9, 4, FALSE)</f>
        <v>0</v>
      </c>
      <c r="GO65" s="6">
        <f>VLOOKUP(GO$39, ELIOT!$G$3:$J$9, 4, FALSE)</f>
        <v>0</v>
      </c>
      <c r="GP65" s="6">
        <f>VLOOKUP(GP$39, ELIOT!$G$3:$J$9, 4, FALSE)</f>
        <v>0</v>
      </c>
      <c r="GQ65" s="6">
        <f>VLOOKUP(GQ$39, ELIOT!$G$3:$J$9, 4, FALSE)</f>
        <v>0</v>
      </c>
      <c r="GR65" s="6">
        <f>VLOOKUP(GR$39, ELIOT!$G$3:$J$9, 4, FALSE)</f>
        <v>0</v>
      </c>
      <c r="GS65" s="6">
        <f>VLOOKUP(GS$39, ELIOT!$G$3:$J$9, 4, FALSE)</f>
        <v>0</v>
      </c>
      <c r="GT65" s="6">
        <f>VLOOKUP(GT$39, ELIOT!$G$3:$J$9, 4, FALSE)</f>
        <v>0</v>
      </c>
      <c r="GU65" s="6">
        <f>VLOOKUP(GU$39, ELIOT!$G$3:$J$9, 4, FALSE)</f>
        <v>0</v>
      </c>
      <c r="GV65" s="6">
        <f>VLOOKUP(GV$39, ELIOT!$G$3:$J$9, 4, FALSE)</f>
        <v>0</v>
      </c>
      <c r="GW65" s="6">
        <f>VLOOKUP(GW$39, ELIOT!$G$3:$J$9, 4, FALSE)</f>
        <v>0</v>
      </c>
      <c r="GX65" s="6">
        <f>VLOOKUP(GX$39, ELIOT!$G$3:$J$9, 4, FALSE)</f>
        <v>0</v>
      </c>
      <c r="GY65" s="6">
        <f>VLOOKUP(GY$39, ELIOT!$G$3:$J$9, 4, FALSE)</f>
        <v>0</v>
      </c>
      <c r="GZ65" s="6">
        <f>VLOOKUP(GZ$39, ELIOT!$G$3:$J$9, 4, FALSE)</f>
        <v>0</v>
      </c>
      <c r="HA65" s="6">
        <f>VLOOKUP(HA$39, ELIOT!$G$3:$J$9, 4, FALSE)</f>
        <v>0</v>
      </c>
      <c r="HB65" s="6">
        <f>VLOOKUP(HB$39, ELIOT!$G$3:$J$9, 4, FALSE)</f>
        <v>0</v>
      </c>
      <c r="HC65" s="6">
        <f>VLOOKUP(HC$39, ELIOT!$G$3:$J$9, 4, FALSE)</f>
        <v>0</v>
      </c>
      <c r="HD65" s="6">
        <f>VLOOKUP(HD$39, ELIOT!$G$3:$J$9, 4, FALSE)</f>
        <v>0</v>
      </c>
      <c r="HE65" s="6">
        <f>VLOOKUP(HE$39, ELIOT!$G$3:$J$9, 4, FALSE)</f>
        <v>0</v>
      </c>
      <c r="HF65" s="6">
        <f>VLOOKUP(HF$39, ELIOT!$G$3:$J$9, 4, FALSE)</f>
        <v>0</v>
      </c>
      <c r="HG65" s="6">
        <f>VLOOKUP(HG$39, ELIOT!$G$3:$J$9, 4, FALSE)</f>
        <v>0</v>
      </c>
      <c r="HH65" s="6">
        <f>VLOOKUP(HH$39, ELIOT!$G$3:$J$9, 4, FALSE)</f>
        <v>0</v>
      </c>
      <c r="HI65" s="6">
        <f>VLOOKUP(HI$39, ELIOT!$G$3:$J$9, 4, FALSE)</f>
        <v>0</v>
      </c>
      <c r="HJ65" s="6">
        <f>VLOOKUP(HJ$39, ELIOT!$G$3:$J$9, 4, FALSE)</f>
        <v>0</v>
      </c>
      <c r="HK65" s="6">
        <f>VLOOKUP(HK$39, ELIOT!$G$3:$J$9, 4, FALSE)</f>
        <v>0</v>
      </c>
      <c r="HL65" s="6">
        <f>VLOOKUP(HL$39, ELIOT!$G$3:$J$9, 4, FALSE)</f>
        <v>0</v>
      </c>
      <c r="HM65" s="6">
        <f>VLOOKUP(HM$39, ELIOT!$G$3:$J$9, 4, FALSE)</f>
        <v>0</v>
      </c>
      <c r="HN65" s="6">
        <f>VLOOKUP(HN$39, ELIOT!$G$3:$J$9, 4, FALSE)</f>
        <v>0</v>
      </c>
      <c r="HO65" s="6">
        <f>VLOOKUP(HO$39, ELIOT!$G$3:$J$9, 4, FALSE)</f>
        <v>0</v>
      </c>
      <c r="HP65" s="6">
        <f>VLOOKUP(HP$39, ELIOT!$G$3:$J$9, 4, FALSE)</f>
        <v>0</v>
      </c>
      <c r="HQ65" s="6">
        <f>VLOOKUP(HQ$39, ELIOT!$G$3:$J$9, 4, FALSE)</f>
        <v>0</v>
      </c>
      <c r="HR65" s="6">
        <f>VLOOKUP(HR$39, ELIOT!$G$3:$J$9, 4, FALSE)</f>
        <v>0</v>
      </c>
      <c r="HS65" s="6">
        <f>VLOOKUP(HS$39, ELIOT!$G$3:$J$9, 4, FALSE)</f>
        <v>0</v>
      </c>
      <c r="HT65" s="6">
        <f>VLOOKUP(HT$39, ELIOT!$G$3:$J$9, 4, FALSE)</f>
        <v>0</v>
      </c>
      <c r="HU65" s="6">
        <f>VLOOKUP(HU$39, ELIOT!$G$3:$J$9, 4, FALSE)</f>
        <v>0</v>
      </c>
      <c r="HV65" s="6">
        <f>VLOOKUP(HV$39, ELIOT!$G$3:$J$9, 4, FALSE)</f>
        <v>0</v>
      </c>
      <c r="HW65" s="6">
        <f>VLOOKUP(HW$39, ELIOT!$G$3:$J$9, 4, FALSE)</f>
        <v>0</v>
      </c>
      <c r="HX65" s="6">
        <f>VLOOKUP(HX$39, ELIOT!$G$3:$J$9, 4, FALSE)</f>
        <v>0</v>
      </c>
      <c r="HY65" s="6">
        <f>VLOOKUP(HY$39, ELIOT!$G$3:$J$9, 4, FALSE)</f>
        <v>0</v>
      </c>
      <c r="HZ65" s="6">
        <f>VLOOKUP(HZ$39, ELIOT!$G$3:$J$9, 4, FALSE)</f>
        <v>0</v>
      </c>
      <c r="IA65" s="6">
        <f>VLOOKUP(IA$39, ELIOT!$G$3:$J$9, 4, FALSE)</f>
        <v>0</v>
      </c>
      <c r="IB65" s="6">
        <f>VLOOKUP(IB$39, ELIOT!$G$3:$J$9, 4, FALSE)</f>
        <v>0</v>
      </c>
      <c r="IC65" s="6">
        <f>VLOOKUP(IC$39, ELIOT!$G$3:$J$9, 4, FALSE)</f>
        <v>0</v>
      </c>
      <c r="ID65" s="6">
        <f>VLOOKUP(ID$39, ELIOT!$G$3:$J$9, 4, FALSE)</f>
        <v>0</v>
      </c>
      <c r="IE65" s="6">
        <f>VLOOKUP(IE$39, ELIOT!$G$3:$J$9, 4, FALSE)</f>
        <v>0</v>
      </c>
      <c r="IF65" s="6">
        <f>VLOOKUP(IF$39, ELIOT!$G$3:$J$9, 4, FALSE)</f>
        <v>0</v>
      </c>
      <c r="IG65" s="6">
        <f>VLOOKUP(IG$39, ELIOT!$G$3:$J$9, 4, FALSE)</f>
        <v>0</v>
      </c>
      <c r="IH65" s="6">
        <f>VLOOKUP(IH$39, ELIOT!$G$3:$J$9, 4, FALSE)</f>
        <v>0</v>
      </c>
      <c r="II65" s="6">
        <f>VLOOKUP(II$39, ELIOT!$G$3:$J$9, 4, FALSE)</f>
        <v>0</v>
      </c>
      <c r="IJ65" s="6">
        <f>VLOOKUP(IJ$39, ELIOT!$G$3:$J$9, 4, FALSE)</f>
        <v>0</v>
      </c>
      <c r="IK65" s="6">
        <f>VLOOKUP(IK$39, ELIOT!$G$3:$J$9, 4, FALSE)</f>
        <v>0</v>
      </c>
      <c r="IL65" s="6">
        <f>VLOOKUP(IL$39, ELIOT!$G$3:$J$9, 4, FALSE)</f>
        <v>0</v>
      </c>
      <c r="IM65" s="6">
        <f>VLOOKUP(IM$39, ELIOT!$G$3:$J$9, 4, FALSE)</f>
        <v>0</v>
      </c>
      <c r="IN65" s="6">
        <f>VLOOKUP(IN$39, ELIOT!$G$3:$J$9, 4, FALSE)</f>
        <v>0</v>
      </c>
      <c r="IO65" s="6">
        <f>VLOOKUP(IO$39, ELIOT!$G$3:$J$9, 4, FALSE)</f>
        <v>0</v>
      </c>
      <c r="IP65" s="6">
        <f>VLOOKUP(IP$39, ELIOT!$G$3:$J$9, 4, FALSE)</f>
        <v>0</v>
      </c>
      <c r="IQ65" s="6">
        <f>VLOOKUP(IQ$39, ELIOT!$G$3:$J$9, 4, FALSE)</f>
        <v>0</v>
      </c>
      <c r="IR65" s="6">
        <f>VLOOKUP(IR$39, ELIOT!$G$3:$J$9, 4, FALSE)</f>
        <v>0</v>
      </c>
      <c r="IS65" s="6">
        <f>VLOOKUP(IS$39, ELIOT!$G$3:$J$9, 4, FALSE)</f>
        <v>0</v>
      </c>
      <c r="IT65" s="6">
        <f>VLOOKUP(IT$39, ELIOT!$G$3:$J$9, 4, FALSE)</f>
        <v>0</v>
      </c>
      <c r="IU65" s="6">
        <f>VLOOKUP(IU$39, ELIOT!$G$3:$J$9, 4, FALSE)</f>
        <v>0</v>
      </c>
      <c r="IV65" s="6">
        <f>VLOOKUP(IV$39, ELIOT!$G$3:$J$9, 4, FALSE)</f>
        <v>0</v>
      </c>
      <c r="IW65" s="6">
        <f>VLOOKUP(IW$39, ELIOT!$G$3:$J$9, 4, FALSE)</f>
        <v>0</v>
      </c>
      <c r="IX65" s="6">
        <f>VLOOKUP(IX$39, ELIOT!$G$3:$J$9, 4, FALSE)</f>
        <v>0</v>
      </c>
      <c r="IY65" s="6">
        <f>VLOOKUP(IY$39, ELIOT!$G$3:$J$9, 4, FALSE)</f>
        <v>0</v>
      </c>
      <c r="IZ65" s="6">
        <f>VLOOKUP(IZ$39, ELIOT!$G$3:$J$9, 4, FALSE)</f>
        <v>0</v>
      </c>
      <c r="JA65" s="6">
        <f>VLOOKUP(JA$39, ELIOT!$G$3:$J$9, 4, FALSE)</f>
        <v>0</v>
      </c>
      <c r="JB65" s="6">
        <f>VLOOKUP(JB$39, ELIOT!$G$3:$J$9, 4, FALSE)</f>
        <v>0</v>
      </c>
      <c r="JC65" s="6">
        <f>VLOOKUP(JC$39, ELIOT!$G$3:$J$9, 4, FALSE)</f>
        <v>0</v>
      </c>
      <c r="JD65" s="6">
        <f>VLOOKUP(JD$39, ELIOT!$G$3:$J$9, 4, FALSE)</f>
        <v>0</v>
      </c>
      <c r="JE65" s="6">
        <f>VLOOKUP(JE$39, ELIOT!$G$3:$J$9, 4, FALSE)</f>
        <v>0</v>
      </c>
      <c r="JF65" s="6">
        <f>VLOOKUP(JF$39, ELIOT!$G$3:$J$9, 4, FALSE)</f>
        <v>0</v>
      </c>
      <c r="JG65" s="6">
        <f>VLOOKUP(JG$39, ELIOT!$G$3:$J$9, 4, FALSE)</f>
        <v>0</v>
      </c>
      <c r="JH65" s="6">
        <f>VLOOKUP(JH$39, ELIOT!$G$3:$J$9, 4, FALSE)</f>
        <v>0</v>
      </c>
      <c r="JI65" s="6">
        <f>VLOOKUP(JI$39, ELIOT!$G$3:$J$9, 4, FALSE)</f>
        <v>0</v>
      </c>
      <c r="JJ65" s="6">
        <f>VLOOKUP(JJ$39, ELIOT!$G$3:$J$9, 4, FALSE)</f>
        <v>0</v>
      </c>
      <c r="JK65" s="6">
        <f>VLOOKUP(JK$39, ELIOT!$G$3:$J$9, 4, FALSE)</f>
        <v>0</v>
      </c>
      <c r="JL65" s="6">
        <f>VLOOKUP(JL$39, ELIOT!$G$3:$J$9, 4, FALSE)</f>
        <v>0</v>
      </c>
      <c r="JM65" s="6">
        <f>VLOOKUP(JM$39, ELIOT!$G$3:$J$9, 4, FALSE)</f>
        <v>0</v>
      </c>
      <c r="JN65" s="6">
        <f>VLOOKUP(JN$39, ELIOT!$G$3:$J$9, 4, FALSE)</f>
        <v>0</v>
      </c>
      <c r="JO65" s="6">
        <f>VLOOKUP(JO$39, ELIOT!$G$3:$J$9, 4, FALSE)</f>
        <v>0</v>
      </c>
      <c r="JP65" s="6">
        <f>VLOOKUP(JP$39, ELIOT!$G$3:$J$9, 4, FALSE)</f>
        <v>0</v>
      </c>
      <c r="JQ65" s="6">
        <f>VLOOKUP(JQ$39, ELIOT!$G$3:$J$9, 4, FALSE)</f>
        <v>0</v>
      </c>
      <c r="JR65" s="6">
        <f>VLOOKUP(JR$39, ELIOT!$G$3:$J$9, 4, FALSE)</f>
        <v>0</v>
      </c>
      <c r="JS65" s="6">
        <f>VLOOKUP(JS$39, ELIOT!$G$3:$J$9, 4, FALSE)</f>
        <v>0</v>
      </c>
      <c r="JT65" s="6">
        <f>VLOOKUP(JT$39, ELIOT!$G$3:$J$9, 4, FALSE)</f>
        <v>0</v>
      </c>
      <c r="JU65" s="6">
        <f>VLOOKUP(JU$39, ELIOT!$G$3:$J$9, 4, FALSE)</f>
        <v>0</v>
      </c>
      <c r="JV65" s="6">
        <f>VLOOKUP(JV$39, ELIOT!$G$3:$J$9, 4, FALSE)</f>
        <v>0</v>
      </c>
      <c r="JW65" s="6">
        <f>VLOOKUP(JW$39, ELIOT!$G$3:$J$9, 4, FALSE)</f>
        <v>0</v>
      </c>
      <c r="JX65" s="6">
        <f>VLOOKUP(JX$39, ELIOT!$G$3:$J$9, 4, FALSE)</f>
        <v>0</v>
      </c>
      <c r="JY65" s="6">
        <f>VLOOKUP(JY$39, ELIOT!$G$3:$J$9, 4, FALSE)</f>
        <v>0</v>
      </c>
      <c r="JZ65" s="6">
        <f>VLOOKUP(JZ$39, ELIOT!$G$3:$J$9, 4, FALSE)</f>
        <v>0</v>
      </c>
      <c r="KA65" s="6">
        <f>VLOOKUP(KA$39, ELIOT!$G$3:$J$9, 4, FALSE)</f>
        <v>0</v>
      </c>
      <c r="KB65" s="6">
        <f>VLOOKUP(KB$39, ELIOT!$G$3:$J$9, 4, FALSE)</f>
        <v>0</v>
      </c>
      <c r="KC65" s="6">
        <f>VLOOKUP(KC$39, ELIOT!$G$3:$J$9, 4, FALSE)</f>
        <v>0</v>
      </c>
      <c r="KD65" s="6">
        <f>VLOOKUP(KD$39, ELIOT!$G$3:$J$9, 4, FALSE)</f>
        <v>0</v>
      </c>
      <c r="KE65" s="6">
        <f>VLOOKUP(KE$39, ELIOT!$G$3:$J$9, 4, FALSE)</f>
        <v>0</v>
      </c>
      <c r="KF65" s="6">
        <f>VLOOKUP(KF$39, ELIOT!$G$3:$J$9, 4, FALSE)</f>
        <v>0</v>
      </c>
      <c r="KG65" s="6">
        <f>VLOOKUP(KG$39, ELIOT!$G$3:$J$9, 4, FALSE)</f>
        <v>0</v>
      </c>
      <c r="KH65" s="6">
        <f>VLOOKUP(KH$39, ELIOT!$G$3:$J$9, 4, FALSE)</f>
        <v>0</v>
      </c>
      <c r="KI65" s="6">
        <f>VLOOKUP(KI$39, ELIOT!$G$3:$J$9, 4, FALSE)</f>
        <v>0</v>
      </c>
      <c r="KJ65" s="6">
        <f>VLOOKUP(KJ$39, ELIOT!$G$3:$J$9, 4, FALSE)</f>
        <v>0</v>
      </c>
      <c r="KK65" s="6">
        <f>VLOOKUP(KK$39, ELIOT!$G$3:$J$9, 4, FALSE)</f>
        <v>0</v>
      </c>
      <c r="KL65" s="6">
        <f>VLOOKUP(KL$39, ELIOT!$G$3:$J$9, 4, FALSE)</f>
        <v>0</v>
      </c>
      <c r="KM65" s="6">
        <f>VLOOKUP(KM$39, ELIOT!$G$3:$J$9, 4, FALSE)</f>
        <v>0</v>
      </c>
      <c r="KN65" s="6">
        <f>VLOOKUP(KN$39, ELIOT!$G$3:$J$9, 4, FALSE)</f>
        <v>0</v>
      </c>
      <c r="KO65" s="6">
        <f>VLOOKUP(KO$39, ELIOT!$G$3:$J$9, 4, FALSE)</f>
        <v>0</v>
      </c>
      <c r="KP65" s="6">
        <f>VLOOKUP(KP$39, ELIOT!$G$3:$J$9, 4, FALSE)</f>
        <v>0</v>
      </c>
      <c r="KQ65" s="6">
        <f>VLOOKUP(KQ$39, ELIOT!$G$3:$J$9, 4, FALSE)</f>
        <v>0</v>
      </c>
      <c r="KR65" s="6">
        <f>VLOOKUP(KR$39, ELIOT!$G$3:$J$9, 4, FALSE)</f>
        <v>0</v>
      </c>
      <c r="KS65" s="6">
        <f>VLOOKUP(KS$39, ELIOT!$G$3:$J$9, 4, FALSE)</f>
        <v>0</v>
      </c>
      <c r="KT65" s="6">
        <f>VLOOKUP(KT$39, ELIOT!$G$3:$J$9, 4, FALSE)</f>
        <v>0</v>
      </c>
      <c r="KU65" s="6">
        <f>VLOOKUP(KU$39, ELIOT!$G$3:$J$9, 4, FALSE)</f>
        <v>0</v>
      </c>
      <c r="KV65" s="6">
        <f>VLOOKUP(KV$39, ELIOT!$G$3:$J$9, 4, FALSE)</f>
        <v>0</v>
      </c>
      <c r="KW65" s="6">
        <f>VLOOKUP(KW$39, ELIOT!$G$3:$J$9, 4, FALSE)</f>
        <v>0</v>
      </c>
      <c r="KX65" s="6">
        <f>VLOOKUP(KX$39, ELIOT!$G$3:$J$9, 4, FALSE)</f>
        <v>0</v>
      </c>
      <c r="KY65" s="6">
        <f>VLOOKUP(KY$39, ELIOT!$G$3:$J$9, 4, FALSE)</f>
        <v>0</v>
      </c>
      <c r="KZ65" s="6">
        <f>VLOOKUP(KZ$39, ELIOT!$G$3:$J$9, 4, FALSE)</f>
        <v>0</v>
      </c>
      <c r="LA65" s="6">
        <f>VLOOKUP(LA$39, ELIOT!$G$3:$J$9, 4, FALSE)</f>
        <v>0</v>
      </c>
      <c r="LB65" s="6">
        <f>VLOOKUP(LB$39, ELIOT!$G$3:$J$9, 4, FALSE)</f>
        <v>0</v>
      </c>
      <c r="LC65" s="6">
        <f>VLOOKUP(LC$39, ELIOT!$G$3:$J$9, 4, FALSE)</f>
        <v>0</v>
      </c>
      <c r="LD65" s="6">
        <f>VLOOKUP(LD$39, ELIOT!$G$3:$J$9, 4, FALSE)</f>
        <v>0</v>
      </c>
      <c r="LE65" s="6">
        <f>VLOOKUP(LE$39, ELIOT!$G$3:$J$9, 4, FALSE)</f>
        <v>0</v>
      </c>
      <c r="LF65" s="6">
        <f>VLOOKUP(LF$39, ELIOT!$G$3:$J$9, 4, FALSE)</f>
        <v>0</v>
      </c>
      <c r="LG65" s="6">
        <f>VLOOKUP(LG$39, ELIOT!$G$3:$J$9, 4, FALSE)</f>
        <v>0</v>
      </c>
      <c r="LH65" s="6">
        <f>VLOOKUP(LH$39, ELIOT!$G$3:$J$9, 4, FALSE)</f>
        <v>0</v>
      </c>
      <c r="LI65" s="6">
        <f>VLOOKUP(LI$39, ELIOT!$G$3:$J$9, 4, FALSE)</f>
        <v>0</v>
      </c>
      <c r="LJ65" s="6">
        <f>VLOOKUP(LJ$39, ELIOT!$G$3:$J$9, 4, FALSE)</f>
        <v>0</v>
      </c>
      <c r="LK65" s="6">
        <f>VLOOKUP(LK$39, ELIOT!$G$3:$J$9, 4, FALSE)</f>
        <v>0</v>
      </c>
      <c r="LL65" s="6">
        <f>VLOOKUP(LL$39, ELIOT!$G$3:$J$9, 4, FALSE)</f>
        <v>0</v>
      </c>
      <c r="LM65" s="6">
        <f>VLOOKUP(LM$39, ELIOT!$G$3:$J$9, 4, FALSE)</f>
        <v>0</v>
      </c>
      <c r="LN65" s="6">
        <f>VLOOKUP(LN$39, ELIOT!$G$3:$J$9, 4, FALSE)</f>
        <v>0</v>
      </c>
      <c r="LO65" s="6">
        <f>VLOOKUP(LO$39, ELIOT!$G$3:$J$9, 4, FALSE)</f>
        <v>0</v>
      </c>
      <c r="LP65" s="6">
        <f>VLOOKUP(LP$39, ELIOT!$G$3:$J$9, 4, FALSE)</f>
        <v>0</v>
      </c>
      <c r="LQ65" s="6">
        <f>VLOOKUP(LQ$39, ELIOT!$G$3:$J$9, 4, FALSE)</f>
        <v>0</v>
      </c>
      <c r="LR65" s="6">
        <f>VLOOKUP(LR$39, ELIOT!$G$3:$J$9, 4, FALSE)</f>
        <v>0</v>
      </c>
      <c r="LS65" s="6">
        <f>VLOOKUP(LS$39, ELIOT!$G$3:$J$9, 4, FALSE)</f>
        <v>0</v>
      </c>
      <c r="LT65" s="6">
        <f>VLOOKUP(LT$39, ELIOT!$G$3:$J$9, 4, FALSE)</f>
        <v>0</v>
      </c>
      <c r="LU65" s="6">
        <f>VLOOKUP(LU$39, ELIOT!$G$3:$J$9, 4, FALSE)</f>
        <v>0</v>
      </c>
      <c r="LV65" s="6">
        <f>VLOOKUP(LV$39, ELIOT!$G$3:$J$9, 4, FALSE)</f>
        <v>0</v>
      </c>
      <c r="LW65" s="6">
        <f>VLOOKUP(LW$39, ELIOT!$G$3:$J$9, 4, FALSE)</f>
        <v>0</v>
      </c>
      <c r="LX65" s="6">
        <f>VLOOKUP(LX$39, ELIOT!$G$3:$J$9, 4, FALSE)</f>
        <v>0</v>
      </c>
      <c r="LY65" s="6">
        <f>VLOOKUP(LY$39, ELIOT!$G$3:$J$9, 4, FALSE)</f>
        <v>0</v>
      </c>
      <c r="LZ65" s="6">
        <f>VLOOKUP(LZ$39, ELIOT!$G$3:$J$9, 4, FALSE)</f>
        <v>0</v>
      </c>
      <c r="MA65" s="6">
        <f>VLOOKUP(MA$39, ELIOT!$G$3:$J$9, 4, FALSE)</f>
        <v>0</v>
      </c>
      <c r="MB65" s="6">
        <f>VLOOKUP(MB$39, ELIOT!$G$3:$J$9, 4, FALSE)</f>
        <v>0</v>
      </c>
      <c r="MC65" s="6">
        <f>VLOOKUP(MC$39, ELIOT!$G$3:$J$9, 4, FALSE)</f>
        <v>0</v>
      </c>
      <c r="MD65" s="6">
        <f>VLOOKUP(MD$39, ELIOT!$G$3:$J$9, 4, FALSE)</f>
        <v>0</v>
      </c>
      <c r="ME65" s="6">
        <f>VLOOKUP(ME$39, ELIOT!$G$3:$J$9, 4, FALSE)</f>
        <v>0</v>
      </c>
      <c r="MF65" s="6">
        <f>VLOOKUP(MF$39, ELIOT!$G$3:$J$9, 4, FALSE)</f>
        <v>0</v>
      </c>
      <c r="MG65" s="6">
        <f>VLOOKUP(MG$39, ELIOT!$G$3:$J$9, 4, FALSE)</f>
        <v>0</v>
      </c>
      <c r="MH65" s="6">
        <f>VLOOKUP(MH$39, ELIOT!$G$3:$J$9, 4, FALSE)</f>
        <v>0</v>
      </c>
      <c r="MI65" s="6">
        <f>VLOOKUP(MI$39, ELIOT!$G$3:$J$9, 4, FALSE)</f>
        <v>0</v>
      </c>
      <c r="MJ65" s="6">
        <f>VLOOKUP(MJ$39, ELIOT!$G$3:$J$9, 4, FALSE)</f>
        <v>0</v>
      </c>
      <c r="MK65" s="6">
        <f>VLOOKUP(MK$39, ELIOT!$G$3:$J$9, 4, FALSE)</f>
        <v>0</v>
      </c>
      <c r="ML65" s="6">
        <f>VLOOKUP(ML$39, ELIOT!$G$3:$J$9, 4, FALSE)</f>
        <v>0</v>
      </c>
      <c r="MM65" s="6">
        <f>VLOOKUP(MM$39, ELIOT!$G$3:$J$9, 4, FALSE)</f>
        <v>0</v>
      </c>
      <c r="MN65" s="6">
        <f>VLOOKUP(MN$39, ELIOT!$G$3:$J$9, 4, FALSE)</f>
        <v>0</v>
      </c>
      <c r="MO65" s="6">
        <f>VLOOKUP(MO$39, ELIOT!$G$3:$J$9, 4, FALSE)</f>
        <v>0</v>
      </c>
      <c r="MP65" s="6">
        <f>VLOOKUP(MP$39, ELIOT!$G$3:$J$9, 4, FALSE)</f>
        <v>0</v>
      </c>
      <c r="MQ65" s="6">
        <f>VLOOKUP(MQ$39, ELIOT!$G$3:$J$9, 4, FALSE)</f>
        <v>0</v>
      </c>
      <c r="MR65" s="6">
        <f>VLOOKUP(MR$39, ELIOT!$G$3:$J$9, 4, FALSE)</f>
        <v>0</v>
      </c>
      <c r="MS65" s="6">
        <f>VLOOKUP(MS$39, ELIOT!$G$3:$J$9, 4, FALSE)</f>
        <v>0</v>
      </c>
      <c r="MT65" s="6">
        <f>VLOOKUP(MT$39, ELIOT!$G$3:$J$9, 4, FALSE)</f>
        <v>0</v>
      </c>
      <c r="MU65" s="6">
        <f>VLOOKUP(MU$39, ELIOT!$G$3:$J$9, 4, FALSE)</f>
        <v>0</v>
      </c>
      <c r="MV65" s="6">
        <f>VLOOKUP(MV$39, ELIOT!$G$3:$J$9, 4, FALSE)</f>
        <v>0</v>
      </c>
      <c r="MW65" s="6">
        <f>VLOOKUP(MW$39, ELIOT!$G$3:$J$9, 4, FALSE)</f>
        <v>0</v>
      </c>
      <c r="MX65" s="6">
        <f>VLOOKUP(MX$39, ELIOT!$G$3:$J$9, 4, FALSE)</f>
        <v>0</v>
      </c>
      <c r="MY65" s="6">
        <f>VLOOKUP(MY$39, ELIOT!$G$3:$J$9, 4, FALSE)</f>
        <v>0</v>
      </c>
      <c r="MZ65" s="6">
        <f>VLOOKUP(MZ$39, ELIOT!$G$3:$J$9, 4, FALSE)</f>
        <v>0</v>
      </c>
      <c r="NA65" s="6">
        <f>VLOOKUP(NA$39, ELIOT!$G$3:$J$9, 4, FALSE)</f>
        <v>0</v>
      </c>
      <c r="NB65" s="6">
        <f>VLOOKUP(NB$39, ELIOT!$G$3:$J$9, 4, FALSE)</f>
        <v>0</v>
      </c>
      <c r="NC65" s="6">
        <f>VLOOKUP(NC$39, ELIOT!$G$3:$J$9, 4, FALSE)</f>
        <v>0</v>
      </c>
      <c r="ND65" s="6">
        <f>VLOOKUP(ND$39, ELIOT!$G$3:$J$9, 4, FALSE)</f>
        <v>0</v>
      </c>
      <c r="NE65" s="6">
        <f>VLOOKUP(NE$39, ELIOT!$G$3:$J$9, 4, FALSE)</f>
        <v>0</v>
      </c>
      <c r="NF65" s="6">
        <f>VLOOKUP(NF$39, ELIOT!$G$3:$J$9, 4, FALSE)</f>
        <v>0</v>
      </c>
      <c r="NG65" s="6">
        <f>VLOOKUP(NG$39, ELIOT!$G$3:$J$9, 4, FALSE)</f>
        <v>0</v>
      </c>
      <c r="NH65" s="6">
        <f>VLOOKUP(NH$39, ELIOT!$G$3:$J$9, 4, FALSE)</f>
        <v>0</v>
      </c>
      <c r="NI65" s="6">
        <f>VLOOKUP(NI$39, ELIOT!$G$3:$J$9, 4, FALSE)</f>
        <v>0</v>
      </c>
      <c r="NJ65" s="6">
        <f>VLOOKUP(NJ$39, ELIOT!$G$3:$J$9, 4, FALSE)</f>
        <v>0</v>
      </c>
      <c r="NK65" s="6">
        <f>VLOOKUP(NK$39, ELIOT!$G$3:$J$9, 4, FALSE)</f>
        <v>0</v>
      </c>
      <c r="NL65" s="6">
        <f>VLOOKUP(NL$39, ELIOT!$G$3:$J$9, 4, FALSE)</f>
        <v>0</v>
      </c>
      <c r="NM65" s="6">
        <f>VLOOKUP(NM$39, ELIOT!$G$3:$J$9, 4, FALSE)</f>
        <v>0</v>
      </c>
      <c r="NN65" s="6">
        <f>VLOOKUP(NN$39, ELIOT!$G$3:$J$9, 4, FALSE)</f>
        <v>0</v>
      </c>
      <c r="NO65" s="6">
        <f>VLOOKUP(NO$39, ELIOT!$G$3:$J$9, 4, FALSE)</f>
        <v>0</v>
      </c>
      <c r="NP65" s="6">
        <f>VLOOKUP(NP$39, ELIOT!$G$3:$J$9, 4, FALSE)</f>
        <v>0</v>
      </c>
      <c r="NQ65" s="6">
        <f>VLOOKUP(NQ$39, ELIOT!$G$3:$J$9, 4, FALSE)</f>
        <v>0</v>
      </c>
      <c r="NR65" s="6">
        <f>VLOOKUP(NR$39, ELIOT!$G$3:$J$9, 4, FALSE)</f>
        <v>0</v>
      </c>
      <c r="NS65" s="6">
        <f>VLOOKUP(NS$39, ELIOT!$G$3:$J$9, 4, FALSE)</f>
        <v>0</v>
      </c>
      <c r="NT65" s="6">
        <f>VLOOKUP(NT$39, ELIOT!$G$3:$J$9, 4, FALSE)</f>
        <v>0</v>
      </c>
      <c r="NU65" s="6">
        <f>VLOOKUP(NU$39, ELIOT!$G$3:$J$9, 4, FALSE)</f>
        <v>0</v>
      </c>
      <c r="NV65" s="6">
        <f>VLOOKUP(NV$39, ELIOT!$G$3:$J$9, 4, FALSE)</f>
        <v>0</v>
      </c>
      <c r="NW65" s="6">
        <f>VLOOKUP(NW$39, ELIOT!$G$3:$J$9, 4, FALSE)</f>
        <v>0</v>
      </c>
      <c r="NX65" s="6">
        <f>VLOOKUP(NX$39, ELIOT!$G$3:$J$9, 4, FALSE)</f>
        <v>0</v>
      </c>
      <c r="NY65" s="6">
        <f>VLOOKUP(NY$39, ELIOT!$G$3:$J$9, 4, FALSE)</f>
        <v>0</v>
      </c>
      <c r="NZ65" s="6">
        <f>VLOOKUP(NZ$39, ELIOT!$G$3:$J$9, 4, FALSE)</f>
        <v>0</v>
      </c>
      <c r="OA65" s="6">
        <f>VLOOKUP(OA$39, ELIOT!$G$3:$J$9, 4, FALSE)</f>
        <v>0</v>
      </c>
      <c r="OB65" s="6">
        <f>VLOOKUP(OB$39, ELIOT!$G$3:$J$9, 4, FALSE)</f>
        <v>0</v>
      </c>
      <c r="OC65" s="6">
        <f>VLOOKUP(OC$39, ELIOT!$G$3:$J$9, 4, FALSE)</f>
        <v>0</v>
      </c>
      <c r="OD65" s="6">
        <f>VLOOKUP(OD$39, ELIOT!$G$3:$J$9, 4, FALSE)</f>
        <v>0</v>
      </c>
      <c r="OE65" s="6">
        <f>VLOOKUP(OE$39, ELIOT!$G$3:$J$9, 4, FALSE)</f>
        <v>0</v>
      </c>
      <c r="OF65" s="6">
        <f>VLOOKUP(OF$39, ELIOT!$G$3:$J$9, 4, FALSE)</f>
        <v>0</v>
      </c>
      <c r="OG65" s="6">
        <f>VLOOKUP(OG$39, ELIOT!$G$3:$J$9, 4, FALSE)</f>
        <v>0</v>
      </c>
      <c r="OH65" s="6">
        <f>VLOOKUP(OH$39, ELIOT!$G$3:$J$9, 4, FALSE)</f>
        <v>0</v>
      </c>
      <c r="OI65" s="6">
        <f>VLOOKUP(OI$39, ELIOT!$G$3:$J$9, 4, FALSE)</f>
        <v>0</v>
      </c>
      <c r="OJ65" s="6">
        <f>VLOOKUP(OJ$39, ELIOT!$G$3:$J$9, 4, FALSE)</f>
        <v>0</v>
      </c>
      <c r="OK65" s="6">
        <f>VLOOKUP(OK$39, ELIOT!$G$3:$J$9, 4, FALSE)</f>
        <v>0</v>
      </c>
      <c r="OL65" s="6">
        <f>VLOOKUP(OL$39, ELIOT!$G$3:$J$9, 4, FALSE)</f>
        <v>0</v>
      </c>
      <c r="OM65" s="6">
        <f>VLOOKUP(OM$39, ELIOT!$G$3:$J$9, 4, FALSE)</f>
        <v>0</v>
      </c>
      <c r="ON65" s="6">
        <f>VLOOKUP(ON$39, ELIOT!$G$3:$J$9, 4, FALSE)</f>
        <v>0</v>
      </c>
      <c r="OO65" s="6">
        <f>VLOOKUP(OO$39, ELIOT!$G$3:$J$9, 4, FALSE)</f>
        <v>0</v>
      </c>
      <c r="OP65" s="6">
        <f>VLOOKUP(OP$39, ELIOT!$G$3:$J$9, 4, FALSE)</f>
        <v>0</v>
      </c>
      <c r="OQ65" s="6">
        <f>VLOOKUP(OQ$39, ELIOT!$G$3:$J$9, 4, FALSE)</f>
        <v>0</v>
      </c>
      <c r="OR65" s="6">
        <f>VLOOKUP(OR$39, ELIOT!$G$3:$J$9, 4, FALSE)</f>
        <v>0</v>
      </c>
      <c r="OS65" s="6">
        <f>VLOOKUP(OS$39, ELIOT!$G$3:$J$9, 4, FALSE)</f>
        <v>0</v>
      </c>
      <c r="OT65" s="6">
        <f>VLOOKUP(OT$39, ELIOT!$G$3:$J$9, 4, FALSE)</f>
        <v>0</v>
      </c>
      <c r="OU65" s="6">
        <f>VLOOKUP(OU$39, ELIOT!$G$3:$J$9, 4, FALSE)</f>
        <v>0</v>
      </c>
      <c r="OV65" s="6">
        <f>VLOOKUP(OV$39, ELIOT!$G$3:$J$9, 4, FALSE)</f>
        <v>0</v>
      </c>
      <c r="OW65" s="6">
        <f>VLOOKUP(OW$39, ELIOT!$G$3:$J$9, 4, FALSE)</f>
        <v>0</v>
      </c>
      <c r="OX65" s="6">
        <f>VLOOKUP(OX$39, ELIOT!$G$3:$J$9, 4, FALSE)</f>
        <v>0</v>
      </c>
      <c r="OY65" s="6">
        <f>VLOOKUP(OY$39, ELIOT!$G$3:$J$9, 4, FALSE)</f>
        <v>0</v>
      </c>
      <c r="OZ65" s="6">
        <f>VLOOKUP(OZ$39, ELIOT!$G$3:$J$9, 4, FALSE)</f>
        <v>0</v>
      </c>
      <c r="PA65" s="6">
        <f>VLOOKUP(PA$39, ELIOT!$G$3:$J$9, 4, FALSE)</f>
        <v>0</v>
      </c>
      <c r="PB65" s="6">
        <f>VLOOKUP(PB$39, ELIOT!$G$3:$J$9, 4, FALSE)</f>
        <v>0</v>
      </c>
      <c r="PC65" s="6">
        <f>VLOOKUP(PC$39, ELIOT!$G$3:$J$9, 4, FALSE)</f>
        <v>0</v>
      </c>
      <c r="PD65" s="6">
        <f>VLOOKUP(PD$39, ELIOT!$G$3:$J$9, 4, FALSE)</f>
        <v>0</v>
      </c>
      <c r="PE65" s="6">
        <f>VLOOKUP(PE$39, ELIOT!$G$3:$J$9, 4, FALSE)</f>
        <v>0</v>
      </c>
      <c r="PF65" s="6">
        <f>VLOOKUP(PF$39, ELIOT!$G$3:$J$9, 4, FALSE)</f>
        <v>0</v>
      </c>
      <c r="PG65" s="6">
        <f>VLOOKUP(PG$39, ELIOT!$G$3:$J$9, 4, FALSE)</f>
        <v>0</v>
      </c>
      <c r="PH65" s="6">
        <f>VLOOKUP(PH$39, ELIOT!$G$3:$J$9, 4, FALSE)</f>
        <v>0</v>
      </c>
      <c r="PI65" s="6">
        <f>VLOOKUP(PI$39, ELIOT!$G$3:$J$9, 4, FALSE)</f>
        <v>0</v>
      </c>
      <c r="PJ65" s="6">
        <f>VLOOKUP(PJ$39, ELIOT!$G$3:$J$9, 4, FALSE)</f>
        <v>0</v>
      </c>
      <c r="PK65" s="6">
        <f>VLOOKUP(PK$39, ELIOT!$G$3:$J$9, 4, FALSE)</f>
        <v>0</v>
      </c>
      <c r="PL65" s="6">
        <f>VLOOKUP(PL$39, ELIOT!$G$3:$J$9, 4, FALSE)</f>
        <v>0</v>
      </c>
      <c r="PM65" s="6">
        <f>VLOOKUP(PM$39, ELIOT!$G$3:$J$9, 4, FALSE)</f>
        <v>0</v>
      </c>
      <c r="PN65" s="6">
        <f>VLOOKUP(PN$39, ELIOT!$G$3:$J$9, 4, FALSE)</f>
        <v>0</v>
      </c>
      <c r="PO65" s="6">
        <f>VLOOKUP(PO$39, ELIOT!$G$3:$J$9, 4, FALSE)</f>
        <v>0</v>
      </c>
      <c r="PP65" s="6">
        <f>VLOOKUP(PP$39, ELIOT!$G$3:$J$9, 4, FALSE)</f>
        <v>0</v>
      </c>
      <c r="PQ65" s="6">
        <f>VLOOKUP(PQ$39, ELIOT!$G$3:$J$9, 4, FALSE)</f>
        <v>0</v>
      </c>
      <c r="PR65" s="6">
        <f>VLOOKUP(PR$39, ELIOT!$G$3:$J$9, 4, FALSE)</f>
        <v>0</v>
      </c>
      <c r="PS65" s="6">
        <f>VLOOKUP(PS$39, ELIOT!$G$3:$J$9, 4, FALSE)</f>
        <v>0</v>
      </c>
      <c r="PT65" s="6">
        <f>VLOOKUP(PT$39, ELIOT!$G$3:$J$9, 4, FALSE)</f>
        <v>0</v>
      </c>
      <c r="PU65" s="6">
        <f>VLOOKUP(PU$39, ELIOT!$G$3:$J$9, 4, FALSE)</f>
        <v>0</v>
      </c>
      <c r="PV65" s="6">
        <f>VLOOKUP(PV$39, ELIOT!$G$3:$J$9, 4, FALSE)</f>
        <v>0</v>
      </c>
      <c r="PW65" s="6">
        <f>VLOOKUP(PW$39, ELIOT!$G$3:$J$9, 4, FALSE)</f>
        <v>0</v>
      </c>
      <c r="PX65" s="6">
        <f>VLOOKUP(PX$39, ELIOT!$G$3:$J$9, 4, FALSE)</f>
        <v>0</v>
      </c>
      <c r="PY65" s="6">
        <f>VLOOKUP(PY$39, ELIOT!$G$3:$J$9, 4, FALSE)</f>
        <v>0</v>
      </c>
      <c r="PZ65" s="6">
        <f>VLOOKUP(PZ$39, ELIOT!$G$3:$J$9, 4, FALSE)</f>
        <v>0</v>
      </c>
      <c r="QA65" s="6">
        <f>VLOOKUP(QA$39, ELIOT!$G$3:$J$9, 4, FALSE)</f>
        <v>0</v>
      </c>
      <c r="QB65" s="6">
        <f>VLOOKUP(QB$39, ELIOT!$G$3:$J$9, 4, FALSE)</f>
        <v>0</v>
      </c>
      <c r="QC65" s="6">
        <f>VLOOKUP(QC$39, ELIOT!$G$3:$J$9, 4, FALSE)</f>
        <v>0</v>
      </c>
      <c r="QD65" s="6">
        <f>VLOOKUP(QD$39, ELIOT!$G$3:$J$9, 4, FALSE)</f>
        <v>0</v>
      </c>
      <c r="QE65" s="6">
        <f>VLOOKUP(QE$39, ELIOT!$G$3:$J$9, 4, FALSE)</f>
        <v>0</v>
      </c>
      <c r="QF65" s="6">
        <f>VLOOKUP(QF$39, ELIOT!$G$3:$J$9, 4, FALSE)</f>
        <v>0</v>
      </c>
      <c r="QG65" s="6">
        <f>VLOOKUP(QG$39, ELIOT!$G$3:$J$9, 4, FALSE)</f>
        <v>0</v>
      </c>
      <c r="QH65" s="6">
        <f>VLOOKUP(QH$39, ELIOT!$G$3:$J$9, 4, FALSE)</f>
        <v>0</v>
      </c>
      <c r="QI65" s="6">
        <f>VLOOKUP(QI$39, ELIOT!$G$3:$J$9, 4, FALSE)</f>
        <v>0</v>
      </c>
      <c r="QJ65" s="6">
        <f>VLOOKUP(QJ$39, ELIOT!$G$3:$J$9, 4, FALSE)</f>
        <v>0</v>
      </c>
      <c r="QK65" s="6">
        <f>VLOOKUP(QK$39, ELIOT!$G$3:$J$9, 4, FALSE)</f>
        <v>0</v>
      </c>
      <c r="QL65" s="6">
        <f>VLOOKUP(QL$39, ELIOT!$G$3:$J$9, 4, FALSE)</f>
        <v>0</v>
      </c>
      <c r="QM65" s="6">
        <f>VLOOKUP(QM$39, ELIOT!$G$3:$J$9, 4, FALSE)</f>
        <v>0</v>
      </c>
      <c r="QN65" s="6">
        <f>VLOOKUP(QN$39, ELIOT!$G$3:$J$9, 4, FALSE)</f>
        <v>0</v>
      </c>
      <c r="QO65" s="6">
        <f>VLOOKUP(QO$39, ELIOT!$G$3:$J$9, 4, FALSE)</f>
        <v>0</v>
      </c>
      <c r="QP65" s="6">
        <f>VLOOKUP(QP$39, ELIOT!$G$3:$J$9, 4, FALSE)</f>
        <v>0</v>
      </c>
      <c r="QQ65" s="6">
        <f>VLOOKUP(QQ$39, ELIOT!$G$3:$J$9, 4, FALSE)</f>
        <v>0</v>
      </c>
      <c r="QR65" s="6">
        <f>VLOOKUP(QR$39, ELIOT!$G$3:$J$9, 4, FALSE)</f>
        <v>0</v>
      </c>
      <c r="QS65" s="6">
        <f>VLOOKUP(QS$39, ELIOT!$G$3:$J$9, 4, FALSE)</f>
        <v>0</v>
      </c>
      <c r="QT65" s="6">
        <f>VLOOKUP(QT$39, ELIOT!$G$3:$J$9, 4, FALSE)</f>
        <v>0</v>
      </c>
      <c r="QU65" s="6">
        <f>VLOOKUP(QU$39, ELIOT!$G$3:$J$9, 4, FALSE)</f>
        <v>0</v>
      </c>
      <c r="QV65" s="6">
        <f>VLOOKUP(QV$39, ELIOT!$G$3:$J$9, 4, FALSE)</f>
        <v>0</v>
      </c>
      <c r="QW65" s="6">
        <f>VLOOKUP(QW$39, ELIOT!$G$3:$J$9, 4, FALSE)</f>
        <v>0</v>
      </c>
      <c r="QX65" s="6">
        <f>VLOOKUP(QX$39, ELIOT!$G$3:$J$9, 4, FALSE)</f>
        <v>0</v>
      </c>
      <c r="QY65" s="6">
        <f>VLOOKUP(QY$39, ELIOT!$G$3:$J$9, 4, FALSE)</f>
        <v>0</v>
      </c>
      <c r="QZ65" s="6">
        <f>VLOOKUP(QZ$39, ELIOT!$G$3:$J$9, 4, FALSE)</f>
        <v>0</v>
      </c>
      <c r="RA65" s="6">
        <f>VLOOKUP(RA$39, ELIOT!$G$3:$J$9, 4, FALSE)</f>
        <v>0</v>
      </c>
      <c r="RB65" s="6">
        <f>VLOOKUP(RB$39, ELIOT!$G$3:$J$9, 4, FALSE)</f>
        <v>0</v>
      </c>
      <c r="RC65" s="6">
        <f>VLOOKUP(RC$39, ELIOT!$G$3:$J$9, 4, FALSE)</f>
        <v>0</v>
      </c>
      <c r="RD65" s="6">
        <f>VLOOKUP(RD$39, ELIOT!$G$3:$J$9, 4, FALSE)</f>
        <v>0</v>
      </c>
      <c r="RE65" s="6">
        <f>VLOOKUP(RE$39, ELIOT!$G$3:$J$9, 4, FALSE)</f>
        <v>0</v>
      </c>
      <c r="RF65" s="6">
        <f>VLOOKUP(RF$39, ELIOT!$G$3:$J$9, 4, FALSE)</f>
        <v>0</v>
      </c>
      <c r="RG65" s="6">
        <f>VLOOKUP(RG$39, ELIOT!$G$3:$J$9, 4, FALSE)</f>
        <v>0</v>
      </c>
      <c r="RH65" s="6">
        <f>VLOOKUP(RH$39, ELIOT!$G$3:$J$9, 4, FALSE)</f>
        <v>0</v>
      </c>
      <c r="RI65" s="6">
        <f>VLOOKUP(RI$39, ELIOT!$G$3:$J$9, 4, FALSE)</f>
        <v>0</v>
      </c>
      <c r="RJ65" s="6">
        <f>VLOOKUP(RJ$39, ELIOT!$G$3:$J$9, 4, FALSE)</f>
        <v>0</v>
      </c>
      <c r="RK65" s="6">
        <f>VLOOKUP(RK$39, ELIOT!$G$3:$J$9, 4, FALSE)</f>
        <v>0</v>
      </c>
      <c r="RL65" s="6">
        <f>VLOOKUP(RL$39, ELIOT!$G$3:$J$9, 4, FALSE)</f>
        <v>0</v>
      </c>
      <c r="RM65" s="6">
        <f>VLOOKUP(RM$39, ELIOT!$G$3:$J$9, 4, FALSE)</f>
        <v>0</v>
      </c>
      <c r="RN65" s="6">
        <f>VLOOKUP(RN$39, ELIOT!$G$3:$J$9, 4, FALSE)</f>
        <v>0</v>
      </c>
      <c r="RO65" s="6">
        <f>VLOOKUP(RO$39, ELIOT!$G$3:$J$9, 4, FALSE)</f>
        <v>0</v>
      </c>
      <c r="RP65" s="6">
        <f>VLOOKUP(RP$39, ELIOT!$G$3:$J$9, 4, FALSE)</f>
        <v>0</v>
      </c>
      <c r="RQ65" s="6">
        <f>VLOOKUP(RQ$39, ELIOT!$G$3:$J$9, 4, FALSE)</f>
        <v>0</v>
      </c>
      <c r="RR65" s="6">
        <f>VLOOKUP(RR$39, ELIOT!$G$3:$J$9, 4, FALSE)</f>
        <v>0</v>
      </c>
      <c r="RS65" s="6">
        <f>VLOOKUP(RS$39, ELIOT!$G$3:$J$9, 4, FALSE)</f>
        <v>0</v>
      </c>
      <c r="RT65" s="6">
        <f>VLOOKUP(RT$39, ELIOT!$G$3:$J$9, 4, FALSE)</f>
        <v>0</v>
      </c>
      <c r="RU65" s="6">
        <f>VLOOKUP(RU$39, ELIOT!$G$3:$J$9, 4, FALSE)</f>
        <v>0</v>
      </c>
      <c r="RV65" s="6">
        <f>VLOOKUP(RV$39, ELIOT!$G$3:$J$9, 4, FALSE)</f>
        <v>0</v>
      </c>
      <c r="RW65" s="6">
        <f>VLOOKUP(RW$39, ELIOT!$G$3:$J$9, 4, FALSE)</f>
        <v>0</v>
      </c>
      <c r="RX65" s="6">
        <f>VLOOKUP(RX$39, ELIOT!$G$3:$J$9, 4, FALSE)</f>
        <v>0</v>
      </c>
      <c r="RY65" s="6">
        <f>VLOOKUP(RY$39, ELIOT!$G$3:$J$9, 4, FALSE)</f>
        <v>0</v>
      </c>
      <c r="RZ65" s="6">
        <f>VLOOKUP(RZ$39, ELIOT!$G$3:$J$9, 4, FALSE)</f>
        <v>0</v>
      </c>
      <c r="SA65" s="6">
        <f>VLOOKUP(SA$39, ELIOT!$G$3:$J$9, 4, FALSE)</f>
        <v>0</v>
      </c>
      <c r="SB65" s="6">
        <f>VLOOKUP(SB$39, ELIOT!$G$3:$J$9, 4, FALSE)</f>
        <v>0</v>
      </c>
      <c r="SC65" s="6">
        <f>VLOOKUP(SC$39, ELIOT!$G$3:$J$9, 4, FALSE)</f>
        <v>0</v>
      </c>
      <c r="SD65" s="6">
        <f>VLOOKUP(SD$39, ELIOT!$G$3:$J$9, 4, FALSE)</f>
        <v>0</v>
      </c>
      <c r="SE65" s="6">
        <f>VLOOKUP(SE$39, ELIOT!$G$3:$J$9, 4, FALSE)</f>
        <v>0</v>
      </c>
      <c r="SF65" s="6">
        <f>VLOOKUP(SF$39, ELIOT!$G$3:$J$9, 4, FALSE)</f>
        <v>0</v>
      </c>
      <c r="SG65" s="6">
        <f>VLOOKUP(SG$39, ELIOT!$G$3:$J$9, 4, FALSE)</f>
        <v>0</v>
      </c>
      <c r="SH65" s="6">
        <f>VLOOKUP(SH$39, ELIOT!$G$3:$J$9, 4, FALSE)</f>
        <v>0</v>
      </c>
      <c r="SI65" s="6">
        <f>VLOOKUP(SI$39, ELIOT!$G$3:$J$9, 4, FALSE)</f>
        <v>0</v>
      </c>
      <c r="SJ65" s="6">
        <f>VLOOKUP(SJ$39, ELIOT!$G$3:$J$9, 4, FALSE)</f>
        <v>0</v>
      </c>
      <c r="SK65" s="6">
        <f>VLOOKUP(SK$39, ELIOT!$G$3:$J$9, 4, FALSE)</f>
        <v>0</v>
      </c>
      <c r="SL65" s="6">
        <f>VLOOKUP(SL$39, ELIOT!$G$3:$J$9, 4, FALSE)</f>
        <v>0</v>
      </c>
      <c r="SM65" s="6">
        <f>VLOOKUP(SM$39, ELIOT!$G$3:$J$9, 4, FALSE)</f>
        <v>0</v>
      </c>
      <c r="SN65" s="6">
        <f>VLOOKUP(SN$39, ELIOT!$G$3:$J$9, 4, FALSE)</f>
        <v>0</v>
      </c>
      <c r="SO65" s="6">
        <f>VLOOKUP(SO$39, ELIOT!$G$3:$J$9, 4, FALSE)</f>
        <v>0</v>
      </c>
      <c r="SP65" s="6">
        <f>VLOOKUP(SP$39, ELIOT!$G$3:$J$9, 4, FALSE)</f>
        <v>0</v>
      </c>
      <c r="SQ65" s="6">
        <f>VLOOKUP(SQ$39, ELIOT!$G$3:$J$9, 4, FALSE)</f>
        <v>0</v>
      </c>
      <c r="SR65" s="6">
        <f>VLOOKUP(SR$39, ELIOT!$G$3:$J$9, 4, FALSE)</f>
        <v>0</v>
      </c>
      <c r="SS65" s="6">
        <f>VLOOKUP(SS$39, ELIOT!$G$3:$J$9, 4, FALSE)</f>
        <v>0</v>
      </c>
      <c r="ST65" s="6">
        <f>VLOOKUP(ST$39, ELIOT!$G$3:$J$9, 4, FALSE)</f>
        <v>0</v>
      </c>
      <c r="SU65" s="6">
        <f>VLOOKUP(SU$39, ELIOT!$G$3:$J$9, 4, FALSE)</f>
        <v>0</v>
      </c>
      <c r="SV65" s="6">
        <f>VLOOKUP(SV$39, ELIOT!$G$3:$J$9, 4, FALSE)</f>
        <v>0</v>
      </c>
      <c r="SW65" s="6">
        <f>VLOOKUP(SW$39, ELIOT!$G$3:$J$9, 4, FALSE)</f>
        <v>0</v>
      </c>
      <c r="SX65" s="6">
        <f>VLOOKUP(SX$39, ELIOT!$G$3:$J$9, 4, FALSE)</f>
        <v>0</v>
      </c>
      <c r="SY65" s="6">
        <f>VLOOKUP(SY$39, ELIOT!$G$3:$J$9, 4, FALSE)</f>
        <v>0</v>
      </c>
      <c r="SZ65" s="6">
        <f>VLOOKUP(SZ$39, ELIOT!$G$3:$J$9, 4, FALSE)</f>
        <v>0</v>
      </c>
      <c r="TA65" s="6">
        <f>VLOOKUP(TA$39, ELIOT!$G$3:$J$9, 4, FALSE)</f>
        <v>0</v>
      </c>
      <c r="TB65" s="6">
        <f>VLOOKUP(TB$39, ELIOT!$G$3:$J$9, 4, FALSE)</f>
        <v>0</v>
      </c>
      <c r="TC65" s="6">
        <f>VLOOKUP(TC$39, ELIOT!$G$3:$J$9, 4, FALSE)</f>
        <v>0</v>
      </c>
      <c r="TD65" s="6">
        <f>VLOOKUP(TD$39, ELIOT!$G$3:$J$9, 4, FALSE)</f>
        <v>0</v>
      </c>
      <c r="TE65" s="6">
        <f>VLOOKUP(TE$39, ELIOT!$G$3:$J$9, 4, FALSE)</f>
        <v>0</v>
      </c>
      <c r="TF65" s="6">
        <f>VLOOKUP(TF$39, ELIOT!$G$3:$J$9, 4, FALSE)</f>
        <v>0</v>
      </c>
      <c r="TG65" s="6">
        <f>VLOOKUP(TG$39, ELIOT!$G$3:$J$9, 4, FALSE)</f>
        <v>0</v>
      </c>
      <c r="TH65" s="6">
        <f>VLOOKUP(TH$39, ELIOT!$G$3:$J$9, 4, FALSE)</f>
        <v>0</v>
      </c>
      <c r="TI65" s="6">
        <f>VLOOKUP(TI$39, ELIOT!$G$3:$J$9, 4, FALSE)</f>
        <v>0</v>
      </c>
      <c r="TJ65" s="6">
        <f>VLOOKUP(TJ$39, ELIOT!$G$3:$J$9, 4, FALSE)</f>
        <v>0</v>
      </c>
      <c r="TK65" s="6">
        <f>VLOOKUP(TK$39, ELIOT!$G$3:$J$9, 4, FALSE)</f>
        <v>0</v>
      </c>
      <c r="TL65" s="6">
        <f>VLOOKUP(TL$39, ELIOT!$G$3:$J$9, 4, FALSE)</f>
        <v>0</v>
      </c>
      <c r="TM65" s="6">
        <f>VLOOKUP(TM$39, ELIOT!$G$3:$J$9, 4, FALSE)</f>
        <v>0</v>
      </c>
      <c r="TN65" s="6">
        <f>VLOOKUP(TN$39, ELIOT!$G$3:$J$9, 4, FALSE)</f>
        <v>0</v>
      </c>
      <c r="TO65" s="6">
        <f>VLOOKUP(TO$39, ELIOT!$G$3:$J$9, 4, FALSE)</f>
        <v>0</v>
      </c>
      <c r="TP65" s="6">
        <f>VLOOKUP(TP$39, ELIOT!$G$3:$J$9, 4, FALSE)</f>
        <v>0</v>
      </c>
      <c r="TQ65" s="6">
        <f>VLOOKUP(TQ$39, ELIOT!$G$3:$J$9, 4, FALSE)</f>
        <v>0</v>
      </c>
      <c r="TR65" s="6">
        <f>VLOOKUP(TR$39, ELIOT!$G$3:$J$9, 4, FALSE)</f>
        <v>0</v>
      </c>
      <c r="TS65" s="6">
        <f>VLOOKUP(TS$39, ELIOT!$G$3:$J$9, 4, FALSE)</f>
        <v>0</v>
      </c>
      <c r="TT65" s="6">
        <f>VLOOKUP(TT$39, ELIOT!$G$3:$J$9, 4, FALSE)</f>
        <v>0</v>
      </c>
      <c r="TU65" s="6">
        <f>VLOOKUP(TU$39, ELIOT!$G$3:$J$9, 4, FALSE)</f>
        <v>0</v>
      </c>
      <c r="TV65" s="6">
        <f>VLOOKUP(TV$39, ELIOT!$G$3:$J$9, 4, FALSE)</f>
        <v>0</v>
      </c>
      <c r="TW65" s="6">
        <f>VLOOKUP(TW$39, ELIOT!$G$3:$J$9, 4, FALSE)</f>
        <v>0</v>
      </c>
      <c r="TX65" s="6">
        <f>VLOOKUP(TX$39, ELIOT!$G$3:$J$9, 4, FALSE)</f>
        <v>0</v>
      </c>
      <c r="TY65" s="6">
        <f>VLOOKUP(TY$39, ELIOT!$G$3:$J$9, 4, FALSE)</f>
        <v>0</v>
      </c>
      <c r="TZ65" s="6">
        <f>VLOOKUP(TZ$39, ELIOT!$G$3:$J$9, 4, FALSE)</f>
        <v>0</v>
      </c>
      <c r="UA65" s="6">
        <f>VLOOKUP(UA$39, ELIOT!$G$3:$J$9, 4, FALSE)</f>
        <v>0</v>
      </c>
      <c r="UB65" s="6">
        <f>VLOOKUP(UB$39, ELIOT!$G$3:$J$9, 4, FALSE)</f>
        <v>0</v>
      </c>
      <c r="UC65" s="6">
        <f>VLOOKUP(UC$39, ELIOT!$G$3:$J$9, 4, FALSE)</f>
        <v>0</v>
      </c>
      <c r="UD65" s="6">
        <f>VLOOKUP(UD$39, ELIOT!$G$3:$J$9, 4, FALSE)</f>
        <v>0</v>
      </c>
      <c r="UE65" s="6">
        <f>VLOOKUP(UE$39, ELIOT!$G$3:$J$9, 4, FALSE)</f>
        <v>0</v>
      </c>
      <c r="UF65" s="6">
        <f>VLOOKUP(UF$39, ELIOT!$G$3:$J$9, 4, FALSE)</f>
        <v>0</v>
      </c>
      <c r="UG65" s="6">
        <f>VLOOKUP(UG$39, ELIOT!$G$3:$J$9, 4, FALSE)</f>
        <v>0</v>
      </c>
      <c r="UH65" s="6">
        <f>VLOOKUP(UH$39, ELIOT!$G$3:$J$9, 4, FALSE)</f>
        <v>0</v>
      </c>
      <c r="UI65" s="6">
        <f>VLOOKUP(UI$39, ELIOT!$G$3:$J$9, 4, FALSE)</f>
        <v>0</v>
      </c>
      <c r="UJ65" s="6">
        <f>VLOOKUP(UJ$39, ELIOT!$G$3:$J$9, 4, FALSE)</f>
        <v>0</v>
      </c>
      <c r="UK65" s="6">
        <f>VLOOKUP(UK$39, ELIOT!$G$3:$J$9, 4, FALSE)</f>
        <v>0</v>
      </c>
      <c r="UL65" s="6">
        <f>VLOOKUP(UL$39, ELIOT!$G$3:$J$9, 4, FALSE)</f>
        <v>0</v>
      </c>
      <c r="UM65" s="6">
        <f>VLOOKUP(UM$39, ELIOT!$G$3:$J$9, 4, FALSE)</f>
        <v>0</v>
      </c>
      <c r="UN65" s="6">
        <f>VLOOKUP(UN$39, ELIOT!$G$3:$J$9, 4, FALSE)</f>
        <v>0</v>
      </c>
      <c r="UO65" s="6">
        <f>VLOOKUP(UO$39, ELIOT!$G$3:$J$9, 4, FALSE)</f>
        <v>0</v>
      </c>
      <c r="UP65" s="6">
        <f>VLOOKUP(UP$39, ELIOT!$G$3:$J$9, 4, FALSE)</f>
        <v>0</v>
      </c>
      <c r="UQ65" s="6">
        <f>VLOOKUP(UQ$39, ELIOT!$G$3:$J$9, 4, FALSE)</f>
        <v>0</v>
      </c>
      <c r="UR65" s="6">
        <f>VLOOKUP(UR$39, ELIOT!$G$3:$J$9, 4, FALSE)</f>
        <v>0</v>
      </c>
      <c r="US65" s="6">
        <f>VLOOKUP(US$39, ELIOT!$G$3:$J$9, 4, FALSE)</f>
        <v>0</v>
      </c>
      <c r="UT65" s="6">
        <f>VLOOKUP(UT$39, ELIOT!$G$3:$J$9, 4, FALSE)</f>
        <v>0</v>
      </c>
      <c r="UU65" s="6">
        <f>VLOOKUP(UU$39, ELIOT!$G$3:$J$9, 4, FALSE)</f>
        <v>0</v>
      </c>
      <c r="UV65" s="6">
        <f>VLOOKUP(UV$39, ELIOT!$G$3:$J$9, 4, FALSE)</f>
        <v>0</v>
      </c>
      <c r="UW65" s="6">
        <f>VLOOKUP(UW$39, ELIOT!$G$3:$J$9, 4, FALSE)</f>
        <v>0</v>
      </c>
      <c r="UX65" s="6">
        <f>VLOOKUP(UX$39, ELIOT!$G$3:$J$9, 4, FALSE)</f>
        <v>0</v>
      </c>
      <c r="UY65" s="6">
        <f>VLOOKUP(UY$39, ELIOT!$G$3:$J$9, 4, FALSE)</f>
        <v>0</v>
      </c>
      <c r="UZ65" s="6">
        <f>VLOOKUP(UZ$39, ELIOT!$G$3:$J$9, 4, FALSE)</f>
        <v>0</v>
      </c>
      <c r="VA65" s="6">
        <f>VLOOKUP(VA$39, ELIOT!$G$3:$J$9, 4, FALSE)</f>
        <v>0</v>
      </c>
      <c r="VB65" s="6">
        <f>VLOOKUP(VB$39, ELIOT!$G$3:$J$9, 4, FALSE)</f>
        <v>0</v>
      </c>
      <c r="VC65" s="6">
        <f>VLOOKUP(VC$39, ELIOT!$G$3:$J$9, 4, FALSE)</f>
        <v>0</v>
      </c>
      <c r="VD65" s="6">
        <f>VLOOKUP(VD$39, ELIOT!$G$3:$J$9, 4, FALSE)</f>
        <v>0</v>
      </c>
      <c r="VE65" s="6">
        <f>VLOOKUP(VE$39, ELIOT!$G$3:$J$9, 4, FALSE)</f>
        <v>0</v>
      </c>
      <c r="VF65" s="6">
        <f>VLOOKUP(VF$39, ELIOT!$G$3:$J$9, 4, FALSE)</f>
        <v>0</v>
      </c>
      <c r="VG65" s="6">
        <f>VLOOKUP(VG$39, ELIOT!$G$3:$J$9, 4, FALSE)</f>
        <v>0</v>
      </c>
      <c r="VH65" s="6">
        <f>VLOOKUP(VH$39, ELIOT!$G$3:$J$9, 4, FALSE)</f>
        <v>0</v>
      </c>
      <c r="VI65" s="6">
        <f>VLOOKUP(VI$39, ELIOT!$G$3:$J$9, 4, FALSE)</f>
        <v>0</v>
      </c>
      <c r="VJ65" s="6">
        <f>VLOOKUP(VJ$39, ELIOT!$G$3:$J$9, 4, FALSE)</f>
        <v>0</v>
      </c>
      <c r="VK65" s="6">
        <f>VLOOKUP(VK$39, ELIOT!$G$3:$J$9, 4, FALSE)</f>
        <v>0</v>
      </c>
      <c r="VL65" s="6">
        <f>VLOOKUP(VL$39, ELIOT!$G$3:$J$9, 4, FALSE)</f>
        <v>0</v>
      </c>
      <c r="VM65" s="6">
        <f>VLOOKUP(VM$39, ELIOT!$G$3:$J$9, 4, FALSE)</f>
        <v>0</v>
      </c>
      <c r="VN65" s="6">
        <f>VLOOKUP(VN$39, ELIOT!$G$3:$J$9, 4, FALSE)</f>
        <v>0</v>
      </c>
      <c r="VO65" s="6">
        <f>VLOOKUP(VO$39, ELIOT!$G$3:$J$9, 4, FALSE)</f>
        <v>0</v>
      </c>
      <c r="VP65" s="6">
        <f>VLOOKUP(VP$39, ELIOT!$G$3:$J$9, 4, FALSE)</f>
        <v>0</v>
      </c>
      <c r="VQ65" s="6">
        <f>VLOOKUP(VQ$39, ELIOT!$G$3:$J$9, 4, FALSE)</f>
        <v>0</v>
      </c>
      <c r="VR65" s="6">
        <f>VLOOKUP(VR$39, ELIOT!$G$3:$J$9, 4, FALSE)</f>
        <v>0</v>
      </c>
      <c r="VS65" s="6">
        <f>VLOOKUP(VS$39, ELIOT!$G$3:$J$9, 4, FALSE)</f>
        <v>0</v>
      </c>
      <c r="VT65" s="6">
        <f>VLOOKUP(VT$39, ELIOT!$G$3:$J$9, 4, FALSE)</f>
        <v>0</v>
      </c>
      <c r="VU65" s="6">
        <f>VLOOKUP(VU$39, ELIOT!$G$3:$J$9, 4, FALSE)</f>
        <v>0</v>
      </c>
      <c r="VV65" s="6">
        <f>VLOOKUP(VV$39, ELIOT!$G$3:$J$9, 4, FALSE)</f>
        <v>0</v>
      </c>
      <c r="VW65" s="6">
        <f>VLOOKUP(VW$39, ELIOT!$G$3:$J$9, 4, FALSE)</f>
        <v>0</v>
      </c>
      <c r="VX65" s="6">
        <f>VLOOKUP(VX$39, ELIOT!$G$3:$J$9, 4, FALSE)</f>
        <v>0</v>
      </c>
      <c r="VY65" s="6">
        <f>VLOOKUP(VY$39, ELIOT!$G$3:$J$9, 4, FALSE)</f>
        <v>0</v>
      </c>
      <c r="VZ65" s="6">
        <f>VLOOKUP(VZ$39, ELIOT!$G$3:$J$9, 4, FALSE)</f>
        <v>0</v>
      </c>
      <c r="WA65" s="6">
        <f>VLOOKUP(WA$39, ELIOT!$G$3:$J$9, 4, FALSE)</f>
        <v>0</v>
      </c>
      <c r="WB65" s="6">
        <f>VLOOKUP(WB$39, ELIOT!$G$3:$J$9, 4, FALSE)</f>
        <v>0</v>
      </c>
      <c r="WC65" s="6">
        <f>VLOOKUP(WC$39, ELIOT!$G$3:$J$9, 4, FALSE)</f>
        <v>0</v>
      </c>
      <c r="WD65" s="6">
        <f>VLOOKUP(WD$39, ELIOT!$G$3:$J$9, 4, FALSE)</f>
        <v>0</v>
      </c>
      <c r="WE65" s="6">
        <f>VLOOKUP(WE$39, ELIOT!$G$3:$J$9, 4, FALSE)</f>
        <v>0</v>
      </c>
      <c r="WF65" s="6">
        <f>VLOOKUP(WF$39, ELIOT!$G$3:$J$9, 4, FALSE)</f>
        <v>0</v>
      </c>
      <c r="WG65" s="6">
        <f>VLOOKUP(WG$39, ELIOT!$G$3:$J$9, 4, FALSE)</f>
        <v>0</v>
      </c>
      <c r="WH65" s="6">
        <f>VLOOKUP(WH$39, ELIOT!$G$3:$J$9, 4, FALSE)</f>
        <v>0</v>
      </c>
      <c r="WI65" s="6">
        <f>VLOOKUP(WI$39, ELIOT!$G$3:$J$9, 4, FALSE)</f>
        <v>0</v>
      </c>
      <c r="WJ65" s="6">
        <f>VLOOKUP(WJ$39, ELIOT!$G$3:$J$9, 4, FALSE)</f>
        <v>0</v>
      </c>
      <c r="WK65" s="6">
        <f>VLOOKUP(WK$39, ELIOT!$G$3:$J$9, 4, FALSE)</f>
        <v>0</v>
      </c>
      <c r="WL65" s="6">
        <f>VLOOKUP(WL$39, ELIOT!$G$3:$J$9, 4, FALSE)</f>
        <v>0</v>
      </c>
      <c r="WM65" s="6">
        <f>VLOOKUP(WM$39, ELIOT!$G$3:$J$9, 4, FALSE)</f>
        <v>0</v>
      </c>
      <c r="WN65" s="6">
        <f>VLOOKUP(WN$39, ELIOT!$G$3:$J$9, 4, FALSE)</f>
        <v>0</v>
      </c>
      <c r="WO65" s="6">
        <f>VLOOKUP(WO$39, ELIOT!$G$3:$J$9, 4, FALSE)</f>
        <v>0</v>
      </c>
      <c r="WP65" s="6">
        <f>VLOOKUP(WP$39, ELIOT!$G$3:$J$9, 4, FALSE)</f>
        <v>0</v>
      </c>
      <c r="WQ65" s="6">
        <f>VLOOKUP(WQ$39, ELIOT!$G$3:$J$9, 4, FALSE)</f>
        <v>0</v>
      </c>
      <c r="WR65" s="6">
        <f>VLOOKUP(WR$39, ELIOT!$G$3:$J$9, 4, FALSE)</f>
        <v>0</v>
      </c>
      <c r="WS65" s="6">
        <f>VLOOKUP(WS$39, ELIOT!$G$3:$J$9, 4, FALSE)</f>
        <v>0</v>
      </c>
      <c r="WT65" s="6">
        <f>VLOOKUP(WT$39, ELIOT!$G$3:$J$9, 4, FALSE)</f>
        <v>0</v>
      </c>
      <c r="WU65" s="6">
        <f>VLOOKUP(WU$39, ELIOT!$G$3:$J$9, 4, FALSE)</f>
        <v>0</v>
      </c>
      <c r="WV65" s="6">
        <f>VLOOKUP(WV$39, ELIOT!$G$3:$J$9, 4, FALSE)</f>
        <v>0</v>
      </c>
      <c r="WW65" s="6">
        <f>VLOOKUP(WW$39, ELIOT!$G$3:$J$9, 4, FALSE)</f>
        <v>0</v>
      </c>
      <c r="WX65" s="6">
        <f>VLOOKUP(WX$39, ELIOT!$G$3:$J$9, 4, FALSE)</f>
        <v>0</v>
      </c>
      <c r="WY65" s="6">
        <f>VLOOKUP(WY$39, ELIOT!$G$3:$J$9, 4, FALSE)</f>
        <v>0</v>
      </c>
      <c r="WZ65" s="6">
        <f>VLOOKUP(WZ$39, ELIOT!$G$3:$J$9, 4, FALSE)</f>
        <v>0</v>
      </c>
      <c r="XA65" s="6">
        <f>VLOOKUP(XA$39, ELIOT!$G$3:$J$9, 4, FALSE)</f>
        <v>0</v>
      </c>
      <c r="XB65" s="6">
        <f>VLOOKUP(XB$39, ELIOT!$G$3:$J$9, 4, FALSE)</f>
        <v>0</v>
      </c>
      <c r="XC65" s="6">
        <f>VLOOKUP(XC$39, ELIOT!$G$3:$J$9, 4, FALSE)</f>
        <v>0</v>
      </c>
      <c r="XD65" s="6">
        <f>VLOOKUP(XD$39, ELIOT!$G$3:$J$9, 4, FALSE)</f>
        <v>0</v>
      </c>
      <c r="XE65" s="6">
        <f>VLOOKUP(XE$39, ELIOT!$G$3:$J$9, 4, FALSE)</f>
        <v>0</v>
      </c>
      <c r="XF65" s="6">
        <f>VLOOKUP(XF$39, ELIOT!$G$3:$J$9, 4, FALSE)</f>
        <v>0</v>
      </c>
      <c r="XG65" s="6">
        <f>VLOOKUP(XG$39, ELIOT!$G$3:$J$9, 4, FALSE)</f>
        <v>0</v>
      </c>
      <c r="XH65" s="6">
        <f>VLOOKUP(XH$39, ELIOT!$G$3:$J$9, 4, FALSE)</f>
        <v>0</v>
      </c>
      <c r="XI65" s="6">
        <f>VLOOKUP(XI$39, ELIOT!$G$3:$J$9, 4, FALSE)</f>
        <v>0</v>
      </c>
      <c r="XJ65" s="6">
        <f>VLOOKUP(XJ$39, ELIOT!$G$3:$J$9, 4, FALSE)</f>
        <v>0</v>
      </c>
      <c r="XK65" s="6">
        <f>VLOOKUP(XK$39, ELIOT!$G$3:$J$9, 4, FALSE)</f>
        <v>0</v>
      </c>
      <c r="XL65" s="6">
        <f>VLOOKUP(XL$39, ELIOT!$G$3:$J$9, 4, FALSE)</f>
        <v>0</v>
      </c>
      <c r="XM65" s="6">
        <f>VLOOKUP(XM$39, ELIOT!$G$3:$J$9, 4, FALSE)</f>
        <v>0</v>
      </c>
      <c r="XN65" s="6">
        <f>VLOOKUP(XN$39, ELIOT!$G$3:$J$9, 4, FALSE)</f>
        <v>0</v>
      </c>
      <c r="XO65" s="6">
        <f>VLOOKUP(XO$39, ELIOT!$G$3:$J$9, 4, FALSE)</f>
        <v>0</v>
      </c>
      <c r="XP65" s="6">
        <f>VLOOKUP(XP$39, ELIOT!$G$3:$J$9, 4, FALSE)</f>
        <v>0</v>
      </c>
      <c r="XQ65" s="6">
        <f>VLOOKUP(XQ$39, ELIOT!$G$3:$J$9, 4, FALSE)</f>
        <v>0</v>
      </c>
      <c r="XR65" s="6">
        <f>VLOOKUP(XR$39, ELIOT!$G$3:$J$9, 4, FALSE)</f>
        <v>0</v>
      </c>
      <c r="XS65" s="6">
        <f>VLOOKUP(XS$39, ELIOT!$G$3:$J$9, 4, FALSE)</f>
        <v>0</v>
      </c>
      <c r="XT65" s="6">
        <f>VLOOKUP(XT$39, ELIOT!$G$3:$J$9, 4, FALSE)</f>
        <v>0</v>
      </c>
      <c r="XU65" s="6">
        <f>VLOOKUP(XU$39, ELIOT!$G$3:$J$9, 4, FALSE)</f>
        <v>0</v>
      </c>
      <c r="XV65" s="6">
        <f>VLOOKUP(XV$39, ELIOT!$G$3:$J$9, 4, FALSE)</f>
        <v>0</v>
      </c>
      <c r="XW65" s="6">
        <f>VLOOKUP(XW$39, ELIOT!$G$3:$J$9, 4, FALSE)</f>
        <v>0</v>
      </c>
      <c r="XX65" s="6">
        <f>VLOOKUP(XX$39, ELIOT!$G$3:$J$9, 4, FALSE)</f>
        <v>0</v>
      </c>
      <c r="XY65" s="6">
        <f>VLOOKUP(XY$39, ELIOT!$G$3:$J$9, 4, FALSE)</f>
        <v>0</v>
      </c>
      <c r="XZ65" s="6">
        <f>VLOOKUP(XZ$39, ELIOT!$G$3:$J$9, 4, FALSE)</f>
        <v>0</v>
      </c>
      <c r="YA65" s="6">
        <f>VLOOKUP(YA$39, ELIOT!$G$3:$J$9, 4, FALSE)</f>
        <v>0</v>
      </c>
      <c r="YB65" s="6">
        <f>VLOOKUP(YB$39, ELIOT!$G$3:$J$9, 4, FALSE)</f>
        <v>0</v>
      </c>
      <c r="YC65" s="6">
        <f>VLOOKUP(YC$39, ELIOT!$G$3:$J$9, 4, FALSE)</f>
        <v>0</v>
      </c>
      <c r="YD65" s="6">
        <f>VLOOKUP(YD$39, ELIOT!$G$3:$J$9, 4, FALSE)</f>
        <v>0</v>
      </c>
      <c r="YE65" s="6">
        <f>VLOOKUP(YE$39, ELIOT!$G$3:$J$9, 4, FALSE)</f>
        <v>0</v>
      </c>
      <c r="YF65" s="6">
        <f>VLOOKUP(YF$39, ELIOT!$G$3:$J$9, 4, FALSE)</f>
        <v>0</v>
      </c>
      <c r="YG65" s="6">
        <f>VLOOKUP(YG$39, ELIOT!$G$3:$J$9, 4, FALSE)</f>
        <v>0</v>
      </c>
      <c r="YH65" s="6">
        <f>VLOOKUP(YH$39, ELIOT!$G$3:$J$9, 4, FALSE)</f>
        <v>0</v>
      </c>
      <c r="YI65" s="6">
        <f>VLOOKUP(YI$39, ELIOT!$G$3:$J$9, 4, FALSE)</f>
        <v>0</v>
      </c>
      <c r="YJ65" s="6">
        <f>VLOOKUP(YJ$39, ELIOT!$G$3:$J$9, 4, FALSE)</f>
        <v>0</v>
      </c>
      <c r="YK65" s="6">
        <f>VLOOKUP(YK$39, ELIOT!$G$3:$J$9, 4, FALSE)</f>
        <v>0</v>
      </c>
      <c r="YL65" s="6">
        <f>VLOOKUP(YL$39, ELIOT!$G$3:$J$9, 4, FALSE)</f>
        <v>0</v>
      </c>
      <c r="YM65" s="6">
        <f>VLOOKUP(YM$39, ELIOT!$G$3:$J$9, 4, FALSE)</f>
        <v>0</v>
      </c>
      <c r="YN65" s="6">
        <f>VLOOKUP(YN$39, ELIOT!$G$3:$J$9, 4, FALSE)</f>
        <v>0</v>
      </c>
      <c r="YO65" s="6">
        <f>VLOOKUP(YO$39, ELIOT!$G$3:$J$9, 4, FALSE)</f>
        <v>0</v>
      </c>
      <c r="YP65" s="6">
        <f>VLOOKUP(YP$39, ELIOT!$G$3:$J$9, 4, FALSE)</f>
        <v>0</v>
      </c>
      <c r="YQ65" s="6">
        <f>VLOOKUP(YQ$39, ELIOT!$G$3:$J$9, 4, FALSE)</f>
        <v>0</v>
      </c>
      <c r="YR65" s="6">
        <f>VLOOKUP(YR$39, ELIOT!$G$3:$J$9, 4, FALSE)</f>
        <v>0</v>
      </c>
      <c r="YS65" s="6">
        <f>VLOOKUP(YS$39, ELIOT!$G$3:$J$9, 4, FALSE)</f>
        <v>0</v>
      </c>
      <c r="YT65" s="6">
        <f>VLOOKUP(YT$39, ELIOT!$G$3:$J$9, 4, FALSE)</f>
        <v>0</v>
      </c>
      <c r="YU65" s="6">
        <f>VLOOKUP(YU$39, ELIOT!$G$3:$J$9, 4, FALSE)</f>
        <v>0</v>
      </c>
      <c r="YV65" s="6">
        <f>VLOOKUP(YV$39, ELIOT!$G$3:$J$9, 4, FALSE)</f>
        <v>0</v>
      </c>
      <c r="YW65" s="6">
        <f>VLOOKUP(YW$39, ELIOT!$G$3:$J$9, 4, FALSE)</f>
        <v>0</v>
      </c>
      <c r="YX65" s="6">
        <f>VLOOKUP(YX$39, ELIOT!$G$3:$J$9, 4, FALSE)</f>
        <v>0</v>
      </c>
      <c r="YY65" s="6">
        <f>VLOOKUP(YY$39, ELIOT!$G$3:$J$9, 4, FALSE)</f>
        <v>0</v>
      </c>
      <c r="YZ65" s="6">
        <f>VLOOKUP(YZ$39, ELIOT!$G$3:$J$9, 4, FALSE)</f>
        <v>0</v>
      </c>
      <c r="ZA65" s="6">
        <f>VLOOKUP(ZA$39, ELIOT!$G$3:$J$9, 4, FALSE)</f>
        <v>0</v>
      </c>
      <c r="ZB65" s="6">
        <f>VLOOKUP(ZB$39, ELIOT!$G$3:$J$9, 4, FALSE)</f>
        <v>0</v>
      </c>
      <c r="ZC65" s="6">
        <f>VLOOKUP(ZC$39, ELIOT!$G$3:$J$9, 4, FALSE)</f>
        <v>0</v>
      </c>
      <c r="ZD65" s="6">
        <f>VLOOKUP(ZD$39, ELIOT!$G$3:$J$9, 4, FALSE)</f>
        <v>0</v>
      </c>
      <c r="ZE65" s="6">
        <f>VLOOKUP(ZE$39, ELIOT!$G$3:$J$9, 4, FALSE)</f>
        <v>0</v>
      </c>
      <c r="ZF65" s="6">
        <f>VLOOKUP(ZF$39, ELIOT!$G$3:$J$9, 4, FALSE)</f>
        <v>0</v>
      </c>
      <c r="ZG65" s="6">
        <f>VLOOKUP(ZG$39, ELIOT!$G$3:$J$9, 4, FALSE)</f>
        <v>0</v>
      </c>
      <c r="ZH65" s="6">
        <f>VLOOKUP(ZH$39, ELIOT!$G$3:$J$9, 4, FALSE)</f>
        <v>0</v>
      </c>
      <c r="ZI65" s="6">
        <f>VLOOKUP(ZI$39, ELIOT!$G$3:$J$9, 4, FALSE)</f>
        <v>0</v>
      </c>
      <c r="ZJ65" s="6">
        <f>VLOOKUP(ZJ$39, ELIOT!$G$3:$J$9, 4, FALSE)</f>
        <v>0</v>
      </c>
      <c r="ZK65" s="6">
        <f>VLOOKUP(ZK$39, ELIOT!$G$3:$J$9, 4, FALSE)</f>
        <v>0</v>
      </c>
      <c r="ZL65" s="6">
        <f>VLOOKUP(ZL$39, ELIOT!$G$3:$J$9, 4, FALSE)</f>
        <v>0</v>
      </c>
      <c r="ZM65" s="6">
        <f>VLOOKUP(ZM$39, ELIOT!$G$3:$J$9, 4, FALSE)</f>
        <v>0</v>
      </c>
      <c r="ZN65" s="6">
        <f>VLOOKUP(ZN$39, ELIOT!$G$3:$J$9, 4, FALSE)</f>
        <v>0</v>
      </c>
      <c r="ZO65" s="6">
        <f>VLOOKUP(ZO$39, ELIOT!$G$3:$J$9, 4, FALSE)</f>
        <v>0</v>
      </c>
      <c r="ZP65" s="6">
        <f>VLOOKUP(ZP$39, ELIOT!$G$3:$J$9, 4, FALSE)</f>
        <v>0</v>
      </c>
      <c r="ZQ65" s="6">
        <f>VLOOKUP(ZQ$39, ELIOT!$G$3:$J$9, 4, FALSE)</f>
        <v>0</v>
      </c>
      <c r="ZR65" s="6">
        <f>VLOOKUP(ZR$39, ELIOT!$G$3:$J$9, 4, FALSE)</f>
        <v>0</v>
      </c>
      <c r="ZS65" s="6">
        <f>VLOOKUP(ZS$39, ELIOT!$G$3:$J$9, 4, FALSE)</f>
        <v>0</v>
      </c>
      <c r="ZT65" s="6">
        <f>VLOOKUP(ZT$39, ELIOT!$G$3:$J$9, 4, FALSE)</f>
        <v>0</v>
      </c>
      <c r="ZU65" s="6">
        <f>VLOOKUP(ZU$39, ELIOT!$G$3:$J$9, 4, FALSE)</f>
        <v>0</v>
      </c>
      <c r="ZV65" s="6">
        <f>VLOOKUP(ZV$39, ELIOT!$G$3:$J$9, 4, FALSE)</f>
        <v>0</v>
      </c>
      <c r="ZW65" s="6">
        <f>VLOOKUP(ZW$39, ELIOT!$G$3:$J$9, 4, FALSE)</f>
        <v>0</v>
      </c>
      <c r="ZX65" s="6">
        <f>VLOOKUP(ZX$39, ELIOT!$G$3:$J$9, 4, FALSE)</f>
        <v>0</v>
      </c>
      <c r="ZY65" s="6">
        <f>VLOOKUP(ZY$39, ELIOT!$G$3:$J$9, 4, FALSE)</f>
        <v>0</v>
      </c>
      <c r="ZZ65" s="6">
        <f>VLOOKUP(ZZ$39, ELIOT!$G$3:$J$9, 4, FALSE)</f>
        <v>0</v>
      </c>
      <c r="AAA65" s="6">
        <f>VLOOKUP(AAA$39, ELIOT!$G$3:$J$9, 4, FALSE)</f>
        <v>0</v>
      </c>
      <c r="AAB65" s="6">
        <f>VLOOKUP(AAB$39, ELIOT!$G$3:$J$9, 4, FALSE)</f>
        <v>0</v>
      </c>
      <c r="AAC65" s="6">
        <f>VLOOKUP(AAC$39, ELIOT!$G$3:$J$9, 4, FALSE)</f>
        <v>0</v>
      </c>
      <c r="AAD65" s="6">
        <f>VLOOKUP(AAD$39, ELIOT!$G$3:$J$9, 4, FALSE)</f>
        <v>0</v>
      </c>
      <c r="AAE65" s="6">
        <f>VLOOKUP(AAE$39, ELIOT!$G$3:$J$9, 4, FALSE)</f>
        <v>0</v>
      </c>
      <c r="AAF65" s="6">
        <f>VLOOKUP(AAF$39, ELIOT!$G$3:$J$9, 4, FALSE)</f>
        <v>0</v>
      </c>
      <c r="AAG65" s="6">
        <f>VLOOKUP(AAG$39, ELIOT!$G$3:$J$9, 4, FALSE)</f>
        <v>0</v>
      </c>
      <c r="AAH65" s="6">
        <f>VLOOKUP(AAH$39, ELIOT!$G$3:$J$9, 4, FALSE)</f>
        <v>0</v>
      </c>
      <c r="AAI65" s="6">
        <f>VLOOKUP(AAI$39, ELIOT!$G$3:$J$9, 4, FALSE)</f>
        <v>0</v>
      </c>
      <c r="AAJ65" s="6">
        <f>VLOOKUP(AAJ$39, ELIOT!$G$3:$J$9, 4, FALSE)</f>
        <v>0</v>
      </c>
      <c r="AAK65" s="6">
        <f>VLOOKUP(AAK$39, ELIOT!$G$3:$J$9, 4, FALSE)</f>
        <v>0</v>
      </c>
      <c r="AAL65" s="6">
        <f>VLOOKUP(AAL$39, ELIOT!$G$3:$J$9, 4, FALSE)</f>
        <v>0</v>
      </c>
      <c r="AAM65" s="6">
        <f>VLOOKUP(AAM$39, ELIOT!$G$3:$J$9, 4, FALSE)</f>
        <v>0</v>
      </c>
      <c r="AAN65" s="6">
        <f>VLOOKUP(AAN$39, ELIOT!$G$3:$J$9, 4, FALSE)</f>
        <v>0</v>
      </c>
      <c r="AAO65" s="6">
        <f>VLOOKUP(AAO$39, ELIOT!$G$3:$J$9, 4, FALSE)</f>
        <v>0</v>
      </c>
      <c r="AAP65" s="6">
        <f>VLOOKUP(AAP$39, ELIOT!$G$3:$J$9, 4, FALSE)</f>
        <v>0</v>
      </c>
      <c r="AAQ65" s="6">
        <f>VLOOKUP(AAQ$39, ELIOT!$G$3:$J$9, 4, FALSE)</f>
        <v>0</v>
      </c>
      <c r="AAR65" s="6">
        <f>VLOOKUP(AAR$39, ELIOT!$G$3:$J$9, 4, FALSE)</f>
        <v>0</v>
      </c>
      <c r="AAS65" s="6">
        <f>VLOOKUP(AAS$39, ELIOT!$G$3:$J$9, 4, FALSE)</f>
        <v>0</v>
      </c>
      <c r="AAT65" s="6">
        <f>VLOOKUP(AAT$39, ELIOT!$G$3:$J$9, 4, FALSE)</f>
        <v>0</v>
      </c>
      <c r="AAU65" s="6">
        <f>VLOOKUP(AAU$39, ELIOT!$G$3:$J$9, 4, FALSE)</f>
        <v>0</v>
      </c>
      <c r="AAV65" s="6">
        <f>VLOOKUP(AAV$39, ELIOT!$G$3:$J$9, 4, FALSE)</f>
        <v>0</v>
      </c>
      <c r="AAW65" s="6">
        <f>VLOOKUP(AAW$39, ELIOT!$G$3:$J$9, 4, FALSE)</f>
        <v>0</v>
      </c>
      <c r="AAX65" s="6">
        <f>VLOOKUP(AAX$39, ELIOT!$G$3:$J$9, 4, FALSE)</f>
        <v>0</v>
      </c>
      <c r="AAY65" s="6">
        <f>VLOOKUP(AAY$39, ELIOT!$G$3:$J$9, 4, FALSE)</f>
        <v>0</v>
      </c>
      <c r="AAZ65" s="6">
        <f>VLOOKUP(AAZ$39, ELIOT!$G$3:$J$9, 4, FALSE)</f>
        <v>0</v>
      </c>
      <c r="ABA65" s="6">
        <f>VLOOKUP(ABA$39, ELIOT!$G$3:$J$9, 4, FALSE)</f>
        <v>0</v>
      </c>
      <c r="ABB65" s="6">
        <f>VLOOKUP(ABB$39, ELIOT!$G$3:$J$9, 4, FALSE)</f>
        <v>0</v>
      </c>
      <c r="ABC65" s="6">
        <f>VLOOKUP(ABC$39, ELIOT!$G$3:$J$9, 4, FALSE)</f>
        <v>0</v>
      </c>
      <c r="ABD65" s="6">
        <f>VLOOKUP(ABD$39, ELIOT!$G$3:$J$9, 4, FALSE)</f>
        <v>0</v>
      </c>
      <c r="ABE65" s="6">
        <f>VLOOKUP(ABE$39, ELIOT!$G$3:$J$9, 4, FALSE)</f>
        <v>0</v>
      </c>
      <c r="ABF65" s="6">
        <f>VLOOKUP(ABF$39, ELIOT!$G$3:$J$9, 4, FALSE)</f>
        <v>0</v>
      </c>
      <c r="ABG65" s="6">
        <f>VLOOKUP(ABG$39, ELIOT!$G$3:$J$9, 4, FALSE)</f>
        <v>0</v>
      </c>
      <c r="ABH65" s="6">
        <f>VLOOKUP(ABH$39, ELIOT!$G$3:$J$9, 4, FALSE)</f>
        <v>0</v>
      </c>
      <c r="ABI65" s="6">
        <f>VLOOKUP(ABI$39, ELIOT!$G$3:$J$9, 4, FALSE)</f>
        <v>0</v>
      </c>
      <c r="ABJ65" s="6">
        <f>VLOOKUP(ABJ$39, ELIOT!$G$3:$J$9, 4, FALSE)</f>
        <v>0</v>
      </c>
      <c r="ABK65" s="6">
        <f>VLOOKUP(ABK$39, ELIOT!$G$3:$J$9, 4, FALSE)</f>
        <v>0</v>
      </c>
      <c r="ABL65" s="6">
        <f>VLOOKUP(ABL$39, ELIOT!$G$3:$J$9, 4, FALSE)</f>
        <v>0</v>
      </c>
      <c r="ABM65" s="6">
        <f>VLOOKUP(ABM$39, ELIOT!$G$3:$J$9, 4, FALSE)</f>
        <v>0</v>
      </c>
      <c r="ABN65" s="6">
        <f>VLOOKUP(ABN$39, ELIOT!$G$3:$J$9, 4, FALSE)</f>
        <v>0</v>
      </c>
      <c r="ABO65" s="6">
        <f>VLOOKUP(ABO$39, ELIOT!$G$3:$J$9, 4, FALSE)</f>
        <v>0</v>
      </c>
      <c r="ABP65" s="6">
        <f>VLOOKUP(ABP$39, ELIOT!$G$3:$J$9, 4, FALSE)</f>
        <v>0</v>
      </c>
      <c r="ABQ65" s="6">
        <f>VLOOKUP(ABQ$39, ELIOT!$G$3:$J$9, 4, FALSE)</f>
        <v>0</v>
      </c>
      <c r="ABR65" s="6">
        <f>VLOOKUP(ABR$39, ELIOT!$G$3:$J$9, 4, FALSE)</f>
        <v>0</v>
      </c>
      <c r="ABS65" s="6">
        <f>VLOOKUP(ABS$39, ELIOT!$G$3:$J$9, 4, FALSE)</f>
        <v>0</v>
      </c>
      <c r="ABT65" s="6">
        <f>VLOOKUP(ABT$39, ELIOT!$G$3:$J$9, 4, FALSE)</f>
        <v>0</v>
      </c>
      <c r="ABU65" s="6">
        <f>VLOOKUP(ABU$39, ELIOT!$G$3:$J$9, 4, FALSE)</f>
        <v>0</v>
      </c>
      <c r="ABV65" s="6">
        <f>VLOOKUP(ABV$39, ELIOT!$G$3:$J$9, 4, FALSE)</f>
        <v>0</v>
      </c>
      <c r="ABW65" s="6">
        <f>VLOOKUP(ABW$39, ELIOT!$G$3:$J$9, 4, FALSE)</f>
        <v>0</v>
      </c>
      <c r="ABX65" s="6">
        <f>VLOOKUP(ABX$39, ELIOT!$G$3:$J$9, 4, FALSE)</f>
        <v>0</v>
      </c>
      <c r="ABY65" s="6">
        <f>VLOOKUP(ABY$39, ELIOT!$G$3:$J$9, 4, FALSE)</f>
        <v>0</v>
      </c>
      <c r="ABZ65" s="6">
        <f>VLOOKUP(ABZ$39, ELIOT!$G$3:$J$9, 4, FALSE)</f>
        <v>0</v>
      </c>
      <c r="ACA65" s="6">
        <f>VLOOKUP(ACA$39, ELIOT!$G$3:$J$9, 4, FALSE)</f>
        <v>0</v>
      </c>
      <c r="ACB65" s="6">
        <f>VLOOKUP(ACB$39, ELIOT!$G$3:$J$9, 4, FALSE)</f>
        <v>0</v>
      </c>
      <c r="ACC65" s="6">
        <f>VLOOKUP(ACC$39, ELIOT!$G$3:$J$9, 4, FALSE)</f>
        <v>0</v>
      </c>
      <c r="ACD65" s="6">
        <f>VLOOKUP(ACD$39, ELIOT!$G$3:$J$9, 4, FALSE)</f>
        <v>0</v>
      </c>
      <c r="ACE65" s="6">
        <f>VLOOKUP(ACE$39, ELIOT!$G$3:$J$9, 4, FALSE)</f>
        <v>0</v>
      </c>
      <c r="ACF65" s="6">
        <f>VLOOKUP(ACF$39, ELIOT!$G$3:$J$9, 4, FALSE)</f>
        <v>0</v>
      </c>
      <c r="ACG65" s="6">
        <f>VLOOKUP(ACG$39, ELIOT!$G$3:$J$9, 4, FALSE)</f>
        <v>0</v>
      </c>
      <c r="ACH65" s="6">
        <f>VLOOKUP(ACH$39, ELIOT!$G$3:$J$9, 4, FALSE)</f>
        <v>0</v>
      </c>
      <c r="ACI65" s="6">
        <f>VLOOKUP(ACI$39, ELIOT!$G$3:$J$9, 4, FALSE)</f>
        <v>0</v>
      </c>
      <c r="ACJ65" s="6">
        <f>VLOOKUP(ACJ$39, ELIOT!$G$3:$J$9, 4, FALSE)</f>
        <v>0</v>
      </c>
      <c r="ACK65" s="6">
        <f>VLOOKUP(ACK$39, ELIOT!$G$3:$J$9, 4, FALSE)</f>
        <v>0</v>
      </c>
      <c r="ACL65" s="6">
        <f>VLOOKUP(ACL$39, ELIOT!$G$3:$J$9, 4, FALSE)</f>
        <v>0</v>
      </c>
      <c r="ACM65" s="6">
        <f>VLOOKUP(ACM$39, ELIOT!$G$3:$J$9, 4, FALSE)</f>
        <v>0</v>
      </c>
      <c r="ACN65" s="6">
        <f>VLOOKUP(ACN$39, ELIOT!$G$3:$J$9, 4, FALSE)</f>
        <v>0</v>
      </c>
      <c r="ACO65" s="6">
        <f>VLOOKUP(ACO$39, ELIOT!$G$3:$J$9, 4, FALSE)</f>
        <v>0</v>
      </c>
      <c r="ACP65" s="6">
        <f>VLOOKUP(ACP$39, ELIOT!$G$3:$J$9, 4, FALSE)</f>
        <v>0</v>
      </c>
      <c r="ACQ65" s="6">
        <f>VLOOKUP(ACQ$39, ELIOT!$G$3:$J$9, 4, FALSE)</f>
        <v>0</v>
      </c>
      <c r="ACR65" s="6">
        <f>VLOOKUP(ACR$39, ELIOT!$G$3:$J$9, 4, FALSE)</f>
        <v>0</v>
      </c>
      <c r="ACS65" s="6">
        <f>VLOOKUP(ACS$39, ELIOT!$G$3:$J$9, 4, FALSE)</f>
        <v>0</v>
      </c>
      <c r="ACT65" s="6">
        <f>VLOOKUP(ACT$39, ELIOT!$G$3:$J$9, 4, FALSE)</f>
        <v>0</v>
      </c>
      <c r="ACU65" s="6">
        <f>VLOOKUP(ACU$39, ELIOT!$G$3:$J$9, 4, FALSE)</f>
        <v>0</v>
      </c>
      <c r="ACV65" s="6">
        <f>VLOOKUP(ACV$39, ELIOT!$G$3:$J$9, 4, FALSE)</f>
        <v>0</v>
      </c>
      <c r="ACW65" s="6">
        <f>VLOOKUP(ACW$39, ELIOT!$G$3:$J$9, 4, FALSE)</f>
        <v>0</v>
      </c>
      <c r="ACX65" s="6">
        <f>VLOOKUP(ACX$39, ELIOT!$G$3:$J$9, 4, FALSE)</f>
        <v>0</v>
      </c>
      <c r="ACY65" s="6">
        <f>VLOOKUP(ACY$39, ELIOT!$G$3:$J$9, 4, FALSE)</f>
        <v>0</v>
      </c>
      <c r="ACZ65" s="6">
        <f>VLOOKUP(ACZ$39, ELIOT!$G$3:$J$9, 4, FALSE)</f>
        <v>0</v>
      </c>
      <c r="ADA65" s="6">
        <f>VLOOKUP(ADA$39, ELIOT!$G$3:$J$9, 4, FALSE)</f>
        <v>0</v>
      </c>
      <c r="ADB65" s="6">
        <f>VLOOKUP(ADB$39, ELIOT!$G$3:$J$9, 4, FALSE)</f>
        <v>0</v>
      </c>
      <c r="ADC65" s="6">
        <f>VLOOKUP(ADC$39, ELIOT!$G$3:$J$9, 4, FALSE)</f>
        <v>0</v>
      </c>
      <c r="ADD65" s="6">
        <f>VLOOKUP(ADD$39, ELIOT!$G$3:$J$9, 4, FALSE)</f>
        <v>0</v>
      </c>
      <c r="ADE65" s="6">
        <f>VLOOKUP(ADE$39, ELIOT!$G$3:$J$9, 4, FALSE)</f>
        <v>0</v>
      </c>
      <c r="ADF65" s="6">
        <f>VLOOKUP(ADF$39, ELIOT!$G$3:$J$9, 4, FALSE)</f>
        <v>0</v>
      </c>
      <c r="ADG65" s="6">
        <f>VLOOKUP(ADG$39, ELIOT!$G$3:$J$9, 4, FALSE)</f>
        <v>0</v>
      </c>
      <c r="ADH65" s="6">
        <f>VLOOKUP(ADH$39, ELIOT!$G$3:$J$9, 4, FALSE)</f>
        <v>0</v>
      </c>
      <c r="ADI65" s="6">
        <f>VLOOKUP(ADI$39, ELIOT!$G$3:$J$9, 4, FALSE)</f>
        <v>0</v>
      </c>
      <c r="ADJ65" s="6">
        <f>VLOOKUP(ADJ$39, ELIOT!$G$3:$J$9, 4, FALSE)</f>
        <v>0</v>
      </c>
      <c r="ADK65" s="6">
        <f>VLOOKUP(ADK$39, ELIOT!$G$3:$J$9, 4, FALSE)</f>
        <v>0</v>
      </c>
      <c r="ADL65" s="6">
        <f>VLOOKUP(ADL$39, ELIOT!$G$3:$J$9, 4, FALSE)</f>
        <v>0</v>
      </c>
      <c r="ADM65" s="6">
        <f>VLOOKUP(ADM$39, ELIOT!$G$3:$J$9, 4, FALSE)</f>
        <v>0</v>
      </c>
      <c r="ADN65" s="6">
        <f>VLOOKUP(ADN$39, ELIOT!$G$3:$J$9, 4, FALSE)</f>
        <v>0</v>
      </c>
      <c r="ADO65" s="6">
        <f>VLOOKUP(ADO$39, ELIOT!$G$3:$J$9, 4, FALSE)</f>
        <v>0</v>
      </c>
      <c r="ADP65" s="6">
        <f>VLOOKUP(ADP$39, ELIOT!$G$3:$J$9, 4, FALSE)</f>
        <v>0</v>
      </c>
      <c r="ADQ65" s="6">
        <f>VLOOKUP(ADQ$39, ELIOT!$G$3:$J$9, 4, FALSE)</f>
        <v>0</v>
      </c>
      <c r="ADR65" s="6">
        <f>VLOOKUP(ADR$39, ELIOT!$G$3:$J$9, 4, FALSE)</f>
        <v>0</v>
      </c>
      <c r="ADS65" s="6">
        <f>VLOOKUP(ADS$39, ELIOT!$G$3:$J$9, 4, FALSE)</f>
        <v>0</v>
      </c>
      <c r="ADT65" s="6">
        <f>VLOOKUP(ADT$39, ELIOT!$G$3:$J$9, 4, FALSE)</f>
        <v>0</v>
      </c>
      <c r="ADU65" s="6">
        <f>VLOOKUP(ADU$39, ELIOT!$G$3:$J$9, 4, FALSE)</f>
        <v>0</v>
      </c>
      <c r="ADV65" s="6">
        <f>VLOOKUP(ADV$39, ELIOT!$G$3:$J$9, 4, FALSE)</f>
        <v>0</v>
      </c>
      <c r="ADW65" s="6">
        <f>VLOOKUP(ADW$39, ELIOT!$G$3:$J$9, 4, FALSE)</f>
        <v>0</v>
      </c>
      <c r="ADX65" s="6">
        <f>VLOOKUP(ADX$39, ELIOT!$G$3:$J$9, 4, FALSE)</f>
        <v>0</v>
      </c>
      <c r="ADY65" s="6">
        <f>VLOOKUP(ADY$39, ELIOT!$G$3:$J$9, 4, FALSE)</f>
        <v>0</v>
      </c>
      <c r="ADZ65" s="6">
        <f>VLOOKUP(ADZ$39, ELIOT!$G$3:$J$9, 4, FALSE)</f>
        <v>0</v>
      </c>
      <c r="AEA65" s="6">
        <f>VLOOKUP(AEA$39, ELIOT!$G$3:$J$9, 4, FALSE)</f>
        <v>0</v>
      </c>
      <c r="AEB65" s="6">
        <f>VLOOKUP(AEB$39, ELIOT!$G$3:$J$9, 4, FALSE)</f>
        <v>0</v>
      </c>
      <c r="AEC65" s="6">
        <f>VLOOKUP(AEC$39, ELIOT!$G$3:$J$9, 4, FALSE)</f>
        <v>0</v>
      </c>
      <c r="AED65" s="6">
        <f>VLOOKUP(AED$39, ELIOT!$G$3:$J$9, 4, FALSE)</f>
        <v>0</v>
      </c>
      <c r="AEE65" s="6">
        <f>VLOOKUP(AEE$39, ELIOT!$G$3:$J$9, 4, FALSE)</f>
        <v>0</v>
      </c>
      <c r="AEF65" s="6">
        <f>VLOOKUP(AEF$39, ELIOT!$G$3:$J$9, 4, FALSE)</f>
        <v>0</v>
      </c>
      <c r="AEG65" s="6">
        <f>VLOOKUP(AEG$39, ELIOT!$G$3:$J$9, 4, FALSE)</f>
        <v>0</v>
      </c>
      <c r="AEH65" s="6">
        <f>VLOOKUP(AEH$39, ELIOT!$G$3:$J$9, 4, FALSE)</f>
        <v>0</v>
      </c>
      <c r="AEI65" s="6">
        <f>VLOOKUP(AEI$39, ELIOT!$G$3:$J$9, 4, FALSE)</f>
        <v>0</v>
      </c>
      <c r="AEJ65" s="6">
        <f>VLOOKUP(AEJ$39, ELIOT!$G$3:$J$9, 4, FALSE)</f>
        <v>0</v>
      </c>
      <c r="AEK65" s="6">
        <f>VLOOKUP(AEK$39, ELIOT!$G$3:$J$9, 4, FALSE)</f>
        <v>0</v>
      </c>
      <c r="AEL65" s="6">
        <f>VLOOKUP(AEL$39, ELIOT!$G$3:$J$9, 4, FALSE)</f>
        <v>0</v>
      </c>
      <c r="AEM65" s="6">
        <f>VLOOKUP(AEM$39, ELIOT!$G$3:$J$9, 4, FALSE)</f>
        <v>0</v>
      </c>
      <c r="AEN65" s="6">
        <f>VLOOKUP(AEN$39, ELIOT!$G$3:$J$9, 4, FALSE)</f>
        <v>0</v>
      </c>
      <c r="AEO65" s="6">
        <f>VLOOKUP(AEO$39, ELIOT!$G$3:$J$9, 4, FALSE)</f>
        <v>0</v>
      </c>
      <c r="AEP65" s="6">
        <f>VLOOKUP(AEP$39, ELIOT!$G$3:$J$9, 4, FALSE)</f>
        <v>0</v>
      </c>
      <c r="AEQ65" s="6">
        <f>VLOOKUP(AEQ$39, ELIOT!$G$3:$J$9, 4, FALSE)</f>
        <v>0</v>
      </c>
      <c r="AER65" s="6">
        <f>VLOOKUP(AER$39, ELIOT!$G$3:$J$9, 4, FALSE)</f>
        <v>0</v>
      </c>
      <c r="AES65" s="6">
        <f>VLOOKUP(AES$39, ELIOT!$G$3:$J$9, 4, FALSE)</f>
        <v>0</v>
      </c>
      <c r="AET65" s="6">
        <f>VLOOKUP(AET$39, ELIOT!$G$3:$J$9, 4, FALSE)</f>
        <v>0</v>
      </c>
      <c r="AEU65" s="6">
        <f>VLOOKUP(AEU$39, ELIOT!$G$3:$J$9, 4, FALSE)</f>
        <v>0</v>
      </c>
      <c r="AEV65" s="6">
        <f>VLOOKUP(AEV$39, ELIOT!$G$3:$J$9, 4, FALSE)</f>
        <v>0</v>
      </c>
      <c r="AEW65" s="6">
        <f>VLOOKUP(AEW$39, ELIOT!$G$3:$J$9, 4, FALSE)</f>
        <v>0</v>
      </c>
      <c r="AEX65" s="6">
        <f>VLOOKUP(AEX$39, ELIOT!$G$3:$J$9, 4, FALSE)</f>
        <v>0</v>
      </c>
      <c r="AEY65" s="6">
        <f>VLOOKUP(AEY$39, ELIOT!$G$3:$J$9, 4, FALSE)</f>
        <v>0</v>
      </c>
      <c r="AEZ65" s="6">
        <f>VLOOKUP(AEZ$39, ELIOT!$G$3:$J$9, 4, FALSE)</f>
        <v>0</v>
      </c>
      <c r="AFA65" s="6">
        <f>VLOOKUP(AFA$39, ELIOT!$G$3:$J$9, 4, FALSE)</f>
        <v>0</v>
      </c>
      <c r="AFB65" s="6">
        <f>VLOOKUP(AFB$39, ELIOT!$G$3:$J$9, 4, FALSE)</f>
        <v>0</v>
      </c>
      <c r="AFC65" s="6">
        <f>VLOOKUP(AFC$39, ELIOT!$G$3:$J$9, 4, FALSE)</f>
        <v>0</v>
      </c>
      <c r="AFD65" s="6">
        <f>VLOOKUP(AFD$39, ELIOT!$G$3:$J$9, 4, FALSE)</f>
        <v>0</v>
      </c>
      <c r="AFE65" s="6">
        <f>VLOOKUP(AFE$39, ELIOT!$G$3:$J$9, 4, FALSE)</f>
        <v>0</v>
      </c>
      <c r="AFF65" s="6">
        <f>VLOOKUP(AFF$39, ELIOT!$G$3:$J$9, 4, FALSE)</f>
        <v>0</v>
      </c>
      <c r="AFG65" s="6">
        <f>VLOOKUP(AFG$39, ELIOT!$G$3:$J$9, 4, FALSE)</f>
        <v>0</v>
      </c>
      <c r="AFH65" s="6">
        <f>VLOOKUP(AFH$39, ELIOT!$G$3:$J$9, 4, FALSE)</f>
        <v>0</v>
      </c>
      <c r="AFI65" s="6">
        <f>VLOOKUP(AFI$39, ELIOT!$G$3:$J$9, 4, FALSE)</f>
        <v>0</v>
      </c>
      <c r="AFJ65" s="6">
        <f>VLOOKUP(AFJ$39, ELIOT!$G$3:$J$9, 4, FALSE)</f>
        <v>0</v>
      </c>
      <c r="AFK65" s="6">
        <f>VLOOKUP(AFK$39, ELIOT!$G$3:$J$9, 4, FALSE)</f>
        <v>0</v>
      </c>
      <c r="AFL65" s="6">
        <f>VLOOKUP(AFL$39, ELIOT!$G$3:$J$9, 4, FALSE)</f>
        <v>0</v>
      </c>
      <c r="AFM65" s="6">
        <f>VLOOKUP(AFM$39, ELIOT!$G$3:$J$9, 4, FALSE)</f>
        <v>0</v>
      </c>
      <c r="AFN65" s="6">
        <f>VLOOKUP(AFN$39, ELIOT!$G$3:$J$9, 4, FALSE)</f>
        <v>0</v>
      </c>
      <c r="AFO65" s="6">
        <f>VLOOKUP(AFO$39, ELIOT!$G$3:$J$9, 4, FALSE)</f>
        <v>0</v>
      </c>
      <c r="AFP65" s="6">
        <f>VLOOKUP(AFP$39, ELIOT!$G$3:$J$9, 4, FALSE)</f>
        <v>0</v>
      </c>
      <c r="AFQ65" s="6">
        <f>VLOOKUP(AFQ$39, ELIOT!$G$3:$J$9, 4, FALSE)</f>
        <v>0</v>
      </c>
      <c r="AFR65" s="6">
        <f>VLOOKUP(AFR$39, ELIOT!$G$3:$J$9, 4, FALSE)</f>
        <v>0</v>
      </c>
      <c r="AFS65" s="6">
        <f>VLOOKUP(AFS$39, ELIOT!$G$3:$J$9, 4, FALSE)</f>
        <v>0</v>
      </c>
      <c r="AFT65" s="6">
        <f>VLOOKUP(AFT$39, ELIOT!$G$3:$J$9, 4, FALSE)</f>
        <v>0</v>
      </c>
      <c r="AFU65" s="6">
        <f>VLOOKUP(AFU$39, ELIOT!$G$3:$J$9, 4, FALSE)</f>
        <v>0</v>
      </c>
      <c r="AFV65" s="6">
        <f>VLOOKUP(AFV$39, ELIOT!$G$3:$J$9, 4, FALSE)</f>
        <v>0</v>
      </c>
      <c r="AFW65" s="6">
        <f>VLOOKUP(AFW$39, ELIOT!$G$3:$J$9, 4, FALSE)</f>
        <v>0</v>
      </c>
      <c r="AFX65" s="6">
        <f>VLOOKUP(AFX$39, ELIOT!$G$3:$J$9, 4, FALSE)</f>
        <v>0</v>
      </c>
      <c r="AFY65" s="6">
        <f>VLOOKUP(AFY$39, ELIOT!$G$3:$J$9, 4, FALSE)</f>
        <v>0</v>
      </c>
      <c r="AFZ65" s="6">
        <f>VLOOKUP(AFZ$39, ELIOT!$G$3:$J$9, 4, FALSE)</f>
        <v>0</v>
      </c>
      <c r="AGA65" s="6">
        <f>VLOOKUP(AGA$39, ELIOT!$G$3:$J$9, 4, FALSE)</f>
        <v>0</v>
      </c>
      <c r="AGB65" s="6">
        <f>VLOOKUP(AGB$39, ELIOT!$G$3:$J$9, 4, FALSE)</f>
        <v>0</v>
      </c>
      <c r="AGC65" s="6">
        <f>VLOOKUP(AGC$39, ELIOT!$G$3:$J$9, 4, FALSE)</f>
        <v>0</v>
      </c>
      <c r="AGD65" s="6">
        <f>VLOOKUP(AGD$39, ELIOT!$G$3:$J$9, 4, FALSE)</f>
        <v>0</v>
      </c>
      <c r="AGE65" s="6">
        <f>VLOOKUP(AGE$39, ELIOT!$G$3:$J$9, 4, FALSE)</f>
        <v>0</v>
      </c>
      <c r="AGF65" s="6">
        <f>VLOOKUP(AGF$39, ELIOT!$G$3:$J$9, 4, FALSE)</f>
        <v>0</v>
      </c>
      <c r="AGG65" s="6">
        <f>VLOOKUP(AGG$39, ELIOT!$G$3:$J$9, 4, FALSE)</f>
        <v>0</v>
      </c>
      <c r="AGH65" s="6">
        <f>VLOOKUP(AGH$39, ELIOT!$G$3:$J$9, 4, FALSE)</f>
        <v>0</v>
      </c>
      <c r="AGI65" s="6">
        <f>VLOOKUP(AGI$39, ELIOT!$G$3:$J$9, 4, FALSE)</f>
        <v>0</v>
      </c>
      <c r="AGJ65" s="6">
        <f>VLOOKUP(AGJ$39, ELIOT!$G$3:$J$9, 4, FALSE)</f>
        <v>0</v>
      </c>
      <c r="AGK65" s="6">
        <f>VLOOKUP(AGK$39, ELIOT!$G$3:$J$9, 4, FALSE)</f>
        <v>0</v>
      </c>
      <c r="AGL65" s="6">
        <f>VLOOKUP(AGL$39, ELIOT!$G$3:$J$9, 4, FALSE)</f>
        <v>0</v>
      </c>
      <c r="AGM65" s="6">
        <f>VLOOKUP(AGM$39, ELIOT!$G$3:$J$9, 4, FALSE)</f>
        <v>0</v>
      </c>
      <c r="AGN65" s="6">
        <f>VLOOKUP(AGN$39, ELIOT!$G$3:$J$9, 4, FALSE)</f>
        <v>0</v>
      </c>
      <c r="AGO65" s="6">
        <f>VLOOKUP(AGO$39, ELIOT!$G$3:$J$9, 4, FALSE)</f>
        <v>0</v>
      </c>
      <c r="AGP65" s="6">
        <f>VLOOKUP(AGP$39, ELIOT!$G$3:$J$9, 4, FALSE)</f>
        <v>0</v>
      </c>
      <c r="AGQ65" s="6">
        <f>VLOOKUP(AGQ$39, ELIOT!$G$3:$J$9, 4, FALSE)</f>
        <v>0</v>
      </c>
      <c r="AGR65" s="6">
        <f>VLOOKUP(AGR$39, ELIOT!$G$3:$J$9, 4, FALSE)</f>
        <v>0</v>
      </c>
      <c r="AGS65" s="6">
        <f>VLOOKUP(AGS$39, ELIOT!$G$3:$J$9, 4, FALSE)</f>
        <v>0</v>
      </c>
      <c r="AGT65" s="6">
        <f>VLOOKUP(AGT$39, ELIOT!$G$3:$J$9, 4, FALSE)</f>
        <v>0</v>
      </c>
      <c r="AGU65" s="6">
        <f>VLOOKUP(AGU$39, ELIOT!$G$3:$J$9, 4, FALSE)</f>
        <v>0</v>
      </c>
      <c r="AGV65" s="6">
        <f>VLOOKUP(AGV$39, ELIOT!$G$3:$J$9, 4, FALSE)</f>
        <v>0</v>
      </c>
      <c r="AGW65" s="6">
        <f>VLOOKUP(AGW$39, ELIOT!$G$3:$J$9, 4, FALSE)</f>
        <v>0</v>
      </c>
      <c r="AGX65" s="6">
        <f>VLOOKUP(AGX$39, ELIOT!$G$3:$J$9, 4, FALSE)</f>
        <v>0</v>
      </c>
      <c r="AGY65" s="6">
        <f>VLOOKUP(AGY$39, ELIOT!$G$3:$J$9, 4, FALSE)</f>
        <v>0</v>
      </c>
      <c r="AGZ65" s="6">
        <f>VLOOKUP(AGZ$39, ELIOT!$G$3:$J$9, 4, FALSE)</f>
        <v>0</v>
      </c>
      <c r="AHA65" s="6">
        <f>VLOOKUP(AHA$39, ELIOT!$G$3:$J$9, 4, FALSE)</f>
        <v>0</v>
      </c>
      <c r="AHB65" s="6">
        <f>VLOOKUP(AHB$39, ELIOT!$G$3:$J$9, 4, FALSE)</f>
        <v>0</v>
      </c>
      <c r="AHC65" s="6">
        <f>VLOOKUP(AHC$39, ELIOT!$G$3:$J$9, 4, FALSE)</f>
        <v>0</v>
      </c>
      <c r="AHD65" s="6">
        <f>VLOOKUP(AHD$39, ELIOT!$G$3:$J$9, 4, FALSE)</f>
        <v>0</v>
      </c>
      <c r="AHE65" s="6">
        <f>VLOOKUP(AHE$39, ELIOT!$G$3:$J$9, 4, FALSE)</f>
        <v>0</v>
      </c>
      <c r="AHF65" s="6">
        <f>VLOOKUP(AHF$39, ELIOT!$G$3:$J$9, 4, FALSE)</f>
        <v>0</v>
      </c>
      <c r="AHG65" s="6">
        <f>VLOOKUP(AHG$39, ELIOT!$G$3:$J$9, 4, FALSE)</f>
        <v>0</v>
      </c>
      <c r="AHH65" s="6">
        <f>VLOOKUP(AHH$39, ELIOT!$G$3:$J$9, 4, FALSE)</f>
        <v>0</v>
      </c>
      <c r="AHI65" s="6">
        <f>VLOOKUP(AHI$39, ELIOT!$G$3:$J$9, 4, FALSE)</f>
        <v>0</v>
      </c>
      <c r="AHJ65" s="6">
        <f>VLOOKUP(AHJ$39, ELIOT!$G$3:$J$9, 4, FALSE)</f>
        <v>0</v>
      </c>
      <c r="AHK65" s="6">
        <f>VLOOKUP(AHK$39, ELIOT!$G$3:$J$9, 4, FALSE)</f>
        <v>0</v>
      </c>
      <c r="AHL65" s="6">
        <f>VLOOKUP(AHL$39, ELIOT!$G$3:$J$9, 4, FALSE)</f>
        <v>0</v>
      </c>
      <c r="AHM65" s="6">
        <f>VLOOKUP(AHM$39, ELIOT!$G$3:$J$9, 4, FALSE)</f>
        <v>0</v>
      </c>
      <c r="AHN65" s="6">
        <f>VLOOKUP(AHN$39, ELIOT!$G$3:$J$9, 4, FALSE)</f>
        <v>0</v>
      </c>
      <c r="AHO65" s="6">
        <f>VLOOKUP(AHO$39, ELIOT!$G$3:$J$9, 4, FALSE)</f>
        <v>0</v>
      </c>
      <c r="AHP65" s="6">
        <f>VLOOKUP(AHP$39, ELIOT!$G$3:$J$9, 4, FALSE)</f>
        <v>0</v>
      </c>
      <c r="AHQ65" s="6">
        <f>VLOOKUP(AHQ$39, ELIOT!$G$3:$J$9, 4, FALSE)</f>
        <v>0</v>
      </c>
      <c r="AHR65" s="6">
        <f>VLOOKUP(AHR$39, ELIOT!$G$3:$J$9, 4, FALSE)</f>
        <v>0</v>
      </c>
      <c r="AHS65" s="6">
        <f>VLOOKUP(AHS$39, ELIOT!$G$3:$J$9, 4, FALSE)</f>
        <v>0</v>
      </c>
      <c r="AHT65" s="6">
        <f>VLOOKUP(AHT$39, ELIOT!$G$3:$J$9, 4, FALSE)</f>
        <v>0</v>
      </c>
      <c r="AHU65" s="6">
        <f>VLOOKUP(AHU$39, ELIOT!$G$3:$J$9, 4, FALSE)</f>
        <v>0</v>
      </c>
      <c r="AHV65" s="6">
        <f>VLOOKUP(AHV$39, ELIOT!$G$3:$J$9, 4, FALSE)</f>
        <v>0</v>
      </c>
      <c r="AHW65" s="6">
        <f>VLOOKUP(AHW$39, ELIOT!$G$3:$J$9, 4, FALSE)</f>
        <v>0</v>
      </c>
      <c r="AHX65" s="6">
        <f>VLOOKUP(AHX$39, ELIOT!$G$3:$J$9, 4, FALSE)</f>
        <v>0</v>
      </c>
      <c r="AHY65" s="6">
        <f>VLOOKUP(AHY$39, ELIOT!$G$3:$J$9, 4, FALSE)</f>
        <v>0</v>
      </c>
      <c r="AHZ65" s="6">
        <f>VLOOKUP(AHZ$39, ELIOT!$G$3:$J$9, 4, FALSE)</f>
        <v>0</v>
      </c>
      <c r="AIA65" s="6">
        <f>VLOOKUP(AIA$39, ELIOT!$G$3:$J$9, 4, FALSE)</f>
        <v>0</v>
      </c>
      <c r="AIB65" s="6">
        <f>VLOOKUP(AIB$39, ELIOT!$G$3:$J$9, 4, FALSE)</f>
        <v>0</v>
      </c>
      <c r="AIC65" s="6">
        <f>VLOOKUP(AIC$39, ELIOT!$G$3:$J$9, 4, FALSE)</f>
        <v>0</v>
      </c>
      <c r="AID65" s="6">
        <f>VLOOKUP(AID$39, ELIOT!$G$3:$J$9, 4, FALSE)</f>
        <v>0</v>
      </c>
      <c r="AIE65" s="6">
        <f>VLOOKUP(AIE$39, ELIOT!$G$3:$J$9, 4, FALSE)</f>
        <v>0</v>
      </c>
      <c r="AIF65" s="6">
        <f>VLOOKUP(AIF$39, ELIOT!$G$3:$J$9, 4, FALSE)</f>
        <v>0</v>
      </c>
      <c r="AIG65" s="6">
        <f>VLOOKUP(AIG$39, ELIOT!$G$3:$J$9, 4, FALSE)</f>
        <v>0</v>
      </c>
      <c r="AIH65" s="6">
        <f>VLOOKUP(AIH$39, ELIOT!$G$3:$J$9, 4, FALSE)</f>
        <v>0</v>
      </c>
      <c r="AII65" s="6">
        <f>VLOOKUP(AII$39, ELIOT!$G$3:$J$9, 4, FALSE)</f>
        <v>0</v>
      </c>
      <c r="AIJ65" s="6">
        <f>VLOOKUP(AIJ$39, ELIOT!$G$3:$J$9, 4, FALSE)</f>
        <v>0</v>
      </c>
      <c r="AIK65" s="6">
        <f>VLOOKUP(AIK$39, ELIOT!$G$3:$J$9, 4, FALSE)</f>
        <v>0</v>
      </c>
      <c r="AIL65" s="6">
        <f>VLOOKUP(AIL$39, ELIOT!$G$3:$J$9, 4, FALSE)</f>
        <v>0</v>
      </c>
      <c r="AIM65" s="6">
        <f>VLOOKUP(AIM$39, ELIOT!$G$3:$J$9, 4, FALSE)</f>
        <v>0</v>
      </c>
      <c r="AIN65" s="6">
        <f>VLOOKUP(AIN$39, ELIOT!$G$3:$J$9, 4, FALSE)</f>
        <v>0</v>
      </c>
      <c r="AIO65" s="6">
        <f>VLOOKUP(AIO$39, ELIOT!$G$3:$J$9, 4, FALSE)</f>
        <v>0</v>
      </c>
      <c r="AIP65" s="6">
        <f>VLOOKUP(AIP$39, ELIOT!$G$3:$J$9, 4, FALSE)</f>
        <v>0</v>
      </c>
      <c r="AIQ65" s="6">
        <f>VLOOKUP(AIQ$39, ELIOT!$G$3:$J$9, 4, FALSE)</f>
        <v>0</v>
      </c>
      <c r="AIR65" s="6">
        <f>VLOOKUP(AIR$39, ELIOT!$G$3:$J$9, 4, FALSE)</f>
        <v>0</v>
      </c>
      <c r="AIS65" s="6">
        <f>VLOOKUP(AIS$39, ELIOT!$G$3:$J$9, 4, FALSE)</f>
        <v>0</v>
      </c>
      <c r="AIT65" s="6">
        <f>VLOOKUP(AIT$39, ELIOT!$G$3:$J$9, 4, FALSE)</f>
        <v>0</v>
      </c>
      <c r="AIU65" s="6">
        <f>VLOOKUP(AIU$39, ELIOT!$G$3:$J$9, 4, FALSE)</f>
        <v>0</v>
      </c>
      <c r="AIV65" s="6">
        <f>VLOOKUP(AIV$39, ELIOT!$G$3:$J$9, 4, FALSE)</f>
        <v>0</v>
      </c>
      <c r="AIW65" s="6">
        <f>VLOOKUP(AIW$39, ELIOT!$G$3:$J$9, 4, FALSE)</f>
        <v>0</v>
      </c>
      <c r="AIX65" s="6">
        <f>VLOOKUP(AIX$39, ELIOT!$G$3:$J$9, 4, FALSE)</f>
        <v>0</v>
      </c>
      <c r="AIY65" s="6">
        <f>VLOOKUP(AIY$39, ELIOT!$G$3:$J$9, 4, FALSE)</f>
        <v>0</v>
      </c>
      <c r="AIZ65" s="6">
        <f>VLOOKUP(AIZ$39, ELIOT!$G$3:$J$9, 4, FALSE)</f>
        <v>0</v>
      </c>
      <c r="AJA65" s="6">
        <f>VLOOKUP(AJA$39, ELIOT!$G$3:$J$9, 4, FALSE)</f>
        <v>0</v>
      </c>
      <c r="AJB65" s="6">
        <f>VLOOKUP(AJB$39, ELIOT!$G$3:$J$9, 4, FALSE)</f>
        <v>0</v>
      </c>
      <c r="AJC65" s="6">
        <f>VLOOKUP(AJC$39, ELIOT!$G$3:$J$9, 4, FALSE)</f>
        <v>0</v>
      </c>
      <c r="AJD65" s="6">
        <f>VLOOKUP(AJD$39, ELIOT!$G$3:$J$9, 4, FALSE)</f>
        <v>0</v>
      </c>
      <c r="AJE65" s="6">
        <f>VLOOKUP(AJE$39, ELIOT!$G$3:$J$9, 4, FALSE)</f>
        <v>0</v>
      </c>
      <c r="AJF65" s="6">
        <f>VLOOKUP(AJF$39, ELIOT!$G$3:$J$9, 4, FALSE)</f>
        <v>0</v>
      </c>
      <c r="AJG65" s="6">
        <f>VLOOKUP(AJG$39, ELIOT!$G$3:$J$9, 4, FALSE)</f>
        <v>0</v>
      </c>
      <c r="AJH65" s="6">
        <f>VLOOKUP(AJH$39, ELIOT!$G$3:$J$9, 4, FALSE)</f>
        <v>0</v>
      </c>
      <c r="AJI65" s="6">
        <f>VLOOKUP(AJI$39, ELIOT!$G$3:$J$9, 4, FALSE)</f>
        <v>0</v>
      </c>
      <c r="AJJ65" s="6">
        <f>VLOOKUP(AJJ$39, ELIOT!$G$3:$J$9, 4, FALSE)</f>
        <v>0</v>
      </c>
      <c r="AJK65" s="6">
        <f>VLOOKUP(AJK$39, ELIOT!$G$3:$J$9, 4, FALSE)</f>
        <v>0</v>
      </c>
      <c r="AJL65" s="6">
        <f>VLOOKUP(AJL$39, ELIOT!$G$3:$J$9, 4, FALSE)</f>
        <v>0</v>
      </c>
      <c r="AJM65" s="6">
        <f>VLOOKUP(AJM$39, ELIOT!$G$3:$J$9, 4, FALSE)</f>
        <v>0</v>
      </c>
      <c r="AJN65" s="6">
        <f>VLOOKUP(AJN$39, ELIOT!$G$3:$J$9, 4, FALSE)</f>
        <v>0</v>
      </c>
      <c r="AJO65" s="6">
        <f>VLOOKUP(AJO$39, ELIOT!$G$3:$J$9, 4, FALSE)</f>
        <v>0</v>
      </c>
      <c r="AJP65" s="6">
        <f>VLOOKUP(AJP$39, ELIOT!$G$3:$J$9, 4, FALSE)</f>
        <v>0</v>
      </c>
      <c r="AJQ65" s="6">
        <f>VLOOKUP(AJQ$39, ELIOT!$G$3:$J$9, 4, FALSE)</f>
        <v>0</v>
      </c>
      <c r="AJR65" s="6">
        <f>VLOOKUP(AJR$39, ELIOT!$G$3:$J$9, 4, FALSE)</f>
        <v>0</v>
      </c>
      <c r="AJS65" s="6">
        <f>VLOOKUP(AJS$39, ELIOT!$G$3:$J$9, 4, FALSE)</f>
        <v>0</v>
      </c>
      <c r="AJT65" s="6">
        <f>VLOOKUP(AJT$39, ELIOT!$G$3:$J$9, 4, FALSE)</f>
        <v>0</v>
      </c>
      <c r="AJU65" s="6">
        <f>VLOOKUP(AJU$39, ELIOT!$G$3:$J$9, 4, FALSE)</f>
        <v>0</v>
      </c>
      <c r="AJV65" s="6">
        <f>VLOOKUP(AJV$39, ELIOT!$G$3:$J$9, 4, FALSE)</f>
        <v>0</v>
      </c>
      <c r="AJW65" s="6">
        <f>VLOOKUP(AJW$39, ELIOT!$G$3:$J$9, 4, FALSE)</f>
        <v>0</v>
      </c>
      <c r="AJX65" s="6">
        <f>VLOOKUP(AJX$39, ELIOT!$G$3:$J$9, 4, FALSE)</f>
        <v>0</v>
      </c>
      <c r="AJY65" s="6">
        <f>VLOOKUP(AJY$39, ELIOT!$G$3:$J$9, 4, FALSE)</f>
        <v>0</v>
      </c>
      <c r="AJZ65" s="6">
        <f>VLOOKUP(AJZ$39, ELIOT!$G$3:$J$9, 4, FALSE)</f>
        <v>0</v>
      </c>
      <c r="AKA65" s="6">
        <f>VLOOKUP(AKA$39, ELIOT!$G$3:$J$9, 4, FALSE)</f>
        <v>0</v>
      </c>
      <c r="AKB65" s="6">
        <f>VLOOKUP(AKB$39, ELIOT!$G$3:$J$9, 4, FALSE)</f>
        <v>0</v>
      </c>
      <c r="AKC65" s="6">
        <f>VLOOKUP(AKC$39, ELIOT!$G$3:$J$9, 4, FALSE)</f>
        <v>0</v>
      </c>
      <c r="AKD65" s="6">
        <f>VLOOKUP(AKD$39, ELIOT!$G$3:$J$9, 4, FALSE)</f>
        <v>0</v>
      </c>
      <c r="AKE65" s="6">
        <f>VLOOKUP(AKE$39, ELIOT!$G$3:$J$9, 4, FALSE)</f>
        <v>0</v>
      </c>
      <c r="AKF65" s="6">
        <f>VLOOKUP(AKF$39, ELIOT!$G$3:$J$9, 4, FALSE)</f>
        <v>0</v>
      </c>
      <c r="AKG65" s="6">
        <f>VLOOKUP(AKG$39, ELIOT!$G$3:$J$9, 4, FALSE)</f>
        <v>0</v>
      </c>
      <c r="AKH65" s="6">
        <f>VLOOKUP(AKH$39, ELIOT!$G$3:$J$9, 4, FALSE)</f>
        <v>0</v>
      </c>
      <c r="AKI65" s="6">
        <f>VLOOKUP(AKI$39, ELIOT!$G$3:$J$9, 4, FALSE)</f>
        <v>0</v>
      </c>
      <c r="AKJ65" s="6">
        <f>VLOOKUP(AKJ$39, ELIOT!$G$3:$J$9, 4, FALSE)</f>
        <v>0</v>
      </c>
      <c r="AKK65" s="6">
        <f>VLOOKUP(AKK$39, ELIOT!$G$3:$J$9, 4, FALSE)</f>
        <v>0</v>
      </c>
      <c r="AKL65" s="6">
        <f>VLOOKUP(AKL$39, ELIOT!$G$3:$J$9, 4, FALSE)</f>
        <v>0</v>
      </c>
      <c r="AKM65" s="6">
        <f>VLOOKUP(AKM$39, ELIOT!$G$3:$J$9, 4, FALSE)</f>
        <v>0</v>
      </c>
      <c r="AKN65" s="6">
        <f>VLOOKUP(AKN$39, ELIOT!$G$3:$J$9, 4, FALSE)</f>
        <v>0</v>
      </c>
      <c r="AKO65" s="6">
        <f>VLOOKUP(AKO$39, ELIOT!$G$3:$J$9, 4, FALSE)</f>
        <v>0</v>
      </c>
      <c r="AKP65" s="6">
        <f>VLOOKUP(AKP$39, ELIOT!$G$3:$J$9, 4, FALSE)</f>
        <v>0</v>
      </c>
      <c r="AKQ65" s="6">
        <f>VLOOKUP(AKQ$39, ELIOT!$G$3:$J$9, 4, FALSE)</f>
        <v>0</v>
      </c>
      <c r="AKR65" s="6">
        <f>VLOOKUP(AKR$39, ELIOT!$G$3:$J$9, 4, FALSE)</f>
        <v>0</v>
      </c>
      <c r="AKS65" s="6">
        <f>VLOOKUP(AKS$39, ELIOT!$G$3:$J$9, 4, FALSE)</f>
        <v>0</v>
      </c>
      <c r="AKT65" s="6">
        <f>VLOOKUP(AKT$39, ELIOT!$G$3:$J$9, 4, FALSE)</f>
        <v>0</v>
      </c>
      <c r="AKU65" s="6">
        <f>VLOOKUP(AKU$39, ELIOT!$G$3:$J$9, 4, FALSE)</f>
        <v>0</v>
      </c>
      <c r="AKV65" s="6">
        <f>VLOOKUP(AKV$39, ELIOT!$G$3:$J$9, 4, FALSE)</f>
        <v>0</v>
      </c>
      <c r="AKW65" s="6">
        <f>VLOOKUP(AKW$39, ELIOT!$G$3:$J$9, 4, FALSE)</f>
        <v>0</v>
      </c>
      <c r="AKX65" s="6">
        <f>VLOOKUP(AKX$39, ELIOT!$G$3:$J$9, 4, FALSE)</f>
        <v>0</v>
      </c>
      <c r="AKY65" s="6">
        <f>VLOOKUP(AKY$39, ELIOT!$G$3:$J$9, 4, FALSE)</f>
        <v>0</v>
      </c>
      <c r="AKZ65" s="6">
        <f>VLOOKUP(AKZ$39, ELIOT!$G$3:$J$9, 4, FALSE)</f>
        <v>0</v>
      </c>
      <c r="ALA65" s="6">
        <f>VLOOKUP(ALA$39, ELIOT!$G$3:$J$9, 4, FALSE)</f>
        <v>0</v>
      </c>
      <c r="ALB65" s="6">
        <f>VLOOKUP(ALB$39, ELIOT!$G$3:$J$9, 4, FALSE)</f>
        <v>0</v>
      </c>
      <c r="ALC65" s="6">
        <f>VLOOKUP(ALC$39, ELIOT!$G$3:$J$9, 4, FALSE)</f>
        <v>0</v>
      </c>
      <c r="ALD65" s="6">
        <f>VLOOKUP(ALD$39, ELIOT!$G$3:$J$9, 4, FALSE)</f>
        <v>0</v>
      </c>
      <c r="ALE65" s="6">
        <f>VLOOKUP(ALE$39, ELIOT!$G$3:$J$9, 4, FALSE)</f>
        <v>0</v>
      </c>
      <c r="ALF65" s="6">
        <f>VLOOKUP(ALF$39, ELIOT!$G$3:$J$9, 4, FALSE)</f>
        <v>0</v>
      </c>
      <c r="ALG65" s="6">
        <f>VLOOKUP(ALG$39, ELIOT!$G$3:$J$9, 4, FALSE)</f>
        <v>0</v>
      </c>
      <c r="ALH65" s="6">
        <f>VLOOKUP(ALH$39, ELIOT!$G$3:$J$9, 4, FALSE)</f>
        <v>0</v>
      </c>
      <c r="ALI65" s="6">
        <f>VLOOKUP(ALI$39, ELIOT!$G$3:$J$9, 4, FALSE)</f>
        <v>0</v>
      </c>
      <c r="ALJ65" s="6">
        <f>VLOOKUP(ALJ$39, ELIOT!$G$3:$J$9, 4, FALSE)</f>
        <v>0</v>
      </c>
      <c r="ALK65" s="6">
        <f>VLOOKUP(ALK$39, ELIOT!$G$3:$J$9, 4, FALSE)</f>
        <v>0</v>
      </c>
      <c r="ALL65" s="6">
        <f>VLOOKUP(ALL$39, ELIOT!$G$3:$J$9, 4, FALSE)</f>
        <v>0</v>
      </c>
      <c r="ALM65" s="6">
        <f>VLOOKUP(ALM$39, ELIOT!$G$3:$J$9, 4, FALSE)</f>
        <v>0</v>
      </c>
      <c r="ALN65" s="6">
        <f>VLOOKUP(ALN$39, ELIOT!$G$3:$J$9, 4, FALSE)</f>
        <v>0</v>
      </c>
      <c r="ALO65" s="6">
        <f>VLOOKUP(ALO$39, ELIOT!$G$3:$J$9, 4, FALSE)</f>
        <v>0</v>
      </c>
      <c r="ALP65" s="6">
        <f>VLOOKUP(ALP$39, ELIOT!$G$3:$J$9, 4, FALSE)</f>
        <v>0</v>
      </c>
      <c r="ALQ65" s="6">
        <f>VLOOKUP(ALQ$39, ELIOT!$G$3:$J$9, 4, FALSE)</f>
        <v>0</v>
      </c>
      <c r="ALR65" s="6">
        <f>VLOOKUP(ALR$39, ELIOT!$G$3:$J$9, 4, FALSE)</f>
        <v>0</v>
      </c>
      <c r="ALS65" s="6">
        <f>VLOOKUP(ALS$39, ELIOT!$G$3:$J$9, 4, FALSE)</f>
        <v>0</v>
      </c>
      <c r="ALT65" s="6">
        <f>VLOOKUP(ALT$39, ELIOT!$G$3:$J$9, 4, FALSE)</f>
        <v>0</v>
      </c>
      <c r="ALU65" s="6">
        <f>VLOOKUP(ALU$39, ELIOT!$G$3:$J$9, 4, FALSE)</f>
        <v>0</v>
      </c>
      <c r="ALV65" s="6">
        <f>VLOOKUP(ALV$39, ELIOT!$G$3:$J$9, 4, FALSE)</f>
        <v>0</v>
      </c>
      <c r="ALW65" s="6">
        <f>VLOOKUP(ALW$39, ELIOT!$G$3:$J$9, 4, FALSE)</f>
        <v>0</v>
      </c>
    </row>
    <row r="66" spans="2:1011" outlineLevel="1" x14ac:dyDescent="0.25">
      <c r="C66" s="5" t="s">
        <v>18</v>
      </c>
      <c r="D66" s="6">
        <f>VLOOKUP(D$43, CAMEO!$G$3:$J$9, 4, FALSE)</f>
        <v>0</v>
      </c>
      <c r="E66" s="6">
        <f>VLOOKUP(E$43, CAMEO!$G$3:$J$9, 4, FALSE)</f>
        <v>0</v>
      </c>
      <c r="F66" s="6">
        <f>VLOOKUP(F$43, CAMEO!$G$3:$J$9, 4, FALSE)</f>
        <v>0</v>
      </c>
      <c r="G66" s="6">
        <f>VLOOKUP(G$43, CAMEO!$G$3:$J$9, 4, FALSE)</f>
        <v>0</v>
      </c>
      <c r="H66" s="6">
        <f>VLOOKUP(H$43, CAMEO!$G$3:$J$9, 4, FALSE)</f>
        <v>0</v>
      </c>
      <c r="I66" s="6">
        <f>VLOOKUP(I$43, CAMEO!$G$3:$J$9, 4, FALSE)</f>
        <v>0</v>
      </c>
      <c r="J66" s="6">
        <f>VLOOKUP(J$43, CAMEO!$G$3:$J$9, 4, FALSE)</f>
        <v>0</v>
      </c>
      <c r="K66" s="6">
        <f>VLOOKUP(K$43, CAMEO!$G$3:$J$9, 4, FALSE)</f>
        <v>0</v>
      </c>
      <c r="L66" s="6">
        <f>VLOOKUP(L$43, CAMEO!$G$3:$J$9, 4, FALSE)</f>
        <v>0</v>
      </c>
      <c r="M66" s="6">
        <f>VLOOKUP(M$43, CAMEO!$G$3:$J$9, 4, FALSE)</f>
        <v>0</v>
      </c>
      <c r="N66" s="6">
        <f>VLOOKUP(N$43, CAMEO!$G$3:$J$9, 4, FALSE)</f>
        <v>0</v>
      </c>
      <c r="O66" s="6">
        <f>VLOOKUP(O$43, CAMEO!$G$3:$J$9, 4, FALSE)</f>
        <v>0</v>
      </c>
      <c r="P66" s="6">
        <f>VLOOKUP(P$43, CAMEO!$G$3:$J$9, 4, FALSE)</f>
        <v>0</v>
      </c>
      <c r="Q66" s="6">
        <f>VLOOKUP(Q$43, CAMEO!$G$3:$J$9, 4, FALSE)</f>
        <v>0</v>
      </c>
      <c r="R66" s="6">
        <f>VLOOKUP(R$43, CAMEO!$G$3:$J$9, 4, FALSE)</f>
        <v>0</v>
      </c>
      <c r="S66" s="6">
        <f>VLOOKUP(S$43, CAMEO!$G$3:$J$9, 4, FALSE)</f>
        <v>0</v>
      </c>
      <c r="T66" s="6">
        <f>VLOOKUP(T$43, CAMEO!$G$3:$J$9, 4, FALSE)</f>
        <v>0</v>
      </c>
      <c r="U66" s="6">
        <f>VLOOKUP(U$43, CAMEO!$G$3:$J$9, 4, FALSE)</f>
        <v>0</v>
      </c>
      <c r="V66" s="6">
        <f>VLOOKUP(V$43, CAMEO!$G$3:$J$9, 4, FALSE)</f>
        <v>0</v>
      </c>
      <c r="W66" s="6">
        <f>VLOOKUP(W$43, CAMEO!$G$3:$J$9, 4, FALSE)</f>
        <v>0</v>
      </c>
      <c r="X66" s="6">
        <f>VLOOKUP(X$43, CAMEO!$G$3:$J$9, 4, FALSE)</f>
        <v>0</v>
      </c>
      <c r="Y66" s="6">
        <f>VLOOKUP(Y$43, CAMEO!$G$3:$J$9, 4, FALSE)</f>
        <v>0</v>
      </c>
      <c r="Z66" s="6">
        <f>VLOOKUP(Z$43, CAMEO!$G$3:$J$9, 4, FALSE)</f>
        <v>0</v>
      </c>
      <c r="AA66" s="6">
        <f>VLOOKUP(AA$43, CAMEO!$G$3:$J$9, 4, FALSE)</f>
        <v>0</v>
      </c>
      <c r="AB66" s="6">
        <f>VLOOKUP(AB$43, CAMEO!$G$3:$J$9, 4, FALSE)</f>
        <v>0</v>
      </c>
      <c r="AC66" s="6">
        <f>VLOOKUP(AC$43, CAMEO!$G$3:$J$9, 4, FALSE)</f>
        <v>0</v>
      </c>
      <c r="AD66" s="6">
        <f>VLOOKUP(AD$43, CAMEO!$G$3:$J$9, 4, FALSE)</f>
        <v>0</v>
      </c>
      <c r="AE66" s="6">
        <f>VLOOKUP(AE$43, CAMEO!$G$3:$J$9, 4, FALSE)</f>
        <v>0</v>
      </c>
      <c r="AF66" s="6">
        <f>VLOOKUP(AF$43, CAMEO!$G$3:$J$9, 4, FALSE)</f>
        <v>0</v>
      </c>
      <c r="AG66" s="6">
        <f>VLOOKUP(AG$43, CAMEO!$G$3:$J$9, 4, FALSE)</f>
        <v>0</v>
      </c>
      <c r="AH66" s="6">
        <f>VLOOKUP(AH$43, CAMEO!$G$3:$J$9, 4, FALSE)</f>
        <v>0</v>
      </c>
      <c r="AI66" s="6">
        <f>VLOOKUP(AI$43, CAMEO!$G$3:$J$9, 4, FALSE)</f>
        <v>0</v>
      </c>
      <c r="AJ66" s="6">
        <f>VLOOKUP(AJ$43, CAMEO!$G$3:$J$9, 4, FALSE)</f>
        <v>0</v>
      </c>
      <c r="AK66" s="6">
        <f>VLOOKUP(AK$43, CAMEO!$G$3:$J$9, 4, FALSE)</f>
        <v>0</v>
      </c>
      <c r="AL66" s="6">
        <f>VLOOKUP(AL$43, CAMEO!$G$3:$J$9, 4, FALSE)</f>
        <v>0</v>
      </c>
      <c r="AM66" s="6">
        <f>VLOOKUP(AM$43, CAMEO!$G$3:$J$9, 4, FALSE)</f>
        <v>0</v>
      </c>
      <c r="AN66" s="6">
        <f>VLOOKUP(AN$43, CAMEO!$G$3:$J$9, 4, FALSE)</f>
        <v>0</v>
      </c>
      <c r="AO66" s="6">
        <f>VLOOKUP(AO$43, CAMEO!$G$3:$J$9, 4, FALSE)</f>
        <v>0</v>
      </c>
      <c r="AP66" s="6">
        <f>VLOOKUP(AP$43, CAMEO!$G$3:$J$9, 4, FALSE)</f>
        <v>0</v>
      </c>
      <c r="AQ66" s="6">
        <f>VLOOKUP(AQ$43, CAMEO!$G$3:$J$9, 4, FALSE)</f>
        <v>0</v>
      </c>
      <c r="AR66" s="6">
        <f>VLOOKUP(AR$43, CAMEO!$G$3:$J$9, 4, FALSE)</f>
        <v>0</v>
      </c>
      <c r="AS66" s="6">
        <f>VLOOKUP(AS$43, CAMEO!$G$3:$J$9, 4, FALSE)</f>
        <v>0</v>
      </c>
      <c r="AT66" s="6">
        <f>VLOOKUP(AT$43, CAMEO!$G$3:$J$9, 4, FALSE)</f>
        <v>0</v>
      </c>
      <c r="AU66" s="6">
        <f>VLOOKUP(AU$43, CAMEO!$G$3:$J$9, 4, FALSE)</f>
        <v>0</v>
      </c>
      <c r="AV66" s="6">
        <f>VLOOKUP(AV$43, CAMEO!$G$3:$J$9, 4, FALSE)</f>
        <v>0</v>
      </c>
      <c r="AW66" s="6">
        <f>VLOOKUP(AW$43, CAMEO!$G$3:$J$9, 4, FALSE)</f>
        <v>0</v>
      </c>
      <c r="AX66" s="6">
        <f>VLOOKUP(AX$43, CAMEO!$G$3:$J$9, 4, FALSE)</f>
        <v>0</v>
      </c>
      <c r="AY66" s="6">
        <f>VLOOKUP(AY$43, CAMEO!$G$3:$J$9, 4, FALSE)</f>
        <v>0</v>
      </c>
      <c r="AZ66" s="6">
        <f>VLOOKUP(AZ$43, CAMEO!$G$3:$J$9, 4, FALSE)</f>
        <v>0</v>
      </c>
      <c r="BA66" s="6">
        <f>VLOOKUP(BA$43, CAMEO!$G$3:$J$9, 4, FALSE)</f>
        <v>0</v>
      </c>
      <c r="BB66" s="6">
        <f>VLOOKUP(BB$43, CAMEO!$G$3:$J$9, 4, FALSE)</f>
        <v>0</v>
      </c>
      <c r="BC66" s="6">
        <f>VLOOKUP(BC$43, CAMEO!$G$3:$J$9, 4, FALSE)</f>
        <v>0</v>
      </c>
      <c r="BD66" s="6">
        <f>VLOOKUP(BD$43, CAMEO!$G$3:$J$9, 4, FALSE)</f>
        <v>0</v>
      </c>
      <c r="BE66" s="6">
        <f>VLOOKUP(BE$43, CAMEO!$G$3:$J$9, 4, FALSE)</f>
        <v>0</v>
      </c>
      <c r="BF66" s="6">
        <f>VLOOKUP(BF$43, CAMEO!$G$3:$J$9, 4, FALSE)</f>
        <v>0</v>
      </c>
      <c r="BG66" s="6">
        <f>VLOOKUP(BG$43, CAMEO!$G$3:$J$9, 4, FALSE)</f>
        <v>0</v>
      </c>
      <c r="BH66" s="6">
        <f>VLOOKUP(BH$43, CAMEO!$G$3:$J$9, 4, FALSE)</f>
        <v>0</v>
      </c>
      <c r="BI66" s="6">
        <f>VLOOKUP(BI$43, CAMEO!$G$3:$J$9, 4, FALSE)</f>
        <v>0</v>
      </c>
      <c r="BJ66" s="6">
        <f>VLOOKUP(BJ$43, CAMEO!$G$3:$J$9, 4, FALSE)</f>
        <v>0</v>
      </c>
      <c r="BK66" s="6">
        <f>VLOOKUP(BK$43, CAMEO!$G$3:$J$9, 4, FALSE)</f>
        <v>0</v>
      </c>
      <c r="BL66" s="6">
        <f>VLOOKUP(BL$43, CAMEO!$G$3:$J$9, 4, FALSE)</f>
        <v>0</v>
      </c>
      <c r="BM66" s="6">
        <f>VLOOKUP(BM$43, CAMEO!$G$3:$J$9, 4, FALSE)</f>
        <v>0</v>
      </c>
      <c r="BN66" s="6">
        <f>VLOOKUP(BN$43, CAMEO!$G$3:$J$9, 4, FALSE)</f>
        <v>0</v>
      </c>
      <c r="BO66" s="6">
        <f>VLOOKUP(BO$43, CAMEO!$G$3:$J$9, 4, FALSE)</f>
        <v>0</v>
      </c>
      <c r="BP66" s="6">
        <f>VLOOKUP(BP$43, CAMEO!$G$3:$J$9, 4, FALSE)</f>
        <v>0</v>
      </c>
      <c r="BQ66" s="6">
        <f>VLOOKUP(BQ$43, CAMEO!$G$3:$J$9, 4, FALSE)</f>
        <v>0</v>
      </c>
      <c r="BR66" s="6">
        <f>VLOOKUP(BR$43, CAMEO!$G$3:$J$9, 4, FALSE)</f>
        <v>0</v>
      </c>
      <c r="BS66" s="6">
        <f>VLOOKUP(BS$43, CAMEO!$G$3:$J$9, 4, FALSE)</f>
        <v>0</v>
      </c>
      <c r="BT66" s="6">
        <f>VLOOKUP(BT$43, CAMEO!$G$3:$J$9, 4, FALSE)</f>
        <v>0</v>
      </c>
      <c r="BU66" s="6">
        <f>VLOOKUP(BU$43, CAMEO!$G$3:$J$9, 4, FALSE)</f>
        <v>0</v>
      </c>
      <c r="BV66" s="6">
        <f>VLOOKUP(BV$43, CAMEO!$G$3:$J$9, 4, FALSE)</f>
        <v>0</v>
      </c>
      <c r="BW66" s="6">
        <f>VLOOKUP(BW$43, CAMEO!$G$3:$J$9, 4, FALSE)</f>
        <v>0</v>
      </c>
      <c r="BX66" s="6">
        <f>VLOOKUP(BX$43, CAMEO!$G$3:$J$9, 4, FALSE)</f>
        <v>0</v>
      </c>
      <c r="BY66" s="6">
        <f>VLOOKUP(BY$43, CAMEO!$G$3:$J$9, 4, FALSE)</f>
        <v>0</v>
      </c>
      <c r="BZ66" s="6">
        <f>VLOOKUP(BZ$43, CAMEO!$G$3:$J$9, 4, FALSE)</f>
        <v>0</v>
      </c>
      <c r="CA66" s="6">
        <f>VLOOKUP(CA$43, CAMEO!$G$3:$J$9, 4, FALSE)</f>
        <v>0</v>
      </c>
      <c r="CB66" s="6">
        <f>VLOOKUP(CB$43, CAMEO!$G$3:$J$9, 4, FALSE)</f>
        <v>0</v>
      </c>
      <c r="CC66" s="6">
        <f>VLOOKUP(CC$43, CAMEO!$G$3:$J$9, 4, FALSE)</f>
        <v>0</v>
      </c>
      <c r="CD66" s="6">
        <f>VLOOKUP(CD$43, CAMEO!$G$3:$J$9, 4, FALSE)</f>
        <v>0</v>
      </c>
      <c r="CE66" s="6">
        <f>VLOOKUP(CE$43, CAMEO!$G$3:$J$9, 4, FALSE)</f>
        <v>0</v>
      </c>
      <c r="CF66" s="6">
        <f>VLOOKUP(CF$43, CAMEO!$G$3:$J$9, 4, FALSE)</f>
        <v>0</v>
      </c>
      <c r="CG66" s="6">
        <f>VLOOKUP(CG$43, CAMEO!$G$3:$J$9, 4, FALSE)</f>
        <v>0</v>
      </c>
      <c r="CH66" s="6">
        <f>VLOOKUP(CH$43, CAMEO!$G$3:$J$9, 4, FALSE)</f>
        <v>0</v>
      </c>
      <c r="CI66" s="6">
        <f>VLOOKUP(CI$43, CAMEO!$G$3:$J$9, 4, FALSE)</f>
        <v>0</v>
      </c>
      <c r="CJ66" s="6">
        <f>VLOOKUP(CJ$43, CAMEO!$G$3:$J$9, 4, FALSE)</f>
        <v>0</v>
      </c>
      <c r="CK66" s="6">
        <f>VLOOKUP(CK$43, CAMEO!$G$3:$J$9, 4, FALSE)</f>
        <v>0</v>
      </c>
      <c r="CL66" s="6">
        <f>VLOOKUP(CL$43, CAMEO!$G$3:$J$9, 4, FALSE)</f>
        <v>0</v>
      </c>
      <c r="CM66" s="6">
        <f>VLOOKUP(CM$43, CAMEO!$G$3:$J$9, 4, FALSE)</f>
        <v>0</v>
      </c>
      <c r="CN66" s="6">
        <f>VLOOKUP(CN$43, CAMEO!$G$3:$J$9, 4, FALSE)</f>
        <v>0</v>
      </c>
      <c r="CO66" s="6">
        <f>VLOOKUP(CO$43, CAMEO!$G$3:$J$9, 4, FALSE)</f>
        <v>0</v>
      </c>
      <c r="CP66" s="6">
        <f>VLOOKUP(CP$43, CAMEO!$G$3:$J$9, 4, FALSE)</f>
        <v>0</v>
      </c>
      <c r="CQ66" s="6">
        <f>VLOOKUP(CQ$43, CAMEO!$G$3:$J$9, 4, FALSE)</f>
        <v>0</v>
      </c>
      <c r="CR66" s="6">
        <f>VLOOKUP(CR$43, CAMEO!$G$3:$J$9, 4, FALSE)</f>
        <v>0</v>
      </c>
      <c r="CS66" s="6">
        <f>VLOOKUP(CS$43, CAMEO!$G$3:$J$9, 4, FALSE)</f>
        <v>0</v>
      </c>
      <c r="CT66" s="6">
        <f>VLOOKUP(CT$43, CAMEO!$G$3:$J$9, 4, FALSE)</f>
        <v>0</v>
      </c>
      <c r="CU66" s="6">
        <f>VLOOKUP(CU$43, CAMEO!$G$3:$J$9, 4, FALSE)</f>
        <v>0</v>
      </c>
      <c r="CV66" s="6">
        <f>VLOOKUP(CV$43, CAMEO!$G$3:$J$9, 4, FALSE)</f>
        <v>0</v>
      </c>
      <c r="CW66" s="6">
        <f>VLOOKUP(CW$43, CAMEO!$G$3:$J$9, 4, FALSE)</f>
        <v>0</v>
      </c>
      <c r="CX66" s="6">
        <f>VLOOKUP(CX$43, CAMEO!$G$3:$J$9, 4, FALSE)</f>
        <v>0</v>
      </c>
      <c r="CY66" s="6">
        <f>VLOOKUP(CY$43, CAMEO!$G$3:$J$9, 4, FALSE)</f>
        <v>0</v>
      </c>
      <c r="CZ66" s="6">
        <f>VLOOKUP(CZ$43, CAMEO!$G$3:$J$9, 4, FALSE)</f>
        <v>0</v>
      </c>
      <c r="DA66" s="6">
        <f>VLOOKUP(DA$43, CAMEO!$G$3:$J$9, 4, FALSE)</f>
        <v>0</v>
      </c>
      <c r="DB66" s="6">
        <f>VLOOKUP(DB$43, CAMEO!$G$3:$J$9, 4, FALSE)</f>
        <v>0</v>
      </c>
      <c r="DC66" s="6">
        <f>VLOOKUP(DC$43, CAMEO!$G$3:$J$9, 4, FALSE)</f>
        <v>0</v>
      </c>
      <c r="DD66" s="6">
        <f>VLOOKUP(DD$43, CAMEO!$G$3:$J$9, 4, FALSE)</f>
        <v>0</v>
      </c>
      <c r="DE66" s="6">
        <f>VLOOKUP(DE$43, CAMEO!$G$3:$J$9, 4, FALSE)</f>
        <v>0</v>
      </c>
      <c r="DF66" s="6">
        <f>VLOOKUP(DF$43, CAMEO!$G$3:$J$9, 4, FALSE)</f>
        <v>0</v>
      </c>
      <c r="DG66" s="6">
        <f>VLOOKUP(DG$43, CAMEO!$G$3:$J$9, 4, FALSE)</f>
        <v>0</v>
      </c>
      <c r="DH66" s="6">
        <f>VLOOKUP(DH$43, CAMEO!$G$3:$J$9, 4, FALSE)</f>
        <v>0</v>
      </c>
      <c r="DI66" s="6">
        <f>VLOOKUP(DI$43, CAMEO!$G$3:$J$9, 4, FALSE)</f>
        <v>0</v>
      </c>
      <c r="DJ66" s="6">
        <f>VLOOKUP(DJ$43, CAMEO!$G$3:$J$9, 4, FALSE)</f>
        <v>0</v>
      </c>
      <c r="DK66" s="6">
        <f>VLOOKUP(DK$43, CAMEO!$G$3:$J$9, 4, FALSE)</f>
        <v>0</v>
      </c>
      <c r="DL66" s="6">
        <f>VLOOKUP(DL$43, CAMEO!$G$3:$J$9, 4, FALSE)</f>
        <v>0</v>
      </c>
      <c r="DM66" s="6">
        <f>VLOOKUP(DM$43, CAMEO!$G$3:$J$9, 4, FALSE)</f>
        <v>0</v>
      </c>
      <c r="DN66" s="6">
        <f>VLOOKUP(DN$43, CAMEO!$G$3:$J$9, 4, FALSE)</f>
        <v>0</v>
      </c>
      <c r="DO66" s="6">
        <f>VLOOKUP(DO$43, CAMEO!$G$3:$J$9, 4, FALSE)</f>
        <v>0</v>
      </c>
      <c r="DP66" s="6">
        <f>VLOOKUP(DP$43, CAMEO!$G$3:$J$9, 4, FALSE)</f>
        <v>0</v>
      </c>
      <c r="DQ66" s="6">
        <f>VLOOKUP(DQ$43, CAMEO!$G$3:$J$9, 4, FALSE)</f>
        <v>0</v>
      </c>
      <c r="DR66" s="6">
        <f>VLOOKUP(DR$43, CAMEO!$G$3:$J$9, 4, FALSE)</f>
        <v>0</v>
      </c>
      <c r="DS66" s="6">
        <f>VLOOKUP(DS$43, CAMEO!$G$3:$J$9, 4, FALSE)</f>
        <v>0</v>
      </c>
      <c r="DT66" s="6">
        <f>VLOOKUP(DT$43, CAMEO!$G$3:$J$9, 4, FALSE)</f>
        <v>0</v>
      </c>
      <c r="DU66" s="6">
        <f>VLOOKUP(DU$43, CAMEO!$G$3:$J$9, 4, FALSE)</f>
        <v>0</v>
      </c>
      <c r="DV66" s="6">
        <f>VLOOKUP(DV$43, CAMEO!$G$3:$J$9, 4, FALSE)</f>
        <v>0</v>
      </c>
      <c r="DW66" s="6">
        <f>VLOOKUP(DW$43, CAMEO!$G$3:$J$9, 4, FALSE)</f>
        <v>0</v>
      </c>
      <c r="DX66" s="6">
        <f>VLOOKUP(DX$43, CAMEO!$G$3:$J$9, 4, FALSE)</f>
        <v>0</v>
      </c>
      <c r="DY66" s="6">
        <f>VLOOKUP(DY$43, CAMEO!$G$3:$J$9, 4, FALSE)</f>
        <v>0</v>
      </c>
      <c r="DZ66" s="6">
        <f>VLOOKUP(DZ$43, CAMEO!$G$3:$J$9, 4, FALSE)</f>
        <v>0</v>
      </c>
      <c r="EA66" s="6">
        <f>VLOOKUP(EA$43, CAMEO!$G$3:$J$9, 4, FALSE)</f>
        <v>0</v>
      </c>
      <c r="EB66" s="6">
        <f>VLOOKUP(EB$43, CAMEO!$G$3:$J$9, 4, FALSE)</f>
        <v>0</v>
      </c>
      <c r="EC66" s="6">
        <f>VLOOKUP(EC$43, CAMEO!$G$3:$J$9, 4, FALSE)</f>
        <v>0</v>
      </c>
      <c r="ED66" s="6">
        <f>VLOOKUP(ED$43, CAMEO!$G$3:$J$9, 4, FALSE)</f>
        <v>0</v>
      </c>
      <c r="EE66" s="6">
        <f>VLOOKUP(EE$43, CAMEO!$G$3:$J$9, 4, FALSE)</f>
        <v>0</v>
      </c>
      <c r="EF66" s="6">
        <f>VLOOKUP(EF$43, CAMEO!$G$3:$J$9, 4, FALSE)</f>
        <v>0</v>
      </c>
      <c r="EG66" s="6">
        <f>VLOOKUP(EG$43, CAMEO!$G$3:$J$9, 4, FALSE)</f>
        <v>0</v>
      </c>
      <c r="EH66" s="6">
        <f>VLOOKUP(EH$43, CAMEO!$G$3:$J$9, 4, FALSE)</f>
        <v>0</v>
      </c>
      <c r="EI66" s="6">
        <f>VLOOKUP(EI$43, CAMEO!$G$3:$J$9, 4, FALSE)</f>
        <v>0</v>
      </c>
      <c r="EJ66" s="6">
        <f>VLOOKUP(EJ$43, CAMEO!$G$3:$J$9, 4, FALSE)</f>
        <v>0</v>
      </c>
      <c r="EK66" s="6">
        <f>VLOOKUP(EK$43, CAMEO!$G$3:$J$9, 4, FALSE)</f>
        <v>0</v>
      </c>
      <c r="EL66" s="6">
        <f>VLOOKUP(EL$43, CAMEO!$G$3:$J$9, 4, FALSE)</f>
        <v>0</v>
      </c>
      <c r="EM66" s="6">
        <f>VLOOKUP(EM$43, CAMEO!$G$3:$J$9, 4, FALSE)</f>
        <v>0</v>
      </c>
      <c r="EN66" s="6">
        <f>VLOOKUP(EN$43, CAMEO!$G$3:$J$9, 4, FALSE)</f>
        <v>0</v>
      </c>
      <c r="EO66" s="6">
        <f>VLOOKUP(EO$43, CAMEO!$G$3:$J$9, 4, FALSE)</f>
        <v>0</v>
      </c>
      <c r="EP66" s="6">
        <f>VLOOKUP(EP$43, CAMEO!$G$3:$J$9, 4, FALSE)</f>
        <v>0</v>
      </c>
      <c r="EQ66" s="6">
        <f>VLOOKUP(EQ$43, CAMEO!$G$3:$J$9, 4, FALSE)</f>
        <v>0</v>
      </c>
      <c r="ER66" s="6">
        <f>VLOOKUP(ER$43, CAMEO!$G$3:$J$9, 4, FALSE)</f>
        <v>0</v>
      </c>
      <c r="ES66" s="6">
        <f>VLOOKUP(ES$43, CAMEO!$G$3:$J$9, 4, FALSE)</f>
        <v>0</v>
      </c>
      <c r="ET66" s="6">
        <f>VLOOKUP(ET$43, CAMEO!$G$3:$J$9, 4, FALSE)</f>
        <v>0</v>
      </c>
      <c r="EU66" s="6">
        <f>VLOOKUP(EU$43, CAMEO!$G$3:$J$9, 4, FALSE)</f>
        <v>0</v>
      </c>
      <c r="EV66" s="6">
        <f>VLOOKUP(EV$43, CAMEO!$G$3:$J$9, 4, FALSE)</f>
        <v>0</v>
      </c>
      <c r="EW66" s="6">
        <f>VLOOKUP(EW$43, CAMEO!$G$3:$J$9, 4, FALSE)</f>
        <v>0</v>
      </c>
      <c r="EX66" s="6">
        <f>VLOOKUP(EX$43, CAMEO!$G$3:$J$9, 4, FALSE)</f>
        <v>0</v>
      </c>
      <c r="EY66" s="6">
        <f>VLOOKUP(EY$43, CAMEO!$G$3:$J$9, 4, FALSE)</f>
        <v>0</v>
      </c>
      <c r="EZ66" s="6">
        <f>VLOOKUP(EZ$43, CAMEO!$G$3:$J$9, 4, FALSE)</f>
        <v>0</v>
      </c>
      <c r="FA66" s="6">
        <f>VLOOKUP(FA$43, CAMEO!$G$3:$J$9, 4, FALSE)</f>
        <v>0</v>
      </c>
      <c r="FB66" s="6">
        <f>VLOOKUP(FB$43, CAMEO!$G$3:$J$9, 4, FALSE)</f>
        <v>0</v>
      </c>
      <c r="FC66" s="6">
        <f>VLOOKUP(FC$43, CAMEO!$G$3:$J$9, 4, FALSE)</f>
        <v>0</v>
      </c>
      <c r="FD66" s="6">
        <f>VLOOKUP(FD$43, CAMEO!$G$3:$J$9, 4, FALSE)</f>
        <v>0</v>
      </c>
      <c r="FE66" s="6">
        <f>VLOOKUP(FE$43, CAMEO!$G$3:$J$9, 4, FALSE)</f>
        <v>0</v>
      </c>
      <c r="FF66" s="6">
        <f>VLOOKUP(FF$43, CAMEO!$G$3:$J$9, 4, FALSE)</f>
        <v>0</v>
      </c>
      <c r="FG66" s="6">
        <f>VLOOKUP(FG$43, CAMEO!$G$3:$J$9, 4, FALSE)</f>
        <v>0</v>
      </c>
      <c r="FH66" s="6">
        <f>VLOOKUP(FH$43, CAMEO!$G$3:$J$9, 4, FALSE)</f>
        <v>0</v>
      </c>
      <c r="FI66" s="6">
        <f>VLOOKUP(FI$43, CAMEO!$G$3:$J$9, 4, FALSE)</f>
        <v>0</v>
      </c>
      <c r="FJ66" s="6">
        <f>VLOOKUP(FJ$43, CAMEO!$G$3:$J$9, 4, FALSE)</f>
        <v>0</v>
      </c>
      <c r="FK66" s="6">
        <f>VLOOKUP(FK$43, CAMEO!$G$3:$J$9, 4, FALSE)</f>
        <v>0</v>
      </c>
      <c r="FL66" s="6">
        <f>VLOOKUP(FL$43, CAMEO!$G$3:$J$9, 4, FALSE)</f>
        <v>0</v>
      </c>
      <c r="FM66" s="6">
        <f>VLOOKUP(FM$43, CAMEO!$G$3:$J$9, 4, FALSE)</f>
        <v>0</v>
      </c>
      <c r="FN66" s="6">
        <f>VLOOKUP(FN$43, CAMEO!$G$3:$J$9, 4, FALSE)</f>
        <v>0</v>
      </c>
      <c r="FO66" s="6">
        <f>VLOOKUP(FO$43, CAMEO!$G$3:$J$9, 4, FALSE)</f>
        <v>0</v>
      </c>
      <c r="FP66" s="6">
        <f>VLOOKUP(FP$43, CAMEO!$G$3:$J$9, 4, FALSE)</f>
        <v>0</v>
      </c>
      <c r="FQ66" s="6">
        <f>VLOOKUP(FQ$43, CAMEO!$G$3:$J$9, 4, FALSE)</f>
        <v>0</v>
      </c>
      <c r="FR66" s="6">
        <f>VLOOKUP(FR$43, CAMEO!$G$3:$J$9, 4, FALSE)</f>
        <v>0</v>
      </c>
      <c r="FS66" s="6">
        <f>VLOOKUP(FS$43, CAMEO!$G$3:$J$9, 4, FALSE)</f>
        <v>0</v>
      </c>
      <c r="FT66" s="6">
        <f>VLOOKUP(FT$43, CAMEO!$G$3:$J$9, 4, FALSE)</f>
        <v>0</v>
      </c>
      <c r="FU66" s="6">
        <f>VLOOKUP(FU$43, CAMEO!$G$3:$J$9, 4, FALSE)</f>
        <v>0</v>
      </c>
      <c r="FV66" s="6">
        <f>VLOOKUP(FV$43, CAMEO!$G$3:$J$9, 4, FALSE)</f>
        <v>0</v>
      </c>
      <c r="FW66" s="6">
        <f>VLOOKUP(FW$43, CAMEO!$G$3:$J$9, 4, FALSE)</f>
        <v>0</v>
      </c>
      <c r="FX66" s="6">
        <f>VLOOKUP(FX$43, CAMEO!$G$3:$J$9, 4, FALSE)</f>
        <v>0</v>
      </c>
      <c r="FY66" s="6">
        <f>VLOOKUP(FY$43, CAMEO!$G$3:$J$9, 4, FALSE)</f>
        <v>0</v>
      </c>
      <c r="FZ66" s="6">
        <f>VLOOKUP(FZ$43, CAMEO!$G$3:$J$9, 4, FALSE)</f>
        <v>0</v>
      </c>
      <c r="GA66" s="6">
        <f>VLOOKUP(GA$43, CAMEO!$G$3:$J$9, 4, FALSE)</f>
        <v>0</v>
      </c>
      <c r="GB66" s="6">
        <f>VLOOKUP(GB$43, CAMEO!$G$3:$J$9, 4, FALSE)</f>
        <v>0</v>
      </c>
      <c r="GC66" s="6">
        <f>VLOOKUP(GC$43, CAMEO!$G$3:$J$9, 4, FALSE)</f>
        <v>0</v>
      </c>
      <c r="GD66" s="6">
        <f>VLOOKUP(GD$43, CAMEO!$G$3:$J$9, 4, FALSE)</f>
        <v>0</v>
      </c>
      <c r="GE66" s="6">
        <f>VLOOKUP(GE$43, CAMEO!$G$3:$J$9, 4, FALSE)</f>
        <v>0</v>
      </c>
      <c r="GF66" s="6">
        <f>VLOOKUP(GF$43, CAMEO!$G$3:$J$9, 4, FALSE)</f>
        <v>0</v>
      </c>
      <c r="GG66" s="6">
        <f>VLOOKUP(GG$43, CAMEO!$G$3:$J$9, 4, FALSE)</f>
        <v>0</v>
      </c>
      <c r="GH66" s="6">
        <f>VLOOKUP(GH$43, CAMEO!$G$3:$J$9, 4, FALSE)</f>
        <v>0</v>
      </c>
      <c r="GI66" s="6">
        <f>VLOOKUP(GI$43, CAMEO!$G$3:$J$9, 4, FALSE)</f>
        <v>0</v>
      </c>
      <c r="GJ66" s="6">
        <f>VLOOKUP(GJ$43, CAMEO!$G$3:$J$9, 4, FALSE)</f>
        <v>0</v>
      </c>
      <c r="GK66" s="6">
        <f>VLOOKUP(GK$43, CAMEO!$G$3:$J$9, 4, FALSE)</f>
        <v>0</v>
      </c>
      <c r="GL66" s="6">
        <f>VLOOKUP(GL$43, CAMEO!$G$3:$J$9, 4, FALSE)</f>
        <v>0</v>
      </c>
      <c r="GM66" s="6">
        <f>VLOOKUP(GM$43, CAMEO!$G$3:$J$9, 4, FALSE)</f>
        <v>0</v>
      </c>
      <c r="GN66" s="6">
        <f>VLOOKUP(GN$43, CAMEO!$G$3:$J$9, 4, FALSE)</f>
        <v>0</v>
      </c>
      <c r="GO66" s="6">
        <f>VLOOKUP(GO$43, CAMEO!$G$3:$J$9, 4, FALSE)</f>
        <v>0</v>
      </c>
      <c r="GP66" s="6">
        <f>VLOOKUP(GP$43, CAMEO!$G$3:$J$9, 4, FALSE)</f>
        <v>0</v>
      </c>
      <c r="GQ66" s="6">
        <f>VLOOKUP(GQ$43, CAMEO!$G$3:$J$9, 4, FALSE)</f>
        <v>0</v>
      </c>
      <c r="GR66" s="6">
        <f>VLOOKUP(GR$43, CAMEO!$G$3:$J$9, 4, FALSE)</f>
        <v>0</v>
      </c>
      <c r="GS66" s="6">
        <f>VLOOKUP(GS$43, CAMEO!$G$3:$J$9, 4, FALSE)</f>
        <v>0</v>
      </c>
      <c r="GT66" s="6">
        <f>VLOOKUP(GT$43, CAMEO!$G$3:$J$9, 4, FALSE)</f>
        <v>0</v>
      </c>
      <c r="GU66" s="6">
        <f>VLOOKUP(GU$43, CAMEO!$G$3:$J$9, 4, FALSE)</f>
        <v>0</v>
      </c>
      <c r="GV66" s="6">
        <f>VLOOKUP(GV$43, CAMEO!$G$3:$J$9, 4, FALSE)</f>
        <v>0</v>
      </c>
      <c r="GW66" s="6">
        <f>VLOOKUP(GW$43, CAMEO!$G$3:$J$9, 4, FALSE)</f>
        <v>0</v>
      </c>
      <c r="GX66" s="6">
        <f>VLOOKUP(GX$43, CAMEO!$G$3:$J$9, 4, FALSE)</f>
        <v>0</v>
      </c>
      <c r="GY66" s="6">
        <f>VLOOKUP(GY$43, CAMEO!$G$3:$J$9, 4, FALSE)</f>
        <v>0</v>
      </c>
      <c r="GZ66" s="6">
        <f>VLOOKUP(GZ$43, CAMEO!$G$3:$J$9, 4, FALSE)</f>
        <v>0</v>
      </c>
      <c r="HA66" s="6">
        <f>VLOOKUP(HA$43, CAMEO!$G$3:$J$9, 4, FALSE)</f>
        <v>0</v>
      </c>
      <c r="HB66" s="6">
        <f>VLOOKUP(HB$43, CAMEO!$G$3:$J$9, 4, FALSE)</f>
        <v>0</v>
      </c>
      <c r="HC66" s="6">
        <f>VLOOKUP(HC$43, CAMEO!$G$3:$J$9, 4, FALSE)</f>
        <v>0</v>
      </c>
      <c r="HD66" s="6">
        <f>VLOOKUP(HD$43, CAMEO!$G$3:$J$9, 4, FALSE)</f>
        <v>0</v>
      </c>
      <c r="HE66" s="6">
        <f>VLOOKUP(HE$43, CAMEO!$G$3:$J$9, 4, FALSE)</f>
        <v>0</v>
      </c>
      <c r="HF66" s="6">
        <f>VLOOKUP(HF$43, CAMEO!$G$3:$J$9, 4, FALSE)</f>
        <v>0</v>
      </c>
      <c r="HG66" s="6">
        <f>VLOOKUP(HG$43, CAMEO!$G$3:$J$9, 4, FALSE)</f>
        <v>0</v>
      </c>
      <c r="HH66" s="6">
        <f>VLOOKUP(HH$43, CAMEO!$G$3:$J$9, 4, FALSE)</f>
        <v>0</v>
      </c>
      <c r="HI66" s="6">
        <f>VLOOKUP(HI$43, CAMEO!$G$3:$J$9, 4, FALSE)</f>
        <v>0</v>
      </c>
      <c r="HJ66" s="6">
        <f>VLOOKUP(HJ$43, CAMEO!$G$3:$J$9, 4, FALSE)</f>
        <v>0</v>
      </c>
      <c r="HK66" s="6">
        <f>VLOOKUP(HK$43, CAMEO!$G$3:$J$9, 4, FALSE)</f>
        <v>0</v>
      </c>
      <c r="HL66" s="6">
        <f>VLOOKUP(HL$43, CAMEO!$G$3:$J$9, 4, FALSE)</f>
        <v>0</v>
      </c>
      <c r="HM66" s="6">
        <f>VLOOKUP(HM$43, CAMEO!$G$3:$J$9, 4, FALSE)</f>
        <v>0</v>
      </c>
      <c r="HN66" s="6">
        <f>VLOOKUP(HN$43, CAMEO!$G$3:$J$9, 4, FALSE)</f>
        <v>0</v>
      </c>
      <c r="HO66" s="6">
        <f>VLOOKUP(HO$43, CAMEO!$G$3:$J$9, 4, FALSE)</f>
        <v>0</v>
      </c>
      <c r="HP66" s="6">
        <f>VLOOKUP(HP$43, CAMEO!$G$3:$J$9, 4, FALSE)</f>
        <v>0</v>
      </c>
      <c r="HQ66" s="6">
        <f>VLOOKUP(HQ$43, CAMEO!$G$3:$J$9, 4, FALSE)</f>
        <v>0</v>
      </c>
      <c r="HR66" s="6">
        <f>VLOOKUP(HR$43, CAMEO!$G$3:$J$9, 4, FALSE)</f>
        <v>0</v>
      </c>
      <c r="HS66" s="6">
        <f>VLOOKUP(HS$43, CAMEO!$G$3:$J$9, 4, FALSE)</f>
        <v>0</v>
      </c>
      <c r="HT66" s="6">
        <f>VLOOKUP(HT$43, CAMEO!$G$3:$J$9, 4, FALSE)</f>
        <v>0</v>
      </c>
      <c r="HU66" s="6">
        <f>VLOOKUP(HU$43, CAMEO!$G$3:$J$9, 4, FALSE)</f>
        <v>0</v>
      </c>
      <c r="HV66" s="6">
        <f>VLOOKUP(HV$43, CAMEO!$G$3:$J$9, 4, FALSE)</f>
        <v>0</v>
      </c>
      <c r="HW66" s="6">
        <f>VLOOKUP(HW$43, CAMEO!$G$3:$J$9, 4, FALSE)</f>
        <v>0</v>
      </c>
      <c r="HX66" s="6">
        <f>VLOOKUP(HX$43, CAMEO!$G$3:$J$9, 4, FALSE)</f>
        <v>0</v>
      </c>
      <c r="HY66" s="6">
        <f>VLOOKUP(HY$43, CAMEO!$G$3:$J$9, 4, FALSE)</f>
        <v>0</v>
      </c>
      <c r="HZ66" s="6">
        <f>VLOOKUP(HZ$43, CAMEO!$G$3:$J$9, 4, FALSE)</f>
        <v>0</v>
      </c>
      <c r="IA66" s="6">
        <f>VLOOKUP(IA$43, CAMEO!$G$3:$J$9, 4, FALSE)</f>
        <v>0</v>
      </c>
      <c r="IB66" s="6">
        <f>VLOOKUP(IB$43, CAMEO!$G$3:$J$9, 4, FALSE)</f>
        <v>0</v>
      </c>
      <c r="IC66" s="6">
        <f>VLOOKUP(IC$43, CAMEO!$G$3:$J$9, 4, FALSE)</f>
        <v>0</v>
      </c>
      <c r="ID66" s="6">
        <f>VLOOKUP(ID$43, CAMEO!$G$3:$J$9, 4, FALSE)</f>
        <v>0</v>
      </c>
      <c r="IE66" s="6">
        <f>VLOOKUP(IE$43, CAMEO!$G$3:$J$9, 4, FALSE)</f>
        <v>0</v>
      </c>
      <c r="IF66" s="6">
        <f>VLOOKUP(IF$43, CAMEO!$G$3:$J$9, 4, FALSE)</f>
        <v>0</v>
      </c>
      <c r="IG66" s="6">
        <f>VLOOKUP(IG$43, CAMEO!$G$3:$J$9, 4, FALSE)</f>
        <v>0</v>
      </c>
      <c r="IH66" s="6">
        <f>VLOOKUP(IH$43, CAMEO!$G$3:$J$9, 4, FALSE)</f>
        <v>0</v>
      </c>
      <c r="II66" s="6">
        <f>VLOOKUP(II$43, CAMEO!$G$3:$J$9, 4, FALSE)</f>
        <v>0</v>
      </c>
      <c r="IJ66" s="6">
        <f>VLOOKUP(IJ$43, CAMEO!$G$3:$J$9, 4, FALSE)</f>
        <v>0</v>
      </c>
      <c r="IK66" s="6">
        <f>VLOOKUP(IK$43, CAMEO!$G$3:$J$9, 4, FALSE)</f>
        <v>0</v>
      </c>
      <c r="IL66" s="6">
        <f>VLOOKUP(IL$43, CAMEO!$G$3:$J$9, 4, FALSE)</f>
        <v>0</v>
      </c>
      <c r="IM66" s="6">
        <f>VLOOKUP(IM$43, CAMEO!$G$3:$J$9, 4, FALSE)</f>
        <v>0</v>
      </c>
      <c r="IN66" s="6">
        <f>VLOOKUP(IN$43, CAMEO!$G$3:$J$9, 4, FALSE)</f>
        <v>0</v>
      </c>
      <c r="IO66" s="6">
        <f>VLOOKUP(IO$43, CAMEO!$G$3:$J$9, 4, FALSE)</f>
        <v>0</v>
      </c>
      <c r="IP66" s="6">
        <f>VLOOKUP(IP$43, CAMEO!$G$3:$J$9, 4, FALSE)</f>
        <v>0</v>
      </c>
      <c r="IQ66" s="6">
        <f>VLOOKUP(IQ$43, CAMEO!$G$3:$J$9, 4, FALSE)</f>
        <v>0</v>
      </c>
      <c r="IR66" s="6">
        <f>VLOOKUP(IR$43, CAMEO!$G$3:$J$9, 4, FALSE)</f>
        <v>0</v>
      </c>
      <c r="IS66" s="6">
        <f>VLOOKUP(IS$43, CAMEO!$G$3:$J$9, 4, FALSE)</f>
        <v>0</v>
      </c>
      <c r="IT66" s="6">
        <f>VLOOKUP(IT$43, CAMEO!$G$3:$J$9, 4, FALSE)</f>
        <v>0</v>
      </c>
      <c r="IU66" s="6">
        <f>VLOOKUP(IU$43, CAMEO!$G$3:$J$9, 4, FALSE)</f>
        <v>0</v>
      </c>
      <c r="IV66" s="6">
        <f>VLOOKUP(IV$43, CAMEO!$G$3:$J$9, 4, FALSE)</f>
        <v>0</v>
      </c>
      <c r="IW66" s="6">
        <f>VLOOKUP(IW$43, CAMEO!$G$3:$J$9, 4, FALSE)</f>
        <v>0</v>
      </c>
      <c r="IX66" s="6">
        <f>VLOOKUP(IX$43, CAMEO!$G$3:$J$9, 4, FALSE)</f>
        <v>0</v>
      </c>
      <c r="IY66" s="6">
        <f>VLOOKUP(IY$43, CAMEO!$G$3:$J$9, 4, FALSE)</f>
        <v>0</v>
      </c>
      <c r="IZ66" s="6">
        <f>VLOOKUP(IZ$43, CAMEO!$G$3:$J$9, 4, FALSE)</f>
        <v>0</v>
      </c>
      <c r="JA66" s="6">
        <f>VLOOKUP(JA$43, CAMEO!$G$3:$J$9, 4, FALSE)</f>
        <v>0</v>
      </c>
      <c r="JB66" s="6">
        <f>VLOOKUP(JB$43, CAMEO!$G$3:$J$9, 4, FALSE)</f>
        <v>0</v>
      </c>
      <c r="JC66" s="6">
        <f>VLOOKUP(JC$43, CAMEO!$G$3:$J$9, 4, FALSE)</f>
        <v>0</v>
      </c>
      <c r="JD66" s="6">
        <f>VLOOKUP(JD$43, CAMEO!$G$3:$J$9, 4, FALSE)</f>
        <v>0</v>
      </c>
      <c r="JE66" s="6">
        <f>VLOOKUP(JE$43, CAMEO!$G$3:$J$9, 4, FALSE)</f>
        <v>0</v>
      </c>
      <c r="JF66" s="6">
        <f>VLOOKUP(JF$43, CAMEO!$G$3:$J$9, 4, FALSE)</f>
        <v>0</v>
      </c>
      <c r="JG66" s="6">
        <f>VLOOKUP(JG$43, CAMEO!$G$3:$J$9, 4, FALSE)</f>
        <v>0</v>
      </c>
      <c r="JH66" s="6">
        <f>VLOOKUP(JH$43, CAMEO!$G$3:$J$9, 4, FALSE)</f>
        <v>0</v>
      </c>
      <c r="JI66" s="6">
        <f>VLOOKUP(JI$43, CAMEO!$G$3:$J$9, 4, FALSE)</f>
        <v>0</v>
      </c>
      <c r="JJ66" s="6">
        <f>VLOOKUP(JJ$43, CAMEO!$G$3:$J$9, 4, FALSE)</f>
        <v>0</v>
      </c>
      <c r="JK66" s="6">
        <f>VLOOKUP(JK$43, CAMEO!$G$3:$J$9, 4, FALSE)</f>
        <v>0</v>
      </c>
      <c r="JL66" s="6">
        <f>VLOOKUP(JL$43, CAMEO!$G$3:$J$9, 4, FALSE)</f>
        <v>0</v>
      </c>
      <c r="JM66" s="6">
        <f>VLOOKUP(JM$43, CAMEO!$G$3:$J$9, 4, FALSE)</f>
        <v>0</v>
      </c>
      <c r="JN66" s="6">
        <f>VLOOKUP(JN$43, CAMEO!$G$3:$J$9, 4, FALSE)</f>
        <v>0</v>
      </c>
      <c r="JO66" s="6">
        <f>VLOOKUP(JO$43, CAMEO!$G$3:$J$9, 4, FALSE)</f>
        <v>0</v>
      </c>
      <c r="JP66" s="6">
        <f>VLOOKUP(JP$43, CAMEO!$G$3:$J$9, 4, FALSE)</f>
        <v>0</v>
      </c>
      <c r="JQ66" s="6">
        <f>VLOOKUP(JQ$43, CAMEO!$G$3:$J$9, 4, FALSE)</f>
        <v>0</v>
      </c>
      <c r="JR66" s="6">
        <f>VLOOKUP(JR$43, CAMEO!$G$3:$J$9, 4, FALSE)</f>
        <v>0</v>
      </c>
      <c r="JS66" s="6">
        <f>VLOOKUP(JS$43, CAMEO!$G$3:$J$9, 4, FALSE)</f>
        <v>0</v>
      </c>
      <c r="JT66" s="6">
        <f>VLOOKUP(JT$43, CAMEO!$G$3:$J$9, 4, FALSE)</f>
        <v>0</v>
      </c>
      <c r="JU66" s="6">
        <f>VLOOKUP(JU$43, CAMEO!$G$3:$J$9, 4, FALSE)</f>
        <v>0</v>
      </c>
      <c r="JV66" s="6">
        <f>VLOOKUP(JV$43, CAMEO!$G$3:$J$9, 4, FALSE)</f>
        <v>0</v>
      </c>
      <c r="JW66" s="6">
        <f>VLOOKUP(JW$43, CAMEO!$G$3:$J$9, 4, FALSE)</f>
        <v>0</v>
      </c>
      <c r="JX66" s="6">
        <f>VLOOKUP(JX$43, CAMEO!$G$3:$J$9, 4, FALSE)</f>
        <v>0</v>
      </c>
      <c r="JY66" s="6">
        <f>VLOOKUP(JY$43, CAMEO!$G$3:$J$9, 4, FALSE)</f>
        <v>0</v>
      </c>
      <c r="JZ66" s="6">
        <f>VLOOKUP(JZ$43, CAMEO!$G$3:$J$9, 4, FALSE)</f>
        <v>0</v>
      </c>
      <c r="KA66" s="6">
        <f>VLOOKUP(KA$43, CAMEO!$G$3:$J$9, 4, FALSE)</f>
        <v>0</v>
      </c>
      <c r="KB66" s="6">
        <f>VLOOKUP(KB$43, CAMEO!$G$3:$J$9, 4, FALSE)</f>
        <v>0</v>
      </c>
      <c r="KC66" s="6">
        <f>VLOOKUP(KC$43, CAMEO!$G$3:$J$9, 4, FALSE)</f>
        <v>0</v>
      </c>
      <c r="KD66" s="6">
        <f>VLOOKUP(KD$43, CAMEO!$G$3:$J$9, 4, FALSE)</f>
        <v>0</v>
      </c>
      <c r="KE66" s="6">
        <f>VLOOKUP(KE$43, CAMEO!$G$3:$J$9, 4, FALSE)</f>
        <v>0</v>
      </c>
      <c r="KF66" s="6">
        <f>VLOOKUP(KF$43, CAMEO!$G$3:$J$9, 4, FALSE)</f>
        <v>0</v>
      </c>
      <c r="KG66" s="6">
        <f>VLOOKUP(KG$43, CAMEO!$G$3:$J$9, 4, FALSE)</f>
        <v>0</v>
      </c>
      <c r="KH66" s="6">
        <f>VLOOKUP(KH$43, CAMEO!$G$3:$J$9, 4, FALSE)</f>
        <v>0</v>
      </c>
      <c r="KI66" s="6">
        <f>VLOOKUP(KI$43, CAMEO!$G$3:$J$9, 4, FALSE)</f>
        <v>0</v>
      </c>
      <c r="KJ66" s="6">
        <f>VLOOKUP(KJ$43, CAMEO!$G$3:$J$9, 4, FALSE)</f>
        <v>0</v>
      </c>
      <c r="KK66" s="6">
        <f>VLOOKUP(KK$43, CAMEO!$G$3:$J$9, 4, FALSE)</f>
        <v>0</v>
      </c>
      <c r="KL66" s="6">
        <f>VLOOKUP(KL$43, CAMEO!$G$3:$J$9, 4, FALSE)</f>
        <v>0</v>
      </c>
      <c r="KM66" s="6">
        <f>VLOOKUP(KM$43, CAMEO!$G$3:$J$9, 4, FALSE)</f>
        <v>0</v>
      </c>
      <c r="KN66" s="6">
        <f>VLOOKUP(KN$43, CAMEO!$G$3:$J$9, 4, FALSE)</f>
        <v>0</v>
      </c>
      <c r="KO66" s="6">
        <f>VLOOKUP(KO$43, CAMEO!$G$3:$J$9, 4, FALSE)</f>
        <v>0</v>
      </c>
      <c r="KP66" s="6">
        <f>VLOOKUP(KP$43, CAMEO!$G$3:$J$9, 4, FALSE)</f>
        <v>0</v>
      </c>
      <c r="KQ66" s="6">
        <f>VLOOKUP(KQ$43, CAMEO!$G$3:$J$9, 4, FALSE)</f>
        <v>0</v>
      </c>
      <c r="KR66" s="6">
        <f>VLOOKUP(KR$43, CAMEO!$G$3:$J$9, 4, FALSE)</f>
        <v>0</v>
      </c>
      <c r="KS66" s="6">
        <f>VLOOKUP(KS$43, CAMEO!$G$3:$J$9, 4, FALSE)</f>
        <v>0</v>
      </c>
      <c r="KT66" s="6">
        <f>VLOOKUP(KT$43, CAMEO!$G$3:$J$9, 4, FALSE)</f>
        <v>0</v>
      </c>
      <c r="KU66" s="6">
        <f>VLOOKUP(KU$43, CAMEO!$G$3:$J$9, 4, FALSE)</f>
        <v>0</v>
      </c>
      <c r="KV66" s="6">
        <f>VLOOKUP(KV$43, CAMEO!$G$3:$J$9, 4, FALSE)</f>
        <v>0</v>
      </c>
      <c r="KW66" s="6">
        <f>VLOOKUP(KW$43, CAMEO!$G$3:$J$9, 4, FALSE)</f>
        <v>0</v>
      </c>
      <c r="KX66" s="6">
        <f>VLOOKUP(KX$43, CAMEO!$G$3:$J$9, 4, FALSE)</f>
        <v>0</v>
      </c>
      <c r="KY66" s="6">
        <f>VLOOKUP(KY$43, CAMEO!$G$3:$J$9, 4, FALSE)</f>
        <v>0</v>
      </c>
      <c r="KZ66" s="6">
        <f>VLOOKUP(KZ$43, CAMEO!$G$3:$J$9, 4, FALSE)</f>
        <v>0</v>
      </c>
      <c r="LA66" s="6">
        <f>VLOOKUP(LA$43, CAMEO!$G$3:$J$9, 4, FALSE)</f>
        <v>0</v>
      </c>
      <c r="LB66" s="6">
        <f>VLOOKUP(LB$43, CAMEO!$G$3:$J$9, 4, FALSE)</f>
        <v>0</v>
      </c>
      <c r="LC66" s="6">
        <f>VLOOKUP(LC$43, CAMEO!$G$3:$J$9, 4, FALSE)</f>
        <v>0</v>
      </c>
      <c r="LD66" s="6">
        <f>VLOOKUP(LD$43, CAMEO!$G$3:$J$9, 4, FALSE)</f>
        <v>0</v>
      </c>
      <c r="LE66" s="6">
        <f>VLOOKUP(LE$43, CAMEO!$G$3:$J$9, 4, FALSE)</f>
        <v>0</v>
      </c>
      <c r="LF66" s="6">
        <f>VLOOKUP(LF$43, CAMEO!$G$3:$J$9, 4, FALSE)</f>
        <v>0</v>
      </c>
      <c r="LG66" s="6">
        <f>VLOOKUP(LG$43, CAMEO!$G$3:$J$9, 4, FALSE)</f>
        <v>0</v>
      </c>
      <c r="LH66" s="6">
        <f>VLOOKUP(LH$43, CAMEO!$G$3:$J$9, 4, FALSE)</f>
        <v>0</v>
      </c>
      <c r="LI66" s="6">
        <f>VLOOKUP(LI$43, CAMEO!$G$3:$J$9, 4, FALSE)</f>
        <v>0</v>
      </c>
      <c r="LJ66" s="6">
        <f>VLOOKUP(LJ$43, CAMEO!$G$3:$J$9, 4, FALSE)</f>
        <v>0</v>
      </c>
      <c r="LK66" s="6">
        <f>VLOOKUP(LK$43, CAMEO!$G$3:$J$9, 4, FALSE)</f>
        <v>0</v>
      </c>
      <c r="LL66" s="6">
        <f>VLOOKUP(LL$43, CAMEO!$G$3:$J$9, 4, FALSE)</f>
        <v>0</v>
      </c>
      <c r="LM66" s="6">
        <f>VLOOKUP(LM$43, CAMEO!$G$3:$J$9, 4, FALSE)</f>
        <v>0</v>
      </c>
      <c r="LN66" s="6">
        <f>VLOOKUP(LN$43, CAMEO!$G$3:$J$9, 4, FALSE)</f>
        <v>0</v>
      </c>
      <c r="LO66" s="6">
        <f>VLOOKUP(LO$43, CAMEO!$G$3:$J$9, 4, FALSE)</f>
        <v>0</v>
      </c>
      <c r="LP66" s="6">
        <f>VLOOKUP(LP$43, CAMEO!$G$3:$J$9, 4, FALSE)</f>
        <v>0</v>
      </c>
      <c r="LQ66" s="6">
        <f>VLOOKUP(LQ$43, CAMEO!$G$3:$J$9, 4, FALSE)</f>
        <v>0</v>
      </c>
      <c r="LR66" s="6">
        <f>VLOOKUP(LR$43, CAMEO!$G$3:$J$9, 4, FALSE)</f>
        <v>0</v>
      </c>
      <c r="LS66" s="6">
        <f>VLOOKUP(LS$43, CAMEO!$G$3:$J$9, 4, FALSE)</f>
        <v>0</v>
      </c>
      <c r="LT66" s="6">
        <f>VLOOKUP(LT$43, CAMEO!$G$3:$J$9, 4, FALSE)</f>
        <v>0</v>
      </c>
      <c r="LU66" s="6">
        <f>VLOOKUP(LU$43, CAMEO!$G$3:$J$9, 4, FALSE)</f>
        <v>0</v>
      </c>
      <c r="LV66" s="6">
        <f>VLOOKUP(LV$43, CAMEO!$G$3:$J$9, 4, FALSE)</f>
        <v>0</v>
      </c>
      <c r="LW66" s="6">
        <f>VLOOKUP(LW$43, CAMEO!$G$3:$J$9, 4, FALSE)</f>
        <v>0</v>
      </c>
      <c r="LX66" s="6">
        <f>VLOOKUP(LX$43, CAMEO!$G$3:$J$9, 4, FALSE)</f>
        <v>0</v>
      </c>
      <c r="LY66" s="6">
        <f>VLOOKUP(LY$43, CAMEO!$G$3:$J$9, 4, FALSE)</f>
        <v>0</v>
      </c>
      <c r="LZ66" s="6">
        <f>VLOOKUP(LZ$43, CAMEO!$G$3:$J$9, 4, FALSE)</f>
        <v>0</v>
      </c>
      <c r="MA66" s="6">
        <f>VLOOKUP(MA$43, CAMEO!$G$3:$J$9, 4, FALSE)</f>
        <v>0</v>
      </c>
      <c r="MB66" s="6">
        <f>VLOOKUP(MB$43, CAMEO!$G$3:$J$9, 4, FALSE)</f>
        <v>0</v>
      </c>
      <c r="MC66" s="6">
        <f>VLOOKUP(MC$43, CAMEO!$G$3:$J$9, 4, FALSE)</f>
        <v>0</v>
      </c>
      <c r="MD66" s="6">
        <f>VLOOKUP(MD$43, CAMEO!$G$3:$J$9, 4, FALSE)</f>
        <v>0</v>
      </c>
      <c r="ME66" s="6">
        <f>VLOOKUP(ME$43, CAMEO!$G$3:$J$9, 4, FALSE)</f>
        <v>0</v>
      </c>
      <c r="MF66" s="6">
        <f>VLOOKUP(MF$43, CAMEO!$G$3:$J$9, 4, FALSE)</f>
        <v>0</v>
      </c>
      <c r="MG66" s="6">
        <f>VLOOKUP(MG$43, CAMEO!$G$3:$J$9, 4, FALSE)</f>
        <v>0</v>
      </c>
      <c r="MH66" s="6">
        <f>VLOOKUP(MH$43, CAMEO!$G$3:$J$9, 4, FALSE)</f>
        <v>0</v>
      </c>
      <c r="MI66" s="6">
        <f>VLOOKUP(MI$43, CAMEO!$G$3:$J$9, 4, FALSE)</f>
        <v>0</v>
      </c>
      <c r="MJ66" s="6">
        <f>VLOOKUP(MJ$43, CAMEO!$G$3:$J$9, 4, FALSE)</f>
        <v>0</v>
      </c>
      <c r="MK66" s="6">
        <f>VLOOKUP(MK$43, CAMEO!$G$3:$J$9, 4, FALSE)</f>
        <v>0</v>
      </c>
      <c r="ML66" s="6">
        <f>VLOOKUP(ML$43, CAMEO!$G$3:$J$9, 4, FALSE)</f>
        <v>0</v>
      </c>
      <c r="MM66" s="6">
        <f>VLOOKUP(MM$43, CAMEO!$G$3:$J$9, 4, FALSE)</f>
        <v>0</v>
      </c>
      <c r="MN66" s="6">
        <f>VLOOKUP(MN$43, CAMEO!$G$3:$J$9, 4, FALSE)</f>
        <v>0</v>
      </c>
      <c r="MO66" s="6">
        <f>VLOOKUP(MO$43, CAMEO!$G$3:$J$9, 4, FALSE)</f>
        <v>0</v>
      </c>
      <c r="MP66" s="6">
        <f>VLOOKUP(MP$43, CAMEO!$G$3:$J$9, 4, FALSE)</f>
        <v>0</v>
      </c>
      <c r="MQ66" s="6">
        <f>VLOOKUP(MQ$43, CAMEO!$G$3:$J$9, 4, FALSE)</f>
        <v>0</v>
      </c>
      <c r="MR66" s="6">
        <f>VLOOKUP(MR$43, CAMEO!$G$3:$J$9, 4, FALSE)</f>
        <v>0</v>
      </c>
      <c r="MS66" s="6">
        <f>VLOOKUP(MS$43, CAMEO!$G$3:$J$9, 4, FALSE)</f>
        <v>0</v>
      </c>
      <c r="MT66" s="6">
        <f>VLOOKUP(MT$43, CAMEO!$G$3:$J$9, 4, FALSE)</f>
        <v>0</v>
      </c>
      <c r="MU66" s="6">
        <f>VLOOKUP(MU$43, CAMEO!$G$3:$J$9, 4, FALSE)</f>
        <v>0</v>
      </c>
      <c r="MV66" s="6">
        <f>VLOOKUP(MV$43, CAMEO!$G$3:$J$9, 4, FALSE)</f>
        <v>0</v>
      </c>
      <c r="MW66" s="6">
        <f>VLOOKUP(MW$43, CAMEO!$G$3:$J$9, 4, FALSE)</f>
        <v>0</v>
      </c>
      <c r="MX66" s="6">
        <f>VLOOKUP(MX$43, CAMEO!$G$3:$J$9, 4, FALSE)</f>
        <v>0</v>
      </c>
      <c r="MY66" s="6">
        <f>VLOOKUP(MY$43, CAMEO!$G$3:$J$9, 4, FALSE)</f>
        <v>0</v>
      </c>
      <c r="MZ66" s="6">
        <f>VLOOKUP(MZ$43, CAMEO!$G$3:$J$9, 4, FALSE)</f>
        <v>0</v>
      </c>
      <c r="NA66" s="6">
        <f>VLOOKUP(NA$43, CAMEO!$G$3:$J$9, 4, FALSE)</f>
        <v>0</v>
      </c>
      <c r="NB66" s="6">
        <f>VLOOKUP(NB$43, CAMEO!$G$3:$J$9, 4, FALSE)</f>
        <v>0</v>
      </c>
      <c r="NC66" s="6">
        <f>VLOOKUP(NC$43, CAMEO!$G$3:$J$9, 4, FALSE)</f>
        <v>0</v>
      </c>
      <c r="ND66" s="6">
        <f>VLOOKUP(ND$43, CAMEO!$G$3:$J$9, 4, FALSE)</f>
        <v>0</v>
      </c>
      <c r="NE66" s="6">
        <f>VLOOKUP(NE$43, CAMEO!$G$3:$J$9, 4, FALSE)</f>
        <v>0</v>
      </c>
      <c r="NF66" s="6">
        <f>VLOOKUP(NF$43, CAMEO!$G$3:$J$9, 4, FALSE)</f>
        <v>0</v>
      </c>
      <c r="NG66" s="6">
        <f>VLOOKUP(NG$43, CAMEO!$G$3:$J$9, 4, FALSE)</f>
        <v>0</v>
      </c>
      <c r="NH66" s="6">
        <f>VLOOKUP(NH$43, CAMEO!$G$3:$J$9, 4, FALSE)</f>
        <v>0</v>
      </c>
      <c r="NI66" s="6">
        <f>VLOOKUP(NI$43, CAMEO!$G$3:$J$9, 4, FALSE)</f>
        <v>0</v>
      </c>
      <c r="NJ66" s="6">
        <f>VLOOKUP(NJ$43, CAMEO!$G$3:$J$9, 4, FALSE)</f>
        <v>0</v>
      </c>
      <c r="NK66" s="6">
        <f>VLOOKUP(NK$43, CAMEO!$G$3:$J$9, 4, FALSE)</f>
        <v>0</v>
      </c>
      <c r="NL66" s="6">
        <f>VLOOKUP(NL$43, CAMEO!$G$3:$J$9, 4, FALSE)</f>
        <v>0</v>
      </c>
      <c r="NM66" s="6">
        <f>VLOOKUP(NM$43, CAMEO!$G$3:$J$9, 4, FALSE)</f>
        <v>0</v>
      </c>
      <c r="NN66" s="6">
        <f>VLOOKUP(NN$43, CAMEO!$G$3:$J$9, 4, FALSE)</f>
        <v>0</v>
      </c>
      <c r="NO66" s="6">
        <f>VLOOKUP(NO$43, CAMEO!$G$3:$J$9, 4, FALSE)</f>
        <v>0</v>
      </c>
      <c r="NP66" s="6">
        <f>VLOOKUP(NP$43, CAMEO!$G$3:$J$9, 4, FALSE)</f>
        <v>0</v>
      </c>
      <c r="NQ66" s="6">
        <f>VLOOKUP(NQ$43, CAMEO!$G$3:$J$9, 4, FALSE)</f>
        <v>0</v>
      </c>
      <c r="NR66" s="6">
        <f>VLOOKUP(NR$43, CAMEO!$G$3:$J$9, 4, FALSE)</f>
        <v>0</v>
      </c>
      <c r="NS66" s="6">
        <f>VLOOKUP(NS$43, CAMEO!$G$3:$J$9, 4, FALSE)</f>
        <v>0</v>
      </c>
      <c r="NT66" s="6">
        <f>VLOOKUP(NT$43, CAMEO!$G$3:$J$9, 4, FALSE)</f>
        <v>0</v>
      </c>
      <c r="NU66" s="6">
        <f>VLOOKUP(NU$43, CAMEO!$G$3:$J$9, 4, FALSE)</f>
        <v>0</v>
      </c>
      <c r="NV66" s="6">
        <f>VLOOKUP(NV$43, CAMEO!$G$3:$J$9, 4, FALSE)</f>
        <v>0</v>
      </c>
      <c r="NW66" s="6">
        <f>VLOOKUP(NW$43, CAMEO!$G$3:$J$9, 4, FALSE)</f>
        <v>0</v>
      </c>
      <c r="NX66" s="6">
        <f>VLOOKUP(NX$43, CAMEO!$G$3:$J$9, 4, FALSE)</f>
        <v>0</v>
      </c>
      <c r="NY66" s="6">
        <f>VLOOKUP(NY$43, CAMEO!$G$3:$J$9, 4, FALSE)</f>
        <v>0</v>
      </c>
      <c r="NZ66" s="6">
        <f>VLOOKUP(NZ$43, CAMEO!$G$3:$J$9, 4, FALSE)</f>
        <v>0</v>
      </c>
      <c r="OA66" s="6">
        <f>VLOOKUP(OA$43, CAMEO!$G$3:$J$9, 4, FALSE)</f>
        <v>0</v>
      </c>
      <c r="OB66" s="6">
        <f>VLOOKUP(OB$43, CAMEO!$G$3:$J$9, 4, FALSE)</f>
        <v>0</v>
      </c>
      <c r="OC66" s="6">
        <f>VLOOKUP(OC$43, CAMEO!$G$3:$J$9, 4, FALSE)</f>
        <v>0</v>
      </c>
      <c r="OD66" s="6">
        <f>VLOOKUP(OD$43, CAMEO!$G$3:$J$9, 4, FALSE)</f>
        <v>0</v>
      </c>
      <c r="OE66" s="6">
        <f>VLOOKUP(OE$43, CAMEO!$G$3:$J$9, 4, FALSE)</f>
        <v>0</v>
      </c>
      <c r="OF66" s="6">
        <f>VLOOKUP(OF$43, CAMEO!$G$3:$J$9, 4, FALSE)</f>
        <v>0</v>
      </c>
      <c r="OG66" s="6">
        <f>VLOOKUP(OG$43, CAMEO!$G$3:$J$9, 4, FALSE)</f>
        <v>0</v>
      </c>
      <c r="OH66" s="6">
        <f>VLOOKUP(OH$43, CAMEO!$G$3:$J$9, 4, FALSE)</f>
        <v>0</v>
      </c>
      <c r="OI66" s="6">
        <f>VLOOKUP(OI$43, CAMEO!$G$3:$J$9, 4, FALSE)</f>
        <v>0</v>
      </c>
      <c r="OJ66" s="6">
        <f>VLOOKUP(OJ$43, CAMEO!$G$3:$J$9, 4, FALSE)</f>
        <v>0</v>
      </c>
      <c r="OK66" s="6">
        <f>VLOOKUP(OK$43, CAMEO!$G$3:$J$9, 4, FALSE)</f>
        <v>0</v>
      </c>
      <c r="OL66" s="6">
        <f>VLOOKUP(OL$43, CAMEO!$G$3:$J$9, 4, FALSE)</f>
        <v>0</v>
      </c>
      <c r="OM66" s="6">
        <f>VLOOKUP(OM$43, CAMEO!$G$3:$J$9, 4, FALSE)</f>
        <v>0</v>
      </c>
      <c r="ON66" s="6">
        <f>VLOOKUP(ON$43, CAMEO!$G$3:$J$9, 4, FALSE)</f>
        <v>0</v>
      </c>
      <c r="OO66" s="6">
        <f>VLOOKUP(OO$43, CAMEO!$G$3:$J$9, 4, FALSE)</f>
        <v>0</v>
      </c>
      <c r="OP66" s="6">
        <f>VLOOKUP(OP$43, CAMEO!$G$3:$J$9, 4, FALSE)</f>
        <v>0</v>
      </c>
      <c r="OQ66" s="6">
        <f>VLOOKUP(OQ$43, CAMEO!$G$3:$J$9, 4, FALSE)</f>
        <v>0</v>
      </c>
      <c r="OR66" s="6">
        <f>VLOOKUP(OR$43, CAMEO!$G$3:$J$9, 4, FALSE)</f>
        <v>0</v>
      </c>
      <c r="OS66" s="6">
        <f>VLOOKUP(OS$43, CAMEO!$G$3:$J$9, 4, FALSE)</f>
        <v>0</v>
      </c>
      <c r="OT66" s="6">
        <f>VLOOKUP(OT$43, CAMEO!$G$3:$J$9, 4, FALSE)</f>
        <v>0</v>
      </c>
      <c r="OU66" s="6">
        <f>VLOOKUP(OU$43, CAMEO!$G$3:$J$9, 4, FALSE)</f>
        <v>0</v>
      </c>
      <c r="OV66" s="6">
        <f>VLOOKUP(OV$43, CAMEO!$G$3:$J$9, 4, FALSE)</f>
        <v>0</v>
      </c>
      <c r="OW66" s="6">
        <f>VLOOKUP(OW$43, CAMEO!$G$3:$J$9, 4, FALSE)</f>
        <v>0</v>
      </c>
      <c r="OX66" s="6">
        <f>VLOOKUP(OX$43, CAMEO!$G$3:$J$9, 4, FALSE)</f>
        <v>0</v>
      </c>
      <c r="OY66" s="6">
        <f>VLOOKUP(OY$43, CAMEO!$G$3:$J$9, 4, FALSE)</f>
        <v>0</v>
      </c>
      <c r="OZ66" s="6">
        <f>VLOOKUP(OZ$43, CAMEO!$G$3:$J$9, 4, FALSE)</f>
        <v>0</v>
      </c>
      <c r="PA66" s="6">
        <f>VLOOKUP(PA$43, CAMEO!$G$3:$J$9, 4, FALSE)</f>
        <v>0</v>
      </c>
      <c r="PB66" s="6">
        <f>VLOOKUP(PB$43, CAMEO!$G$3:$J$9, 4, FALSE)</f>
        <v>0</v>
      </c>
      <c r="PC66" s="6">
        <f>VLOOKUP(PC$43, CAMEO!$G$3:$J$9, 4, FALSE)</f>
        <v>0</v>
      </c>
      <c r="PD66" s="6">
        <f>VLOOKUP(PD$43, CAMEO!$G$3:$J$9, 4, FALSE)</f>
        <v>0</v>
      </c>
      <c r="PE66" s="6">
        <f>VLOOKUP(PE$43, CAMEO!$G$3:$J$9, 4, FALSE)</f>
        <v>0</v>
      </c>
      <c r="PF66" s="6">
        <f>VLOOKUP(PF$43, CAMEO!$G$3:$J$9, 4, FALSE)</f>
        <v>0</v>
      </c>
      <c r="PG66" s="6">
        <f>VLOOKUP(PG$43, CAMEO!$G$3:$J$9, 4, FALSE)</f>
        <v>0</v>
      </c>
      <c r="PH66" s="6">
        <f>VLOOKUP(PH$43, CAMEO!$G$3:$J$9, 4, FALSE)</f>
        <v>0</v>
      </c>
      <c r="PI66" s="6">
        <f>VLOOKUP(PI$43, CAMEO!$G$3:$J$9, 4, FALSE)</f>
        <v>0</v>
      </c>
      <c r="PJ66" s="6">
        <f>VLOOKUP(PJ$43, CAMEO!$G$3:$J$9, 4, FALSE)</f>
        <v>0</v>
      </c>
      <c r="PK66" s="6">
        <f>VLOOKUP(PK$43, CAMEO!$G$3:$J$9, 4, FALSE)</f>
        <v>0</v>
      </c>
      <c r="PL66" s="6">
        <f>VLOOKUP(PL$43, CAMEO!$G$3:$J$9, 4, FALSE)</f>
        <v>0</v>
      </c>
      <c r="PM66" s="6">
        <f>VLOOKUP(PM$43, CAMEO!$G$3:$J$9, 4, FALSE)</f>
        <v>0</v>
      </c>
      <c r="PN66" s="6">
        <f>VLOOKUP(PN$43, CAMEO!$G$3:$J$9, 4, FALSE)</f>
        <v>0</v>
      </c>
      <c r="PO66" s="6">
        <f>VLOOKUP(PO$43, CAMEO!$G$3:$J$9, 4, FALSE)</f>
        <v>0</v>
      </c>
      <c r="PP66" s="6">
        <f>VLOOKUP(PP$43, CAMEO!$G$3:$J$9, 4, FALSE)</f>
        <v>0</v>
      </c>
      <c r="PQ66" s="6">
        <f>VLOOKUP(PQ$43, CAMEO!$G$3:$J$9, 4, FALSE)</f>
        <v>0</v>
      </c>
      <c r="PR66" s="6">
        <f>VLOOKUP(PR$43, CAMEO!$G$3:$J$9, 4, FALSE)</f>
        <v>0</v>
      </c>
      <c r="PS66" s="6">
        <f>VLOOKUP(PS$43, CAMEO!$G$3:$J$9, 4, FALSE)</f>
        <v>0</v>
      </c>
      <c r="PT66" s="6">
        <f>VLOOKUP(PT$43, CAMEO!$G$3:$J$9, 4, FALSE)</f>
        <v>0</v>
      </c>
      <c r="PU66" s="6">
        <f>VLOOKUP(PU$43, CAMEO!$G$3:$J$9, 4, FALSE)</f>
        <v>0</v>
      </c>
      <c r="PV66" s="6">
        <f>VLOOKUP(PV$43, CAMEO!$G$3:$J$9, 4, FALSE)</f>
        <v>0</v>
      </c>
      <c r="PW66" s="6">
        <f>VLOOKUP(PW$43, CAMEO!$G$3:$J$9, 4, FALSE)</f>
        <v>0</v>
      </c>
      <c r="PX66" s="6">
        <f>VLOOKUP(PX$43, CAMEO!$G$3:$J$9, 4, FALSE)</f>
        <v>0</v>
      </c>
      <c r="PY66" s="6">
        <f>VLOOKUP(PY$43, CAMEO!$G$3:$J$9, 4, FALSE)</f>
        <v>0</v>
      </c>
      <c r="PZ66" s="6">
        <f>VLOOKUP(PZ$43, CAMEO!$G$3:$J$9, 4, FALSE)</f>
        <v>0</v>
      </c>
      <c r="QA66" s="6">
        <f>VLOOKUP(QA$43, CAMEO!$G$3:$J$9, 4, FALSE)</f>
        <v>0</v>
      </c>
      <c r="QB66" s="6">
        <f>VLOOKUP(QB$43, CAMEO!$G$3:$J$9, 4, FALSE)</f>
        <v>0</v>
      </c>
      <c r="QC66" s="6">
        <f>VLOOKUP(QC$43, CAMEO!$G$3:$J$9, 4, FALSE)</f>
        <v>0</v>
      </c>
      <c r="QD66" s="6">
        <f>VLOOKUP(QD$43, CAMEO!$G$3:$J$9, 4, FALSE)</f>
        <v>0</v>
      </c>
      <c r="QE66" s="6">
        <f>VLOOKUP(QE$43, CAMEO!$G$3:$J$9, 4, FALSE)</f>
        <v>0</v>
      </c>
      <c r="QF66" s="6">
        <f>VLOOKUP(QF$43, CAMEO!$G$3:$J$9, 4, FALSE)</f>
        <v>0</v>
      </c>
      <c r="QG66" s="6">
        <f>VLOOKUP(QG$43, CAMEO!$G$3:$J$9, 4, FALSE)</f>
        <v>0</v>
      </c>
      <c r="QH66" s="6">
        <f>VLOOKUP(QH$43, CAMEO!$G$3:$J$9, 4, FALSE)</f>
        <v>0</v>
      </c>
      <c r="QI66" s="6">
        <f>VLOOKUP(QI$43, CAMEO!$G$3:$J$9, 4, FALSE)</f>
        <v>0</v>
      </c>
      <c r="QJ66" s="6">
        <f>VLOOKUP(QJ$43, CAMEO!$G$3:$J$9, 4, FALSE)</f>
        <v>0</v>
      </c>
      <c r="QK66" s="6">
        <f>VLOOKUP(QK$43, CAMEO!$G$3:$J$9, 4, FALSE)</f>
        <v>0</v>
      </c>
      <c r="QL66" s="6">
        <f>VLOOKUP(QL$43, CAMEO!$G$3:$J$9, 4, FALSE)</f>
        <v>0</v>
      </c>
      <c r="QM66" s="6">
        <f>VLOOKUP(QM$43, CAMEO!$G$3:$J$9, 4, FALSE)</f>
        <v>0</v>
      </c>
      <c r="QN66" s="6">
        <f>VLOOKUP(QN$43, CAMEO!$G$3:$J$9, 4, FALSE)</f>
        <v>0</v>
      </c>
      <c r="QO66" s="6">
        <f>VLOOKUP(QO$43, CAMEO!$G$3:$J$9, 4, FALSE)</f>
        <v>0</v>
      </c>
      <c r="QP66" s="6">
        <f>VLOOKUP(QP$43, CAMEO!$G$3:$J$9, 4, FALSE)</f>
        <v>0</v>
      </c>
      <c r="QQ66" s="6">
        <f>VLOOKUP(QQ$43, CAMEO!$G$3:$J$9, 4, FALSE)</f>
        <v>0</v>
      </c>
      <c r="QR66" s="6">
        <f>VLOOKUP(QR$43, CAMEO!$G$3:$J$9, 4, FALSE)</f>
        <v>0</v>
      </c>
      <c r="QS66" s="6">
        <f>VLOOKUP(QS$43, CAMEO!$G$3:$J$9, 4, FALSE)</f>
        <v>0</v>
      </c>
      <c r="QT66" s="6">
        <f>VLOOKUP(QT$43, CAMEO!$G$3:$J$9, 4, FALSE)</f>
        <v>0</v>
      </c>
      <c r="QU66" s="6">
        <f>VLOOKUP(QU$43, CAMEO!$G$3:$J$9, 4, FALSE)</f>
        <v>0</v>
      </c>
      <c r="QV66" s="6">
        <f>VLOOKUP(QV$43, CAMEO!$G$3:$J$9, 4, FALSE)</f>
        <v>0</v>
      </c>
      <c r="QW66" s="6">
        <f>VLOOKUP(QW$43, CAMEO!$G$3:$J$9, 4, FALSE)</f>
        <v>0</v>
      </c>
      <c r="QX66" s="6">
        <f>VLOOKUP(QX$43, CAMEO!$G$3:$J$9, 4, FALSE)</f>
        <v>0</v>
      </c>
      <c r="QY66" s="6">
        <f>VLOOKUP(QY$43, CAMEO!$G$3:$J$9, 4, FALSE)</f>
        <v>0</v>
      </c>
      <c r="QZ66" s="6">
        <f>VLOOKUP(QZ$43, CAMEO!$G$3:$J$9, 4, FALSE)</f>
        <v>0</v>
      </c>
      <c r="RA66" s="6">
        <f>VLOOKUP(RA$43, CAMEO!$G$3:$J$9, 4, FALSE)</f>
        <v>0</v>
      </c>
      <c r="RB66" s="6">
        <f>VLOOKUP(RB$43, CAMEO!$G$3:$J$9, 4, FALSE)</f>
        <v>0</v>
      </c>
      <c r="RC66" s="6">
        <f>VLOOKUP(RC$43, CAMEO!$G$3:$J$9, 4, FALSE)</f>
        <v>0</v>
      </c>
      <c r="RD66" s="6">
        <f>VLOOKUP(RD$43, CAMEO!$G$3:$J$9, 4, FALSE)</f>
        <v>0</v>
      </c>
      <c r="RE66" s="6">
        <f>VLOOKUP(RE$43, CAMEO!$G$3:$J$9, 4, FALSE)</f>
        <v>0</v>
      </c>
      <c r="RF66" s="6">
        <f>VLOOKUP(RF$43, CAMEO!$G$3:$J$9, 4, FALSE)</f>
        <v>0</v>
      </c>
      <c r="RG66" s="6">
        <f>VLOOKUP(RG$43, CAMEO!$G$3:$J$9, 4, FALSE)</f>
        <v>0</v>
      </c>
      <c r="RH66" s="6">
        <f>VLOOKUP(RH$43, CAMEO!$G$3:$J$9, 4, FALSE)</f>
        <v>0</v>
      </c>
      <c r="RI66" s="6">
        <f>VLOOKUP(RI$43, CAMEO!$G$3:$J$9, 4, FALSE)</f>
        <v>0</v>
      </c>
      <c r="RJ66" s="6">
        <f>VLOOKUP(RJ$43, CAMEO!$G$3:$J$9, 4, FALSE)</f>
        <v>0</v>
      </c>
      <c r="RK66" s="6">
        <f>VLOOKUP(RK$43, CAMEO!$G$3:$J$9, 4, FALSE)</f>
        <v>0</v>
      </c>
      <c r="RL66" s="6">
        <f>VLOOKUP(RL$43, CAMEO!$G$3:$J$9, 4, FALSE)</f>
        <v>0</v>
      </c>
      <c r="RM66" s="6">
        <f>VLOOKUP(RM$43, CAMEO!$G$3:$J$9, 4, FALSE)</f>
        <v>0</v>
      </c>
      <c r="RN66" s="6">
        <f>VLOOKUP(RN$43, CAMEO!$G$3:$J$9, 4, FALSE)</f>
        <v>0</v>
      </c>
      <c r="RO66" s="6">
        <f>VLOOKUP(RO$43, CAMEO!$G$3:$J$9, 4, FALSE)</f>
        <v>0</v>
      </c>
      <c r="RP66" s="6">
        <f>VLOOKUP(RP$43, CAMEO!$G$3:$J$9, 4, FALSE)</f>
        <v>0</v>
      </c>
      <c r="RQ66" s="6">
        <f>VLOOKUP(RQ$43, CAMEO!$G$3:$J$9, 4, FALSE)</f>
        <v>0</v>
      </c>
      <c r="RR66" s="6">
        <f>VLOOKUP(RR$43, CAMEO!$G$3:$J$9, 4, FALSE)</f>
        <v>0</v>
      </c>
      <c r="RS66" s="6">
        <f>VLOOKUP(RS$43, CAMEO!$G$3:$J$9, 4, FALSE)</f>
        <v>0</v>
      </c>
      <c r="RT66" s="6">
        <f>VLOOKUP(RT$43, CAMEO!$G$3:$J$9, 4, FALSE)</f>
        <v>0</v>
      </c>
      <c r="RU66" s="6">
        <f>VLOOKUP(RU$43, CAMEO!$G$3:$J$9, 4, FALSE)</f>
        <v>0</v>
      </c>
      <c r="RV66" s="6">
        <f>VLOOKUP(RV$43, CAMEO!$G$3:$J$9, 4, FALSE)</f>
        <v>0</v>
      </c>
      <c r="RW66" s="6">
        <f>VLOOKUP(RW$43, CAMEO!$G$3:$J$9, 4, FALSE)</f>
        <v>0</v>
      </c>
      <c r="RX66" s="6">
        <f>VLOOKUP(RX$43, CAMEO!$G$3:$J$9, 4, FALSE)</f>
        <v>0</v>
      </c>
      <c r="RY66" s="6">
        <f>VLOOKUP(RY$43, CAMEO!$G$3:$J$9, 4, FALSE)</f>
        <v>0</v>
      </c>
      <c r="RZ66" s="6">
        <f>VLOOKUP(RZ$43, CAMEO!$G$3:$J$9, 4, FALSE)</f>
        <v>0</v>
      </c>
      <c r="SA66" s="6">
        <f>VLOOKUP(SA$43, CAMEO!$G$3:$J$9, 4, FALSE)</f>
        <v>0</v>
      </c>
      <c r="SB66" s="6">
        <f>VLOOKUP(SB$43, CAMEO!$G$3:$J$9, 4, FALSE)</f>
        <v>0</v>
      </c>
      <c r="SC66" s="6">
        <f>VLOOKUP(SC$43, CAMEO!$G$3:$J$9, 4, FALSE)</f>
        <v>0</v>
      </c>
      <c r="SD66" s="6">
        <f>VLOOKUP(SD$43, CAMEO!$G$3:$J$9, 4, FALSE)</f>
        <v>0</v>
      </c>
      <c r="SE66" s="6">
        <f>VLOOKUP(SE$43, CAMEO!$G$3:$J$9, 4, FALSE)</f>
        <v>0</v>
      </c>
      <c r="SF66" s="6">
        <f>VLOOKUP(SF$43, CAMEO!$G$3:$J$9, 4, FALSE)</f>
        <v>0</v>
      </c>
      <c r="SG66" s="6">
        <f>VLOOKUP(SG$43, CAMEO!$G$3:$J$9, 4, FALSE)</f>
        <v>0</v>
      </c>
      <c r="SH66" s="6">
        <f>VLOOKUP(SH$43, CAMEO!$G$3:$J$9, 4, FALSE)</f>
        <v>0</v>
      </c>
      <c r="SI66" s="6">
        <f>VLOOKUP(SI$43, CAMEO!$G$3:$J$9, 4, FALSE)</f>
        <v>0</v>
      </c>
      <c r="SJ66" s="6">
        <f>VLOOKUP(SJ$43, CAMEO!$G$3:$J$9, 4, FALSE)</f>
        <v>0</v>
      </c>
      <c r="SK66" s="6">
        <f>VLOOKUP(SK$43, CAMEO!$G$3:$J$9, 4, FALSE)</f>
        <v>0</v>
      </c>
      <c r="SL66" s="6">
        <f>VLOOKUP(SL$43, CAMEO!$G$3:$J$9, 4, FALSE)</f>
        <v>0</v>
      </c>
      <c r="SM66" s="6">
        <f>VLOOKUP(SM$43, CAMEO!$G$3:$J$9, 4, FALSE)</f>
        <v>0</v>
      </c>
      <c r="SN66" s="6">
        <f>VLOOKUP(SN$43, CAMEO!$G$3:$J$9, 4, FALSE)</f>
        <v>0</v>
      </c>
      <c r="SO66" s="6">
        <f>VLOOKUP(SO$43, CAMEO!$G$3:$J$9, 4, FALSE)</f>
        <v>0</v>
      </c>
      <c r="SP66" s="6">
        <f>VLOOKUP(SP$43, CAMEO!$G$3:$J$9, 4, FALSE)</f>
        <v>0</v>
      </c>
      <c r="SQ66" s="6">
        <f>VLOOKUP(SQ$43, CAMEO!$G$3:$J$9, 4, FALSE)</f>
        <v>0</v>
      </c>
      <c r="SR66" s="6">
        <f>VLOOKUP(SR$43, CAMEO!$G$3:$J$9, 4, FALSE)</f>
        <v>0</v>
      </c>
      <c r="SS66" s="6">
        <f>VLOOKUP(SS$43, CAMEO!$G$3:$J$9, 4, FALSE)</f>
        <v>0</v>
      </c>
      <c r="ST66" s="6">
        <f>VLOOKUP(ST$43, CAMEO!$G$3:$J$9, 4, FALSE)</f>
        <v>0</v>
      </c>
      <c r="SU66" s="6">
        <f>VLOOKUP(SU$43, CAMEO!$G$3:$J$9, 4, FALSE)</f>
        <v>0</v>
      </c>
      <c r="SV66" s="6">
        <f>VLOOKUP(SV$43, CAMEO!$G$3:$J$9, 4, FALSE)</f>
        <v>0</v>
      </c>
      <c r="SW66" s="6">
        <f>VLOOKUP(SW$43, CAMEO!$G$3:$J$9, 4, FALSE)</f>
        <v>0</v>
      </c>
      <c r="SX66" s="6">
        <f>VLOOKUP(SX$43, CAMEO!$G$3:$J$9, 4, FALSE)</f>
        <v>0</v>
      </c>
      <c r="SY66" s="6">
        <f>VLOOKUP(SY$43, CAMEO!$G$3:$J$9, 4, FALSE)</f>
        <v>0</v>
      </c>
      <c r="SZ66" s="6">
        <f>VLOOKUP(SZ$43, CAMEO!$G$3:$J$9, 4, FALSE)</f>
        <v>0</v>
      </c>
      <c r="TA66" s="6">
        <f>VLOOKUP(TA$43, CAMEO!$G$3:$J$9, 4, FALSE)</f>
        <v>0</v>
      </c>
      <c r="TB66" s="6">
        <f>VLOOKUP(TB$43, CAMEO!$G$3:$J$9, 4, FALSE)</f>
        <v>0</v>
      </c>
      <c r="TC66" s="6">
        <f>VLOOKUP(TC$43, CAMEO!$G$3:$J$9, 4, FALSE)</f>
        <v>0</v>
      </c>
      <c r="TD66" s="6">
        <f>VLOOKUP(TD$43, CAMEO!$G$3:$J$9, 4, FALSE)</f>
        <v>0</v>
      </c>
      <c r="TE66" s="6">
        <f>VLOOKUP(TE$43, CAMEO!$G$3:$J$9, 4, FALSE)</f>
        <v>0</v>
      </c>
      <c r="TF66" s="6">
        <f>VLOOKUP(TF$43, CAMEO!$G$3:$J$9, 4, FALSE)</f>
        <v>0</v>
      </c>
      <c r="TG66" s="6">
        <f>VLOOKUP(TG$43, CAMEO!$G$3:$J$9, 4, FALSE)</f>
        <v>0</v>
      </c>
      <c r="TH66" s="6">
        <f>VLOOKUP(TH$43, CAMEO!$G$3:$J$9, 4, FALSE)</f>
        <v>0</v>
      </c>
      <c r="TI66" s="6">
        <f>VLOOKUP(TI$43, CAMEO!$G$3:$J$9, 4, FALSE)</f>
        <v>0</v>
      </c>
      <c r="TJ66" s="6">
        <f>VLOOKUP(TJ$43, CAMEO!$G$3:$J$9, 4, FALSE)</f>
        <v>0</v>
      </c>
      <c r="TK66" s="6">
        <f>VLOOKUP(TK$43, CAMEO!$G$3:$J$9, 4, FALSE)</f>
        <v>0</v>
      </c>
      <c r="TL66" s="6">
        <f>VLOOKUP(TL$43, CAMEO!$G$3:$J$9, 4, FALSE)</f>
        <v>0</v>
      </c>
      <c r="TM66" s="6">
        <f>VLOOKUP(TM$43, CAMEO!$G$3:$J$9, 4, FALSE)</f>
        <v>0</v>
      </c>
      <c r="TN66" s="6">
        <f>VLOOKUP(TN$43, CAMEO!$G$3:$J$9, 4, FALSE)</f>
        <v>0</v>
      </c>
      <c r="TO66" s="6">
        <f>VLOOKUP(TO$43, CAMEO!$G$3:$J$9, 4, FALSE)</f>
        <v>0</v>
      </c>
      <c r="TP66" s="6">
        <f>VLOOKUP(TP$43, CAMEO!$G$3:$J$9, 4, FALSE)</f>
        <v>0</v>
      </c>
      <c r="TQ66" s="6">
        <f>VLOOKUP(TQ$43, CAMEO!$G$3:$J$9, 4, FALSE)</f>
        <v>0</v>
      </c>
      <c r="TR66" s="6">
        <f>VLOOKUP(TR$43, CAMEO!$G$3:$J$9, 4, FALSE)</f>
        <v>0</v>
      </c>
      <c r="TS66" s="6">
        <f>VLOOKUP(TS$43, CAMEO!$G$3:$J$9, 4, FALSE)</f>
        <v>0</v>
      </c>
      <c r="TT66" s="6">
        <f>VLOOKUP(TT$43, CAMEO!$G$3:$J$9, 4, FALSE)</f>
        <v>0</v>
      </c>
      <c r="TU66" s="6">
        <f>VLOOKUP(TU$43, CAMEO!$G$3:$J$9, 4, FALSE)</f>
        <v>0</v>
      </c>
      <c r="TV66" s="6">
        <f>VLOOKUP(TV$43, CAMEO!$G$3:$J$9, 4, FALSE)</f>
        <v>0</v>
      </c>
      <c r="TW66" s="6">
        <f>VLOOKUP(TW$43, CAMEO!$G$3:$J$9, 4, FALSE)</f>
        <v>0</v>
      </c>
      <c r="TX66" s="6">
        <f>VLOOKUP(TX$43, CAMEO!$G$3:$J$9, 4, FALSE)</f>
        <v>0</v>
      </c>
      <c r="TY66" s="6">
        <f>VLOOKUP(TY$43, CAMEO!$G$3:$J$9, 4, FALSE)</f>
        <v>0</v>
      </c>
      <c r="TZ66" s="6">
        <f>VLOOKUP(TZ$43, CAMEO!$G$3:$J$9, 4, FALSE)</f>
        <v>0</v>
      </c>
      <c r="UA66" s="6">
        <f>VLOOKUP(UA$43, CAMEO!$G$3:$J$9, 4, FALSE)</f>
        <v>0</v>
      </c>
      <c r="UB66" s="6">
        <f>VLOOKUP(UB$43, CAMEO!$G$3:$J$9, 4, FALSE)</f>
        <v>0</v>
      </c>
      <c r="UC66" s="6">
        <f>VLOOKUP(UC$43, CAMEO!$G$3:$J$9, 4, FALSE)</f>
        <v>0</v>
      </c>
      <c r="UD66" s="6">
        <f>VLOOKUP(UD$43, CAMEO!$G$3:$J$9, 4, FALSE)</f>
        <v>0</v>
      </c>
      <c r="UE66" s="6">
        <f>VLOOKUP(UE$43, CAMEO!$G$3:$J$9, 4, FALSE)</f>
        <v>0</v>
      </c>
      <c r="UF66" s="6">
        <f>VLOOKUP(UF$43, CAMEO!$G$3:$J$9, 4, FALSE)</f>
        <v>0</v>
      </c>
      <c r="UG66" s="6">
        <f>VLOOKUP(UG$43, CAMEO!$G$3:$J$9, 4, FALSE)</f>
        <v>0</v>
      </c>
      <c r="UH66" s="6">
        <f>VLOOKUP(UH$43, CAMEO!$G$3:$J$9, 4, FALSE)</f>
        <v>0</v>
      </c>
      <c r="UI66" s="6">
        <f>VLOOKUP(UI$43, CAMEO!$G$3:$J$9, 4, FALSE)</f>
        <v>0</v>
      </c>
      <c r="UJ66" s="6">
        <f>VLOOKUP(UJ$43, CAMEO!$G$3:$J$9, 4, FALSE)</f>
        <v>0</v>
      </c>
      <c r="UK66" s="6">
        <f>VLOOKUP(UK$43, CAMEO!$G$3:$J$9, 4, FALSE)</f>
        <v>0</v>
      </c>
      <c r="UL66" s="6">
        <f>VLOOKUP(UL$43, CAMEO!$G$3:$J$9, 4, FALSE)</f>
        <v>0</v>
      </c>
      <c r="UM66" s="6">
        <f>VLOOKUP(UM$43, CAMEO!$G$3:$J$9, 4, FALSE)</f>
        <v>0</v>
      </c>
      <c r="UN66" s="6">
        <f>VLOOKUP(UN$43, CAMEO!$G$3:$J$9, 4, FALSE)</f>
        <v>0</v>
      </c>
      <c r="UO66" s="6">
        <f>VLOOKUP(UO$43, CAMEO!$G$3:$J$9, 4, FALSE)</f>
        <v>0</v>
      </c>
      <c r="UP66" s="6">
        <f>VLOOKUP(UP$43, CAMEO!$G$3:$J$9, 4, FALSE)</f>
        <v>0</v>
      </c>
      <c r="UQ66" s="6">
        <f>VLOOKUP(UQ$43, CAMEO!$G$3:$J$9, 4, FALSE)</f>
        <v>0</v>
      </c>
      <c r="UR66" s="6">
        <f>VLOOKUP(UR$43, CAMEO!$G$3:$J$9, 4, FALSE)</f>
        <v>0</v>
      </c>
      <c r="US66" s="6">
        <f>VLOOKUP(US$43, CAMEO!$G$3:$J$9, 4, FALSE)</f>
        <v>0</v>
      </c>
      <c r="UT66" s="6">
        <f>VLOOKUP(UT$43, CAMEO!$G$3:$J$9, 4, FALSE)</f>
        <v>0</v>
      </c>
      <c r="UU66" s="6">
        <f>VLOOKUP(UU$43, CAMEO!$G$3:$J$9, 4, FALSE)</f>
        <v>0</v>
      </c>
      <c r="UV66" s="6">
        <f>VLOOKUP(UV$43, CAMEO!$G$3:$J$9, 4, FALSE)</f>
        <v>0</v>
      </c>
      <c r="UW66" s="6">
        <f>VLOOKUP(UW$43, CAMEO!$G$3:$J$9, 4, FALSE)</f>
        <v>0</v>
      </c>
      <c r="UX66" s="6">
        <f>VLOOKUP(UX$43, CAMEO!$G$3:$J$9, 4, FALSE)</f>
        <v>0</v>
      </c>
      <c r="UY66" s="6">
        <f>VLOOKUP(UY$43, CAMEO!$G$3:$J$9, 4, FALSE)</f>
        <v>0</v>
      </c>
      <c r="UZ66" s="6">
        <f>VLOOKUP(UZ$43, CAMEO!$G$3:$J$9, 4, FALSE)</f>
        <v>0</v>
      </c>
      <c r="VA66" s="6">
        <f>VLOOKUP(VA$43, CAMEO!$G$3:$J$9, 4, FALSE)</f>
        <v>0</v>
      </c>
      <c r="VB66" s="6">
        <f>VLOOKUP(VB$43, CAMEO!$G$3:$J$9, 4, FALSE)</f>
        <v>0</v>
      </c>
      <c r="VC66" s="6">
        <f>VLOOKUP(VC$43, CAMEO!$G$3:$J$9, 4, FALSE)</f>
        <v>0</v>
      </c>
      <c r="VD66" s="6">
        <f>VLOOKUP(VD$43, CAMEO!$G$3:$J$9, 4, FALSE)</f>
        <v>0</v>
      </c>
      <c r="VE66" s="6">
        <f>VLOOKUP(VE$43, CAMEO!$G$3:$J$9, 4, FALSE)</f>
        <v>0</v>
      </c>
      <c r="VF66" s="6">
        <f>VLOOKUP(VF$43, CAMEO!$G$3:$J$9, 4, FALSE)</f>
        <v>0</v>
      </c>
      <c r="VG66" s="6">
        <f>VLOOKUP(VG$43, CAMEO!$G$3:$J$9, 4, FALSE)</f>
        <v>0</v>
      </c>
      <c r="VH66" s="6">
        <f>VLOOKUP(VH$43, CAMEO!$G$3:$J$9, 4, FALSE)</f>
        <v>0</v>
      </c>
      <c r="VI66" s="6">
        <f>VLOOKUP(VI$43, CAMEO!$G$3:$J$9, 4, FALSE)</f>
        <v>0</v>
      </c>
      <c r="VJ66" s="6">
        <f>VLOOKUP(VJ$43, CAMEO!$G$3:$J$9, 4, FALSE)</f>
        <v>0</v>
      </c>
      <c r="VK66" s="6">
        <f>VLOOKUP(VK$43, CAMEO!$G$3:$J$9, 4, FALSE)</f>
        <v>0</v>
      </c>
      <c r="VL66" s="6">
        <f>VLOOKUP(VL$43, CAMEO!$G$3:$J$9, 4, FALSE)</f>
        <v>0</v>
      </c>
      <c r="VM66" s="6">
        <f>VLOOKUP(VM$43, CAMEO!$G$3:$J$9, 4, FALSE)</f>
        <v>0</v>
      </c>
      <c r="VN66" s="6">
        <f>VLOOKUP(VN$43, CAMEO!$G$3:$J$9, 4, FALSE)</f>
        <v>0</v>
      </c>
      <c r="VO66" s="6">
        <f>VLOOKUP(VO$43, CAMEO!$G$3:$J$9, 4, FALSE)</f>
        <v>0</v>
      </c>
      <c r="VP66" s="6">
        <f>VLOOKUP(VP$43, CAMEO!$G$3:$J$9, 4, FALSE)</f>
        <v>0</v>
      </c>
      <c r="VQ66" s="6">
        <f>VLOOKUP(VQ$43, CAMEO!$G$3:$J$9, 4, FALSE)</f>
        <v>0</v>
      </c>
      <c r="VR66" s="6">
        <f>VLOOKUP(VR$43, CAMEO!$G$3:$J$9, 4, FALSE)</f>
        <v>0</v>
      </c>
      <c r="VS66" s="6">
        <f>VLOOKUP(VS$43, CAMEO!$G$3:$J$9, 4, FALSE)</f>
        <v>0</v>
      </c>
      <c r="VT66" s="6">
        <f>VLOOKUP(VT$43, CAMEO!$G$3:$J$9, 4, FALSE)</f>
        <v>0</v>
      </c>
      <c r="VU66" s="6">
        <f>VLOOKUP(VU$43, CAMEO!$G$3:$J$9, 4, FALSE)</f>
        <v>0</v>
      </c>
      <c r="VV66" s="6">
        <f>VLOOKUP(VV$43, CAMEO!$G$3:$J$9, 4, FALSE)</f>
        <v>0</v>
      </c>
      <c r="VW66" s="6">
        <f>VLOOKUP(VW$43, CAMEO!$G$3:$J$9, 4, FALSE)</f>
        <v>0</v>
      </c>
      <c r="VX66" s="6">
        <f>VLOOKUP(VX$43, CAMEO!$G$3:$J$9, 4, FALSE)</f>
        <v>0</v>
      </c>
      <c r="VY66" s="6">
        <f>VLOOKUP(VY$43, CAMEO!$G$3:$J$9, 4, FALSE)</f>
        <v>0</v>
      </c>
      <c r="VZ66" s="6">
        <f>VLOOKUP(VZ$43, CAMEO!$G$3:$J$9, 4, FALSE)</f>
        <v>0</v>
      </c>
      <c r="WA66" s="6">
        <f>VLOOKUP(WA$43, CAMEO!$G$3:$J$9, 4, FALSE)</f>
        <v>0</v>
      </c>
      <c r="WB66" s="6">
        <f>VLOOKUP(WB$43, CAMEO!$G$3:$J$9, 4, FALSE)</f>
        <v>0</v>
      </c>
      <c r="WC66" s="6">
        <f>VLOOKUP(WC$43, CAMEO!$G$3:$J$9, 4, FALSE)</f>
        <v>0</v>
      </c>
      <c r="WD66" s="6">
        <f>VLOOKUP(WD$43, CAMEO!$G$3:$J$9, 4, FALSE)</f>
        <v>0</v>
      </c>
      <c r="WE66" s="6">
        <f>VLOOKUP(WE$43, CAMEO!$G$3:$J$9, 4, FALSE)</f>
        <v>0</v>
      </c>
      <c r="WF66" s="6">
        <f>VLOOKUP(WF$43, CAMEO!$G$3:$J$9, 4, FALSE)</f>
        <v>0</v>
      </c>
      <c r="WG66" s="6">
        <f>VLOOKUP(WG$43, CAMEO!$G$3:$J$9, 4, FALSE)</f>
        <v>0</v>
      </c>
      <c r="WH66" s="6">
        <f>VLOOKUP(WH$43, CAMEO!$G$3:$J$9, 4, FALSE)</f>
        <v>0</v>
      </c>
      <c r="WI66" s="6">
        <f>VLOOKUP(WI$43, CAMEO!$G$3:$J$9, 4, FALSE)</f>
        <v>0</v>
      </c>
      <c r="WJ66" s="6">
        <f>VLOOKUP(WJ$43, CAMEO!$G$3:$J$9, 4, FALSE)</f>
        <v>0</v>
      </c>
      <c r="WK66" s="6">
        <f>VLOOKUP(WK$43, CAMEO!$G$3:$J$9, 4, FALSE)</f>
        <v>0</v>
      </c>
      <c r="WL66" s="6">
        <f>VLOOKUP(WL$43, CAMEO!$G$3:$J$9, 4, FALSE)</f>
        <v>0</v>
      </c>
      <c r="WM66" s="6">
        <f>VLOOKUP(WM$43, CAMEO!$G$3:$J$9, 4, FALSE)</f>
        <v>0</v>
      </c>
      <c r="WN66" s="6">
        <f>VLOOKUP(WN$43, CAMEO!$G$3:$J$9, 4, FALSE)</f>
        <v>0</v>
      </c>
      <c r="WO66" s="6">
        <f>VLOOKUP(WO$43, CAMEO!$G$3:$J$9, 4, FALSE)</f>
        <v>0</v>
      </c>
      <c r="WP66" s="6">
        <f>VLOOKUP(WP$43, CAMEO!$G$3:$J$9, 4, FALSE)</f>
        <v>0</v>
      </c>
      <c r="WQ66" s="6">
        <f>VLOOKUP(WQ$43, CAMEO!$G$3:$J$9, 4, FALSE)</f>
        <v>0</v>
      </c>
      <c r="WR66" s="6">
        <f>VLOOKUP(WR$43, CAMEO!$G$3:$J$9, 4, FALSE)</f>
        <v>0</v>
      </c>
      <c r="WS66" s="6">
        <f>VLOOKUP(WS$43, CAMEO!$G$3:$J$9, 4, FALSE)</f>
        <v>0</v>
      </c>
      <c r="WT66" s="6">
        <f>VLOOKUP(WT$43, CAMEO!$G$3:$J$9, 4, FALSE)</f>
        <v>0</v>
      </c>
      <c r="WU66" s="6">
        <f>VLOOKUP(WU$43, CAMEO!$G$3:$J$9, 4, FALSE)</f>
        <v>0</v>
      </c>
      <c r="WV66" s="6">
        <f>VLOOKUP(WV$43, CAMEO!$G$3:$J$9, 4, FALSE)</f>
        <v>0</v>
      </c>
      <c r="WW66" s="6">
        <f>VLOOKUP(WW$43, CAMEO!$G$3:$J$9, 4, FALSE)</f>
        <v>0</v>
      </c>
      <c r="WX66" s="6">
        <f>VLOOKUP(WX$43, CAMEO!$G$3:$J$9, 4, FALSE)</f>
        <v>0</v>
      </c>
      <c r="WY66" s="6">
        <f>VLOOKUP(WY$43, CAMEO!$G$3:$J$9, 4, FALSE)</f>
        <v>0</v>
      </c>
      <c r="WZ66" s="6">
        <f>VLOOKUP(WZ$43, CAMEO!$G$3:$J$9, 4, FALSE)</f>
        <v>0</v>
      </c>
      <c r="XA66" s="6">
        <f>VLOOKUP(XA$43, CAMEO!$G$3:$J$9, 4, FALSE)</f>
        <v>0</v>
      </c>
      <c r="XB66" s="6">
        <f>VLOOKUP(XB$43, CAMEO!$G$3:$J$9, 4, FALSE)</f>
        <v>0</v>
      </c>
      <c r="XC66" s="6">
        <f>VLOOKUP(XC$43, CAMEO!$G$3:$J$9, 4, FALSE)</f>
        <v>0</v>
      </c>
      <c r="XD66" s="6">
        <f>VLOOKUP(XD$43, CAMEO!$G$3:$J$9, 4, FALSE)</f>
        <v>0</v>
      </c>
      <c r="XE66" s="6">
        <f>VLOOKUP(XE$43, CAMEO!$G$3:$J$9, 4, FALSE)</f>
        <v>0</v>
      </c>
      <c r="XF66" s="6">
        <f>VLOOKUP(XF$43, CAMEO!$G$3:$J$9, 4, FALSE)</f>
        <v>0</v>
      </c>
      <c r="XG66" s="6">
        <f>VLOOKUP(XG$43, CAMEO!$G$3:$J$9, 4, FALSE)</f>
        <v>0</v>
      </c>
      <c r="XH66" s="6">
        <f>VLOOKUP(XH$43, CAMEO!$G$3:$J$9, 4, FALSE)</f>
        <v>0</v>
      </c>
      <c r="XI66" s="6">
        <f>VLOOKUP(XI$43, CAMEO!$G$3:$J$9, 4, FALSE)</f>
        <v>0</v>
      </c>
      <c r="XJ66" s="6">
        <f>VLOOKUP(XJ$43, CAMEO!$G$3:$J$9, 4, FALSE)</f>
        <v>0</v>
      </c>
      <c r="XK66" s="6">
        <f>VLOOKUP(XK$43, CAMEO!$G$3:$J$9, 4, FALSE)</f>
        <v>0</v>
      </c>
      <c r="XL66" s="6">
        <f>VLOOKUP(XL$43, CAMEO!$G$3:$J$9, 4, FALSE)</f>
        <v>0</v>
      </c>
      <c r="XM66" s="6">
        <f>VLOOKUP(XM$43, CAMEO!$G$3:$J$9, 4, FALSE)</f>
        <v>0</v>
      </c>
      <c r="XN66" s="6">
        <f>VLOOKUP(XN$43, CAMEO!$G$3:$J$9, 4, FALSE)</f>
        <v>0</v>
      </c>
      <c r="XO66" s="6">
        <f>VLOOKUP(XO$43, CAMEO!$G$3:$J$9, 4, FALSE)</f>
        <v>0</v>
      </c>
      <c r="XP66" s="6">
        <f>VLOOKUP(XP$43, CAMEO!$G$3:$J$9, 4, FALSE)</f>
        <v>0</v>
      </c>
      <c r="XQ66" s="6">
        <f>VLOOKUP(XQ$43, CAMEO!$G$3:$J$9, 4, FALSE)</f>
        <v>0</v>
      </c>
      <c r="XR66" s="6">
        <f>VLOOKUP(XR$43, CAMEO!$G$3:$J$9, 4, FALSE)</f>
        <v>0</v>
      </c>
      <c r="XS66" s="6">
        <f>VLOOKUP(XS$43, CAMEO!$G$3:$J$9, 4, FALSE)</f>
        <v>0</v>
      </c>
      <c r="XT66" s="6">
        <f>VLOOKUP(XT$43, CAMEO!$G$3:$J$9, 4, FALSE)</f>
        <v>0</v>
      </c>
      <c r="XU66" s="6">
        <f>VLOOKUP(XU$43, CAMEO!$G$3:$J$9, 4, FALSE)</f>
        <v>0</v>
      </c>
      <c r="XV66" s="6">
        <f>VLOOKUP(XV$43, CAMEO!$G$3:$J$9, 4, FALSE)</f>
        <v>0</v>
      </c>
      <c r="XW66" s="6">
        <f>VLOOKUP(XW$43, CAMEO!$G$3:$J$9, 4, FALSE)</f>
        <v>0</v>
      </c>
      <c r="XX66" s="6">
        <f>VLOOKUP(XX$43, CAMEO!$G$3:$J$9, 4, FALSE)</f>
        <v>0</v>
      </c>
      <c r="XY66" s="6">
        <f>VLOOKUP(XY$43, CAMEO!$G$3:$J$9, 4, FALSE)</f>
        <v>0</v>
      </c>
      <c r="XZ66" s="6">
        <f>VLOOKUP(XZ$43, CAMEO!$G$3:$J$9, 4, FALSE)</f>
        <v>0</v>
      </c>
      <c r="YA66" s="6">
        <f>VLOOKUP(YA$43, CAMEO!$G$3:$J$9, 4, FALSE)</f>
        <v>0</v>
      </c>
      <c r="YB66" s="6">
        <f>VLOOKUP(YB$43, CAMEO!$G$3:$J$9, 4, FALSE)</f>
        <v>0</v>
      </c>
      <c r="YC66" s="6">
        <f>VLOOKUP(YC$43, CAMEO!$G$3:$J$9, 4, FALSE)</f>
        <v>0</v>
      </c>
      <c r="YD66" s="6">
        <f>VLOOKUP(YD$43, CAMEO!$G$3:$J$9, 4, FALSE)</f>
        <v>0</v>
      </c>
      <c r="YE66" s="6">
        <f>VLOOKUP(YE$43, CAMEO!$G$3:$J$9, 4, FALSE)</f>
        <v>0</v>
      </c>
      <c r="YF66" s="6">
        <f>VLOOKUP(YF$43, CAMEO!$G$3:$J$9, 4, FALSE)</f>
        <v>0</v>
      </c>
      <c r="YG66" s="6">
        <f>VLOOKUP(YG$43, CAMEO!$G$3:$J$9, 4, FALSE)</f>
        <v>0</v>
      </c>
      <c r="YH66" s="6">
        <f>VLOOKUP(YH$43, CAMEO!$G$3:$J$9, 4, FALSE)</f>
        <v>0</v>
      </c>
      <c r="YI66" s="6">
        <f>VLOOKUP(YI$43, CAMEO!$G$3:$J$9, 4, FALSE)</f>
        <v>0</v>
      </c>
      <c r="YJ66" s="6">
        <f>VLOOKUP(YJ$43, CAMEO!$G$3:$J$9, 4, FALSE)</f>
        <v>0</v>
      </c>
      <c r="YK66" s="6">
        <f>VLOOKUP(YK$43, CAMEO!$G$3:$J$9, 4, FALSE)</f>
        <v>0</v>
      </c>
      <c r="YL66" s="6">
        <f>VLOOKUP(YL$43, CAMEO!$G$3:$J$9, 4, FALSE)</f>
        <v>0</v>
      </c>
      <c r="YM66" s="6">
        <f>VLOOKUP(YM$43, CAMEO!$G$3:$J$9, 4, FALSE)</f>
        <v>0</v>
      </c>
      <c r="YN66" s="6">
        <f>VLOOKUP(YN$43, CAMEO!$G$3:$J$9, 4, FALSE)</f>
        <v>0</v>
      </c>
      <c r="YO66" s="6">
        <f>VLOOKUP(YO$43, CAMEO!$G$3:$J$9, 4, FALSE)</f>
        <v>0</v>
      </c>
      <c r="YP66" s="6">
        <f>VLOOKUP(YP$43, CAMEO!$G$3:$J$9, 4, FALSE)</f>
        <v>0</v>
      </c>
      <c r="YQ66" s="6">
        <f>VLOOKUP(YQ$43, CAMEO!$G$3:$J$9, 4, FALSE)</f>
        <v>0</v>
      </c>
      <c r="YR66" s="6">
        <f>VLOOKUP(YR$43, CAMEO!$G$3:$J$9, 4, FALSE)</f>
        <v>0</v>
      </c>
      <c r="YS66" s="6">
        <f>VLOOKUP(YS$43, CAMEO!$G$3:$J$9, 4, FALSE)</f>
        <v>0</v>
      </c>
      <c r="YT66" s="6">
        <f>VLOOKUP(YT$43, CAMEO!$G$3:$J$9, 4, FALSE)</f>
        <v>0</v>
      </c>
      <c r="YU66" s="6">
        <f>VLOOKUP(YU$43, CAMEO!$G$3:$J$9, 4, FALSE)</f>
        <v>0</v>
      </c>
      <c r="YV66" s="6">
        <f>VLOOKUP(YV$43, CAMEO!$G$3:$J$9, 4, FALSE)</f>
        <v>0</v>
      </c>
      <c r="YW66" s="6">
        <f>VLOOKUP(YW$43, CAMEO!$G$3:$J$9, 4, FALSE)</f>
        <v>0</v>
      </c>
      <c r="YX66" s="6">
        <f>VLOOKUP(YX$43, CAMEO!$G$3:$J$9, 4, FALSE)</f>
        <v>0</v>
      </c>
      <c r="YY66" s="6">
        <f>VLOOKUP(YY$43, CAMEO!$G$3:$J$9, 4, FALSE)</f>
        <v>0</v>
      </c>
      <c r="YZ66" s="6">
        <f>VLOOKUP(YZ$43, CAMEO!$G$3:$J$9, 4, FALSE)</f>
        <v>0</v>
      </c>
      <c r="ZA66" s="6">
        <f>VLOOKUP(ZA$43, CAMEO!$G$3:$J$9, 4, FALSE)</f>
        <v>0</v>
      </c>
      <c r="ZB66" s="6">
        <f>VLOOKUP(ZB$43, CAMEO!$G$3:$J$9, 4, FALSE)</f>
        <v>0</v>
      </c>
      <c r="ZC66" s="6">
        <f>VLOOKUP(ZC$43, CAMEO!$G$3:$J$9, 4, FALSE)</f>
        <v>0</v>
      </c>
      <c r="ZD66" s="6">
        <f>VLOOKUP(ZD$43, CAMEO!$G$3:$J$9, 4, FALSE)</f>
        <v>0</v>
      </c>
      <c r="ZE66" s="6">
        <f>VLOOKUP(ZE$43, CAMEO!$G$3:$J$9, 4, FALSE)</f>
        <v>0</v>
      </c>
      <c r="ZF66" s="6">
        <f>VLOOKUP(ZF$43, CAMEO!$G$3:$J$9, 4, FALSE)</f>
        <v>0</v>
      </c>
      <c r="ZG66" s="6">
        <f>VLOOKUP(ZG$43, CAMEO!$G$3:$J$9, 4, FALSE)</f>
        <v>0</v>
      </c>
      <c r="ZH66" s="6">
        <f>VLOOKUP(ZH$43, CAMEO!$G$3:$J$9, 4, FALSE)</f>
        <v>0</v>
      </c>
      <c r="ZI66" s="6">
        <f>VLOOKUP(ZI$43, CAMEO!$G$3:$J$9, 4, FALSE)</f>
        <v>0</v>
      </c>
      <c r="ZJ66" s="6">
        <f>VLOOKUP(ZJ$43, CAMEO!$G$3:$J$9, 4, FALSE)</f>
        <v>0</v>
      </c>
      <c r="ZK66" s="6">
        <f>VLOOKUP(ZK$43, CAMEO!$G$3:$J$9, 4, FALSE)</f>
        <v>0</v>
      </c>
      <c r="ZL66" s="6">
        <f>VLOOKUP(ZL$43, CAMEO!$G$3:$J$9, 4, FALSE)</f>
        <v>0</v>
      </c>
      <c r="ZM66" s="6">
        <f>VLOOKUP(ZM$43, CAMEO!$G$3:$J$9, 4, FALSE)</f>
        <v>0</v>
      </c>
      <c r="ZN66" s="6">
        <f>VLOOKUP(ZN$43, CAMEO!$G$3:$J$9, 4, FALSE)</f>
        <v>0</v>
      </c>
      <c r="ZO66" s="6">
        <f>VLOOKUP(ZO$43, CAMEO!$G$3:$J$9, 4, FALSE)</f>
        <v>0</v>
      </c>
      <c r="ZP66" s="6">
        <f>VLOOKUP(ZP$43, CAMEO!$G$3:$J$9, 4, FALSE)</f>
        <v>0</v>
      </c>
      <c r="ZQ66" s="6">
        <f>VLOOKUP(ZQ$43, CAMEO!$G$3:$J$9, 4, FALSE)</f>
        <v>0</v>
      </c>
      <c r="ZR66" s="6">
        <f>VLOOKUP(ZR$43, CAMEO!$G$3:$J$9, 4, FALSE)</f>
        <v>0</v>
      </c>
      <c r="ZS66" s="6">
        <f>VLOOKUP(ZS$43, CAMEO!$G$3:$J$9, 4, FALSE)</f>
        <v>0</v>
      </c>
      <c r="ZT66" s="6">
        <f>VLOOKUP(ZT$43, CAMEO!$G$3:$J$9, 4, FALSE)</f>
        <v>0</v>
      </c>
      <c r="ZU66" s="6">
        <f>VLOOKUP(ZU$43, CAMEO!$G$3:$J$9, 4, FALSE)</f>
        <v>0</v>
      </c>
      <c r="ZV66" s="6">
        <f>VLOOKUP(ZV$43, CAMEO!$G$3:$J$9, 4, FALSE)</f>
        <v>0</v>
      </c>
      <c r="ZW66" s="6">
        <f>VLOOKUP(ZW$43, CAMEO!$G$3:$J$9, 4, FALSE)</f>
        <v>0</v>
      </c>
      <c r="ZX66" s="6">
        <f>VLOOKUP(ZX$43, CAMEO!$G$3:$J$9, 4, FALSE)</f>
        <v>0</v>
      </c>
      <c r="ZY66" s="6">
        <f>VLOOKUP(ZY$43, CAMEO!$G$3:$J$9, 4, FALSE)</f>
        <v>0</v>
      </c>
      <c r="ZZ66" s="6">
        <f>VLOOKUP(ZZ$43, CAMEO!$G$3:$J$9, 4, FALSE)</f>
        <v>0</v>
      </c>
      <c r="AAA66" s="6">
        <f>VLOOKUP(AAA$43, CAMEO!$G$3:$J$9, 4, FALSE)</f>
        <v>0</v>
      </c>
      <c r="AAB66" s="6">
        <f>VLOOKUP(AAB$43, CAMEO!$G$3:$J$9, 4, FALSE)</f>
        <v>0</v>
      </c>
      <c r="AAC66" s="6">
        <f>VLOOKUP(AAC$43, CAMEO!$G$3:$J$9, 4, FALSE)</f>
        <v>0</v>
      </c>
      <c r="AAD66" s="6">
        <f>VLOOKUP(AAD$43, CAMEO!$G$3:$J$9, 4, FALSE)</f>
        <v>0</v>
      </c>
      <c r="AAE66" s="6">
        <f>VLOOKUP(AAE$43, CAMEO!$G$3:$J$9, 4, FALSE)</f>
        <v>0</v>
      </c>
      <c r="AAF66" s="6">
        <f>VLOOKUP(AAF$43, CAMEO!$G$3:$J$9, 4, FALSE)</f>
        <v>0</v>
      </c>
      <c r="AAG66" s="6">
        <f>VLOOKUP(AAG$43, CAMEO!$G$3:$J$9, 4, FALSE)</f>
        <v>0</v>
      </c>
      <c r="AAH66" s="6">
        <f>VLOOKUP(AAH$43, CAMEO!$G$3:$J$9, 4, FALSE)</f>
        <v>0</v>
      </c>
      <c r="AAI66" s="6">
        <f>VLOOKUP(AAI$43, CAMEO!$G$3:$J$9, 4, FALSE)</f>
        <v>0</v>
      </c>
      <c r="AAJ66" s="6">
        <f>VLOOKUP(AAJ$43, CAMEO!$G$3:$J$9, 4, FALSE)</f>
        <v>0</v>
      </c>
      <c r="AAK66" s="6">
        <f>VLOOKUP(AAK$43, CAMEO!$G$3:$J$9, 4, FALSE)</f>
        <v>0</v>
      </c>
      <c r="AAL66" s="6">
        <f>VLOOKUP(AAL$43, CAMEO!$G$3:$J$9, 4, FALSE)</f>
        <v>0</v>
      </c>
      <c r="AAM66" s="6">
        <f>VLOOKUP(AAM$43, CAMEO!$G$3:$J$9, 4, FALSE)</f>
        <v>0</v>
      </c>
      <c r="AAN66" s="6">
        <f>VLOOKUP(AAN$43, CAMEO!$G$3:$J$9, 4, FALSE)</f>
        <v>0</v>
      </c>
      <c r="AAO66" s="6">
        <f>VLOOKUP(AAO$43, CAMEO!$G$3:$J$9, 4, FALSE)</f>
        <v>0</v>
      </c>
      <c r="AAP66" s="6">
        <f>VLOOKUP(AAP$43, CAMEO!$G$3:$J$9, 4, FALSE)</f>
        <v>0</v>
      </c>
      <c r="AAQ66" s="6">
        <f>VLOOKUP(AAQ$43, CAMEO!$G$3:$J$9, 4, FALSE)</f>
        <v>0</v>
      </c>
      <c r="AAR66" s="6">
        <f>VLOOKUP(AAR$43, CAMEO!$G$3:$J$9, 4, FALSE)</f>
        <v>0</v>
      </c>
      <c r="AAS66" s="6">
        <f>VLOOKUP(AAS$43, CAMEO!$G$3:$J$9, 4, FALSE)</f>
        <v>0</v>
      </c>
      <c r="AAT66" s="6">
        <f>VLOOKUP(AAT$43, CAMEO!$G$3:$J$9, 4, FALSE)</f>
        <v>0</v>
      </c>
      <c r="AAU66" s="6">
        <f>VLOOKUP(AAU$43, CAMEO!$G$3:$J$9, 4, FALSE)</f>
        <v>0</v>
      </c>
      <c r="AAV66" s="6">
        <f>VLOOKUP(AAV$43, CAMEO!$G$3:$J$9, 4, FALSE)</f>
        <v>0</v>
      </c>
      <c r="AAW66" s="6">
        <f>VLOOKUP(AAW$43, CAMEO!$G$3:$J$9, 4, FALSE)</f>
        <v>0</v>
      </c>
      <c r="AAX66" s="6">
        <f>VLOOKUP(AAX$43, CAMEO!$G$3:$J$9, 4, FALSE)</f>
        <v>0</v>
      </c>
      <c r="AAY66" s="6">
        <f>VLOOKUP(AAY$43, CAMEO!$G$3:$J$9, 4, FALSE)</f>
        <v>0</v>
      </c>
      <c r="AAZ66" s="6">
        <f>VLOOKUP(AAZ$43, CAMEO!$G$3:$J$9, 4, FALSE)</f>
        <v>0</v>
      </c>
      <c r="ABA66" s="6">
        <f>VLOOKUP(ABA$43, CAMEO!$G$3:$J$9, 4, FALSE)</f>
        <v>0</v>
      </c>
      <c r="ABB66" s="6">
        <f>VLOOKUP(ABB$43, CAMEO!$G$3:$J$9, 4, FALSE)</f>
        <v>0</v>
      </c>
      <c r="ABC66" s="6">
        <f>VLOOKUP(ABC$43, CAMEO!$G$3:$J$9, 4, FALSE)</f>
        <v>0</v>
      </c>
      <c r="ABD66" s="6">
        <f>VLOOKUP(ABD$43, CAMEO!$G$3:$J$9, 4, FALSE)</f>
        <v>0</v>
      </c>
      <c r="ABE66" s="6">
        <f>VLOOKUP(ABE$43, CAMEO!$G$3:$J$9, 4, FALSE)</f>
        <v>0</v>
      </c>
      <c r="ABF66" s="6">
        <f>VLOOKUP(ABF$43, CAMEO!$G$3:$J$9, 4, FALSE)</f>
        <v>0</v>
      </c>
      <c r="ABG66" s="6">
        <f>VLOOKUP(ABG$43, CAMEO!$G$3:$J$9, 4, FALSE)</f>
        <v>0</v>
      </c>
      <c r="ABH66" s="6">
        <f>VLOOKUP(ABH$43, CAMEO!$G$3:$J$9, 4, FALSE)</f>
        <v>0</v>
      </c>
      <c r="ABI66" s="6">
        <f>VLOOKUP(ABI$43, CAMEO!$G$3:$J$9, 4, FALSE)</f>
        <v>0</v>
      </c>
      <c r="ABJ66" s="6">
        <f>VLOOKUP(ABJ$43, CAMEO!$G$3:$J$9, 4, FALSE)</f>
        <v>0</v>
      </c>
      <c r="ABK66" s="6">
        <f>VLOOKUP(ABK$43, CAMEO!$G$3:$J$9, 4, FALSE)</f>
        <v>0</v>
      </c>
      <c r="ABL66" s="6">
        <f>VLOOKUP(ABL$43, CAMEO!$G$3:$J$9, 4, FALSE)</f>
        <v>0</v>
      </c>
      <c r="ABM66" s="6">
        <f>VLOOKUP(ABM$43, CAMEO!$G$3:$J$9, 4, FALSE)</f>
        <v>0</v>
      </c>
      <c r="ABN66" s="6">
        <f>VLOOKUP(ABN$43, CAMEO!$G$3:$J$9, 4, FALSE)</f>
        <v>0</v>
      </c>
      <c r="ABO66" s="6">
        <f>VLOOKUP(ABO$43, CAMEO!$G$3:$J$9, 4, FALSE)</f>
        <v>0</v>
      </c>
      <c r="ABP66" s="6">
        <f>VLOOKUP(ABP$43, CAMEO!$G$3:$J$9, 4, FALSE)</f>
        <v>0</v>
      </c>
      <c r="ABQ66" s="6">
        <f>VLOOKUP(ABQ$43, CAMEO!$G$3:$J$9, 4, FALSE)</f>
        <v>0</v>
      </c>
      <c r="ABR66" s="6">
        <f>VLOOKUP(ABR$43, CAMEO!$G$3:$J$9, 4, FALSE)</f>
        <v>0</v>
      </c>
      <c r="ABS66" s="6">
        <f>VLOOKUP(ABS$43, CAMEO!$G$3:$J$9, 4, FALSE)</f>
        <v>0</v>
      </c>
      <c r="ABT66" s="6">
        <f>VLOOKUP(ABT$43, CAMEO!$G$3:$J$9, 4, FALSE)</f>
        <v>0</v>
      </c>
      <c r="ABU66" s="6">
        <f>VLOOKUP(ABU$43, CAMEO!$G$3:$J$9, 4, FALSE)</f>
        <v>0</v>
      </c>
      <c r="ABV66" s="6">
        <f>VLOOKUP(ABV$43, CAMEO!$G$3:$J$9, 4, FALSE)</f>
        <v>0</v>
      </c>
      <c r="ABW66" s="6">
        <f>VLOOKUP(ABW$43, CAMEO!$G$3:$J$9, 4, FALSE)</f>
        <v>0</v>
      </c>
      <c r="ABX66" s="6">
        <f>VLOOKUP(ABX$43, CAMEO!$G$3:$J$9, 4, FALSE)</f>
        <v>0</v>
      </c>
      <c r="ABY66" s="6">
        <f>VLOOKUP(ABY$43, CAMEO!$G$3:$J$9, 4, FALSE)</f>
        <v>0</v>
      </c>
      <c r="ABZ66" s="6">
        <f>VLOOKUP(ABZ$43, CAMEO!$G$3:$J$9, 4, FALSE)</f>
        <v>0</v>
      </c>
      <c r="ACA66" s="6">
        <f>VLOOKUP(ACA$43, CAMEO!$G$3:$J$9, 4, FALSE)</f>
        <v>0</v>
      </c>
      <c r="ACB66" s="6">
        <f>VLOOKUP(ACB$43, CAMEO!$G$3:$J$9, 4, FALSE)</f>
        <v>0</v>
      </c>
      <c r="ACC66" s="6">
        <f>VLOOKUP(ACC$43, CAMEO!$G$3:$J$9, 4, FALSE)</f>
        <v>0</v>
      </c>
      <c r="ACD66" s="6">
        <f>VLOOKUP(ACD$43, CAMEO!$G$3:$J$9, 4, FALSE)</f>
        <v>0</v>
      </c>
      <c r="ACE66" s="6">
        <f>VLOOKUP(ACE$43, CAMEO!$G$3:$J$9, 4, FALSE)</f>
        <v>0</v>
      </c>
      <c r="ACF66" s="6">
        <f>VLOOKUP(ACF$43, CAMEO!$G$3:$J$9, 4, FALSE)</f>
        <v>0</v>
      </c>
      <c r="ACG66" s="6">
        <f>VLOOKUP(ACG$43, CAMEO!$G$3:$J$9, 4, FALSE)</f>
        <v>0</v>
      </c>
      <c r="ACH66" s="6">
        <f>VLOOKUP(ACH$43, CAMEO!$G$3:$J$9, 4, FALSE)</f>
        <v>0</v>
      </c>
      <c r="ACI66" s="6">
        <f>VLOOKUP(ACI$43, CAMEO!$G$3:$J$9, 4, FALSE)</f>
        <v>0</v>
      </c>
      <c r="ACJ66" s="6">
        <f>VLOOKUP(ACJ$43, CAMEO!$G$3:$J$9, 4, FALSE)</f>
        <v>0</v>
      </c>
      <c r="ACK66" s="6">
        <f>VLOOKUP(ACK$43, CAMEO!$G$3:$J$9, 4, FALSE)</f>
        <v>0</v>
      </c>
      <c r="ACL66" s="6">
        <f>VLOOKUP(ACL$43, CAMEO!$G$3:$J$9, 4, FALSE)</f>
        <v>0</v>
      </c>
      <c r="ACM66" s="6">
        <f>VLOOKUP(ACM$43, CAMEO!$G$3:$J$9, 4, FALSE)</f>
        <v>0</v>
      </c>
      <c r="ACN66" s="6">
        <f>VLOOKUP(ACN$43, CAMEO!$G$3:$J$9, 4, FALSE)</f>
        <v>0</v>
      </c>
      <c r="ACO66" s="6">
        <f>VLOOKUP(ACO$43, CAMEO!$G$3:$J$9, 4, FALSE)</f>
        <v>0</v>
      </c>
      <c r="ACP66" s="6">
        <f>VLOOKUP(ACP$43, CAMEO!$G$3:$J$9, 4, FALSE)</f>
        <v>0</v>
      </c>
      <c r="ACQ66" s="6">
        <f>VLOOKUP(ACQ$43, CAMEO!$G$3:$J$9, 4, FALSE)</f>
        <v>0</v>
      </c>
      <c r="ACR66" s="6">
        <f>VLOOKUP(ACR$43, CAMEO!$G$3:$J$9, 4, FALSE)</f>
        <v>0</v>
      </c>
      <c r="ACS66" s="6">
        <f>VLOOKUP(ACS$43, CAMEO!$G$3:$J$9, 4, FALSE)</f>
        <v>0</v>
      </c>
      <c r="ACT66" s="6">
        <f>VLOOKUP(ACT$43, CAMEO!$G$3:$J$9, 4, FALSE)</f>
        <v>0</v>
      </c>
      <c r="ACU66" s="6">
        <f>VLOOKUP(ACU$43, CAMEO!$G$3:$J$9, 4, FALSE)</f>
        <v>0</v>
      </c>
      <c r="ACV66" s="6">
        <f>VLOOKUP(ACV$43, CAMEO!$G$3:$J$9, 4, FALSE)</f>
        <v>0</v>
      </c>
      <c r="ACW66" s="6">
        <f>VLOOKUP(ACW$43, CAMEO!$G$3:$J$9, 4, FALSE)</f>
        <v>0</v>
      </c>
      <c r="ACX66" s="6">
        <f>VLOOKUP(ACX$43, CAMEO!$G$3:$J$9, 4, FALSE)</f>
        <v>0</v>
      </c>
      <c r="ACY66" s="6">
        <f>VLOOKUP(ACY$43, CAMEO!$G$3:$J$9, 4, FALSE)</f>
        <v>0</v>
      </c>
      <c r="ACZ66" s="6">
        <f>VLOOKUP(ACZ$43, CAMEO!$G$3:$J$9, 4, FALSE)</f>
        <v>0</v>
      </c>
      <c r="ADA66" s="6">
        <f>VLOOKUP(ADA$43, CAMEO!$G$3:$J$9, 4, FALSE)</f>
        <v>0</v>
      </c>
      <c r="ADB66" s="6">
        <f>VLOOKUP(ADB$43, CAMEO!$G$3:$J$9, 4, FALSE)</f>
        <v>0</v>
      </c>
      <c r="ADC66" s="6">
        <f>VLOOKUP(ADC$43, CAMEO!$G$3:$J$9, 4, FALSE)</f>
        <v>0</v>
      </c>
      <c r="ADD66" s="6">
        <f>VLOOKUP(ADD$43, CAMEO!$G$3:$J$9, 4, FALSE)</f>
        <v>0</v>
      </c>
      <c r="ADE66" s="6">
        <f>VLOOKUP(ADE$43, CAMEO!$G$3:$J$9, 4, FALSE)</f>
        <v>0</v>
      </c>
      <c r="ADF66" s="6">
        <f>VLOOKUP(ADF$43, CAMEO!$G$3:$J$9, 4, FALSE)</f>
        <v>0</v>
      </c>
      <c r="ADG66" s="6">
        <f>VLOOKUP(ADG$43, CAMEO!$G$3:$J$9, 4, FALSE)</f>
        <v>0</v>
      </c>
      <c r="ADH66" s="6">
        <f>VLOOKUP(ADH$43, CAMEO!$G$3:$J$9, 4, FALSE)</f>
        <v>0</v>
      </c>
      <c r="ADI66" s="6">
        <f>VLOOKUP(ADI$43, CAMEO!$G$3:$J$9, 4, FALSE)</f>
        <v>0</v>
      </c>
      <c r="ADJ66" s="6">
        <f>VLOOKUP(ADJ$43, CAMEO!$G$3:$J$9, 4, FALSE)</f>
        <v>0</v>
      </c>
      <c r="ADK66" s="6">
        <f>VLOOKUP(ADK$43, CAMEO!$G$3:$J$9, 4, FALSE)</f>
        <v>0</v>
      </c>
      <c r="ADL66" s="6">
        <f>VLOOKUP(ADL$43, CAMEO!$G$3:$J$9, 4, FALSE)</f>
        <v>0</v>
      </c>
      <c r="ADM66" s="6">
        <f>VLOOKUP(ADM$43, CAMEO!$G$3:$J$9, 4, FALSE)</f>
        <v>0</v>
      </c>
      <c r="ADN66" s="6">
        <f>VLOOKUP(ADN$43, CAMEO!$G$3:$J$9, 4, FALSE)</f>
        <v>0</v>
      </c>
      <c r="ADO66" s="6">
        <f>VLOOKUP(ADO$43, CAMEO!$G$3:$J$9, 4, FALSE)</f>
        <v>0</v>
      </c>
      <c r="ADP66" s="6">
        <f>VLOOKUP(ADP$43, CAMEO!$G$3:$J$9, 4, FALSE)</f>
        <v>0</v>
      </c>
      <c r="ADQ66" s="6">
        <f>VLOOKUP(ADQ$43, CAMEO!$G$3:$J$9, 4, FALSE)</f>
        <v>0</v>
      </c>
      <c r="ADR66" s="6">
        <f>VLOOKUP(ADR$43, CAMEO!$G$3:$J$9, 4, FALSE)</f>
        <v>0</v>
      </c>
      <c r="ADS66" s="6">
        <f>VLOOKUP(ADS$43, CAMEO!$G$3:$J$9, 4, FALSE)</f>
        <v>0</v>
      </c>
      <c r="ADT66" s="6">
        <f>VLOOKUP(ADT$43, CAMEO!$G$3:$J$9, 4, FALSE)</f>
        <v>0</v>
      </c>
      <c r="ADU66" s="6">
        <f>VLOOKUP(ADU$43, CAMEO!$G$3:$J$9, 4, FALSE)</f>
        <v>0</v>
      </c>
      <c r="ADV66" s="6">
        <f>VLOOKUP(ADV$43, CAMEO!$G$3:$J$9, 4, FALSE)</f>
        <v>0</v>
      </c>
      <c r="ADW66" s="6">
        <f>VLOOKUP(ADW$43, CAMEO!$G$3:$J$9, 4, FALSE)</f>
        <v>0</v>
      </c>
      <c r="ADX66" s="6">
        <f>VLOOKUP(ADX$43, CAMEO!$G$3:$J$9, 4, FALSE)</f>
        <v>0</v>
      </c>
      <c r="ADY66" s="6">
        <f>VLOOKUP(ADY$43, CAMEO!$G$3:$J$9, 4, FALSE)</f>
        <v>0</v>
      </c>
      <c r="ADZ66" s="6">
        <f>VLOOKUP(ADZ$43, CAMEO!$G$3:$J$9, 4, FALSE)</f>
        <v>0</v>
      </c>
      <c r="AEA66" s="6">
        <f>VLOOKUP(AEA$43, CAMEO!$G$3:$J$9, 4, FALSE)</f>
        <v>0</v>
      </c>
      <c r="AEB66" s="6">
        <f>VLOOKUP(AEB$43, CAMEO!$G$3:$J$9, 4, FALSE)</f>
        <v>0</v>
      </c>
      <c r="AEC66" s="6">
        <f>VLOOKUP(AEC$43, CAMEO!$G$3:$J$9, 4, FALSE)</f>
        <v>0</v>
      </c>
      <c r="AED66" s="6">
        <f>VLOOKUP(AED$43, CAMEO!$G$3:$J$9, 4, FALSE)</f>
        <v>0</v>
      </c>
      <c r="AEE66" s="6">
        <f>VLOOKUP(AEE$43, CAMEO!$G$3:$J$9, 4, FALSE)</f>
        <v>0</v>
      </c>
      <c r="AEF66" s="6">
        <f>VLOOKUP(AEF$43, CAMEO!$G$3:$J$9, 4, FALSE)</f>
        <v>0</v>
      </c>
      <c r="AEG66" s="6">
        <f>VLOOKUP(AEG$43, CAMEO!$G$3:$J$9, 4, FALSE)</f>
        <v>0</v>
      </c>
      <c r="AEH66" s="6">
        <f>VLOOKUP(AEH$43, CAMEO!$G$3:$J$9, 4, FALSE)</f>
        <v>0</v>
      </c>
      <c r="AEI66" s="6">
        <f>VLOOKUP(AEI$43, CAMEO!$G$3:$J$9, 4, FALSE)</f>
        <v>0</v>
      </c>
      <c r="AEJ66" s="6">
        <f>VLOOKUP(AEJ$43, CAMEO!$G$3:$J$9, 4, FALSE)</f>
        <v>0</v>
      </c>
      <c r="AEK66" s="6">
        <f>VLOOKUP(AEK$43, CAMEO!$G$3:$J$9, 4, FALSE)</f>
        <v>0</v>
      </c>
      <c r="AEL66" s="6">
        <f>VLOOKUP(AEL$43, CAMEO!$G$3:$J$9, 4, FALSE)</f>
        <v>0</v>
      </c>
      <c r="AEM66" s="6">
        <f>VLOOKUP(AEM$43, CAMEO!$G$3:$J$9, 4, FALSE)</f>
        <v>0</v>
      </c>
      <c r="AEN66" s="6">
        <f>VLOOKUP(AEN$43, CAMEO!$G$3:$J$9, 4, FALSE)</f>
        <v>0</v>
      </c>
      <c r="AEO66" s="6">
        <f>VLOOKUP(AEO$43, CAMEO!$G$3:$J$9, 4, FALSE)</f>
        <v>0</v>
      </c>
      <c r="AEP66" s="6">
        <f>VLOOKUP(AEP$43, CAMEO!$G$3:$J$9, 4, FALSE)</f>
        <v>0</v>
      </c>
      <c r="AEQ66" s="6">
        <f>VLOOKUP(AEQ$43, CAMEO!$G$3:$J$9, 4, FALSE)</f>
        <v>0</v>
      </c>
      <c r="AER66" s="6">
        <f>VLOOKUP(AER$43, CAMEO!$G$3:$J$9, 4, FALSE)</f>
        <v>0</v>
      </c>
      <c r="AES66" s="6">
        <f>VLOOKUP(AES$43, CAMEO!$G$3:$J$9, 4, FALSE)</f>
        <v>0</v>
      </c>
      <c r="AET66" s="6">
        <f>VLOOKUP(AET$43, CAMEO!$G$3:$J$9, 4, FALSE)</f>
        <v>0</v>
      </c>
      <c r="AEU66" s="6">
        <f>VLOOKUP(AEU$43, CAMEO!$G$3:$J$9, 4, FALSE)</f>
        <v>0</v>
      </c>
      <c r="AEV66" s="6">
        <f>VLOOKUP(AEV$43, CAMEO!$G$3:$J$9, 4, FALSE)</f>
        <v>0</v>
      </c>
      <c r="AEW66" s="6">
        <f>VLOOKUP(AEW$43, CAMEO!$G$3:$J$9, 4, FALSE)</f>
        <v>0</v>
      </c>
      <c r="AEX66" s="6">
        <f>VLOOKUP(AEX$43, CAMEO!$G$3:$J$9, 4, FALSE)</f>
        <v>0</v>
      </c>
      <c r="AEY66" s="6">
        <f>VLOOKUP(AEY$43, CAMEO!$G$3:$J$9, 4, FALSE)</f>
        <v>0</v>
      </c>
      <c r="AEZ66" s="6">
        <f>VLOOKUP(AEZ$43, CAMEO!$G$3:$J$9, 4, FALSE)</f>
        <v>0</v>
      </c>
      <c r="AFA66" s="6">
        <f>VLOOKUP(AFA$43, CAMEO!$G$3:$J$9, 4, FALSE)</f>
        <v>0</v>
      </c>
      <c r="AFB66" s="6">
        <f>VLOOKUP(AFB$43, CAMEO!$G$3:$J$9, 4, FALSE)</f>
        <v>0</v>
      </c>
      <c r="AFC66" s="6">
        <f>VLOOKUP(AFC$43, CAMEO!$G$3:$J$9, 4, FALSE)</f>
        <v>0</v>
      </c>
      <c r="AFD66" s="6">
        <f>VLOOKUP(AFD$43, CAMEO!$G$3:$J$9, 4, FALSE)</f>
        <v>0</v>
      </c>
      <c r="AFE66" s="6">
        <f>VLOOKUP(AFE$43, CAMEO!$G$3:$J$9, 4, FALSE)</f>
        <v>0</v>
      </c>
      <c r="AFF66" s="6">
        <f>VLOOKUP(AFF$43, CAMEO!$G$3:$J$9, 4, FALSE)</f>
        <v>0</v>
      </c>
      <c r="AFG66" s="6">
        <f>VLOOKUP(AFG$43, CAMEO!$G$3:$J$9, 4, FALSE)</f>
        <v>0</v>
      </c>
      <c r="AFH66" s="6">
        <f>VLOOKUP(AFH$43, CAMEO!$G$3:$J$9, 4, FALSE)</f>
        <v>0</v>
      </c>
      <c r="AFI66" s="6">
        <f>VLOOKUP(AFI$43, CAMEO!$G$3:$J$9, 4, FALSE)</f>
        <v>0</v>
      </c>
      <c r="AFJ66" s="6">
        <f>VLOOKUP(AFJ$43, CAMEO!$G$3:$J$9, 4, FALSE)</f>
        <v>0</v>
      </c>
      <c r="AFK66" s="6">
        <f>VLOOKUP(AFK$43, CAMEO!$G$3:$J$9, 4, FALSE)</f>
        <v>0</v>
      </c>
      <c r="AFL66" s="6">
        <f>VLOOKUP(AFL$43, CAMEO!$G$3:$J$9, 4, FALSE)</f>
        <v>0</v>
      </c>
      <c r="AFM66" s="6">
        <f>VLOOKUP(AFM$43, CAMEO!$G$3:$J$9, 4, FALSE)</f>
        <v>0</v>
      </c>
      <c r="AFN66" s="6">
        <f>VLOOKUP(AFN$43, CAMEO!$G$3:$J$9, 4, FALSE)</f>
        <v>0</v>
      </c>
      <c r="AFO66" s="6">
        <f>VLOOKUP(AFO$43, CAMEO!$G$3:$J$9, 4, FALSE)</f>
        <v>0</v>
      </c>
      <c r="AFP66" s="6">
        <f>VLOOKUP(AFP$43, CAMEO!$G$3:$J$9, 4, FALSE)</f>
        <v>0</v>
      </c>
      <c r="AFQ66" s="6">
        <f>VLOOKUP(AFQ$43, CAMEO!$G$3:$J$9, 4, FALSE)</f>
        <v>0</v>
      </c>
      <c r="AFR66" s="6">
        <f>VLOOKUP(AFR$43, CAMEO!$G$3:$J$9, 4, FALSE)</f>
        <v>0</v>
      </c>
      <c r="AFS66" s="6">
        <f>VLOOKUP(AFS$43, CAMEO!$G$3:$J$9, 4, FALSE)</f>
        <v>0</v>
      </c>
      <c r="AFT66" s="6">
        <f>VLOOKUP(AFT$43, CAMEO!$G$3:$J$9, 4, FALSE)</f>
        <v>0</v>
      </c>
      <c r="AFU66" s="6">
        <f>VLOOKUP(AFU$43, CAMEO!$G$3:$J$9, 4, FALSE)</f>
        <v>0</v>
      </c>
      <c r="AFV66" s="6">
        <f>VLOOKUP(AFV$43, CAMEO!$G$3:$J$9, 4, FALSE)</f>
        <v>0</v>
      </c>
      <c r="AFW66" s="6">
        <f>VLOOKUP(AFW$43, CAMEO!$G$3:$J$9, 4, FALSE)</f>
        <v>0</v>
      </c>
      <c r="AFX66" s="6">
        <f>VLOOKUP(AFX$43, CAMEO!$G$3:$J$9, 4, FALSE)</f>
        <v>0</v>
      </c>
      <c r="AFY66" s="6">
        <f>VLOOKUP(AFY$43, CAMEO!$G$3:$J$9, 4, FALSE)</f>
        <v>0</v>
      </c>
      <c r="AFZ66" s="6">
        <f>VLOOKUP(AFZ$43, CAMEO!$G$3:$J$9, 4, FALSE)</f>
        <v>0</v>
      </c>
      <c r="AGA66" s="6">
        <f>VLOOKUP(AGA$43, CAMEO!$G$3:$J$9, 4, FALSE)</f>
        <v>0</v>
      </c>
      <c r="AGB66" s="6">
        <f>VLOOKUP(AGB$43, CAMEO!$G$3:$J$9, 4, FALSE)</f>
        <v>0</v>
      </c>
      <c r="AGC66" s="6">
        <f>VLOOKUP(AGC$43, CAMEO!$G$3:$J$9, 4, FALSE)</f>
        <v>0</v>
      </c>
      <c r="AGD66" s="6">
        <f>VLOOKUP(AGD$43, CAMEO!$G$3:$J$9, 4, FALSE)</f>
        <v>0</v>
      </c>
      <c r="AGE66" s="6">
        <f>VLOOKUP(AGE$43, CAMEO!$G$3:$J$9, 4, FALSE)</f>
        <v>0</v>
      </c>
      <c r="AGF66" s="6">
        <f>VLOOKUP(AGF$43, CAMEO!$G$3:$J$9, 4, FALSE)</f>
        <v>0</v>
      </c>
      <c r="AGG66" s="6">
        <f>VLOOKUP(AGG$43, CAMEO!$G$3:$J$9, 4, FALSE)</f>
        <v>0</v>
      </c>
      <c r="AGH66" s="6">
        <f>VLOOKUP(AGH$43, CAMEO!$G$3:$J$9, 4, FALSE)</f>
        <v>0</v>
      </c>
      <c r="AGI66" s="6">
        <f>VLOOKUP(AGI$43, CAMEO!$G$3:$J$9, 4, FALSE)</f>
        <v>0</v>
      </c>
      <c r="AGJ66" s="6">
        <f>VLOOKUP(AGJ$43, CAMEO!$G$3:$J$9, 4, FALSE)</f>
        <v>0</v>
      </c>
      <c r="AGK66" s="6">
        <f>VLOOKUP(AGK$43, CAMEO!$G$3:$J$9, 4, FALSE)</f>
        <v>0</v>
      </c>
      <c r="AGL66" s="6">
        <f>VLOOKUP(AGL$43, CAMEO!$G$3:$J$9, 4, FALSE)</f>
        <v>0</v>
      </c>
      <c r="AGM66" s="6">
        <f>VLOOKUP(AGM$43, CAMEO!$G$3:$J$9, 4, FALSE)</f>
        <v>0</v>
      </c>
      <c r="AGN66" s="6">
        <f>VLOOKUP(AGN$43, CAMEO!$G$3:$J$9, 4, FALSE)</f>
        <v>0</v>
      </c>
      <c r="AGO66" s="6">
        <f>VLOOKUP(AGO$43, CAMEO!$G$3:$J$9, 4, FALSE)</f>
        <v>0</v>
      </c>
      <c r="AGP66" s="6">
        <f>VLOOKUP(AGP$43, CAMEO!$G$3:$J$9, 4, FALSE)</f>
        <v>0</v>
      </c>
      <c r="AGQ66" s="6">
        <f>VLOOKUP(AGQ$43, CAMEO!$G$3:$J$9, 4, FALSE)</f>
        <v>0</v>
      </c>
      <c r="AGR66" s="6">
        <f>VLOOKUP(AGR$43, CAMEO!$G$3:$J$9, 4, FALSE)</f>
        <v>0</v>
      </c>
      <c r="AGS66" s="6">
        <f>VLOOKUP(AGS$43, CAMEO!$G$3:$J$9, 4, FALSE)</f>
        <v>0</v>
      </c>
      <c r="AGT66" s="6">
        <f>VLOOKUP(AGT$43, CAMEO!$G$3:$J$9, 4, FALSE)</f>
        <v>0</v>
      </c>
      <c r="AGU66" s="6">
        <f>VLOOKUP(AGU$43, CAMEO!$G$3:$J$9, 4, FALSE)</f>
        <v>0</v>
      </c>
      <c r="AGV66" s="6">
        <f>VLOOKUP(AGV$43, CAMEO!$G$3:$J$9, 4, FALSE)</f>
        <v>0</v>
      </c>
      <c r="AGW66" s="6">
        <f>VLOOKUP(AGW$43, CAMEO!$G$3:$J$9, 4, FALSE)</f>
        <v>0</v>
      </c>
      <c r="AGX66" s="6">
        <f>VLOOKUP(AGX$43, CAMEO!$G$3:$J$9, 4, FALSE)</f>
        <v>0</v>
      </c>
      <c r="AGY66" s="6">
        <f>VLOOKUP(AGY$43, CAMEO!$G$3:$J$9, 4, FALSE)</f>
        <v>0</v>
      </c>
      <c r="AGZ66" s="6">
        <f>VLOOKUP(AGZ$43, CAMEO!$G$3:$J$9, 4, FALSE)</f>
        <v>0</v>
      </c>
      <c r="AHA66" s="6">
        <f>VLOOKUP(AHA$43, CAMEO!$G$3:$J$9, 4, FALSE)</f>
        <v>0</v>
      </c>
      <c r="AHB66" s="6">
        <f>VLOOKUP(AHB$43, CAMEO!$G$3:$J$9, 4, FALSE)</f>
        <v>0</v>
      </c>
      <c r="AHC66" s="6">
        <f>VLOOKUP(AHC$43, CAMEO!$G$3:$J$9, 4, FALSE)</f>
        <v>0</v>
      </c>
      <c r="AHD66" s="6">
        <f>VLOOKUP(AHD$43, CAMEO!$G$3:$J$9, 4, FALSE)</f>
        <v>0</v>
      </c>
      <c r="AHE66" s="6">
        <f>VLOOKUP(AHE$43, CAMEO!$G$3:$J$9, 4, FALSE)</f>
        <v>0</v>
      </c>
      <c r="AHF66" s="6">
        <f>VLOOKUP(AHF$43, CAMEO!$G$3:$J$9, 4, FALSE)</f>
        <v>0</v>
      </c>
      <c r="AHG66" s="6">
        <f>VLOOKUP(AHG$43, CAMEO!$G$3:$J$9, 4, FALSE)</f>
        <v>0</v>
      </c>
      <c r="AHH66" s="6">
        <f>VLOOKUP(AHH$43, CAMEO!$G$3:$J$9, 4, FALSE)</f>
        <v>0</v>
      </c>
      <c r="AHI66" s="6">
        <f>VLOOKUP(AHI$43, CAMEO!$G$3:$J$9, 4, FALSE)</f>
        <v>0</v>
      </c>
      <c r="AHJ66" s="6">
        <f>VLOOKUP(AHJ$43, CAMEO!$G$3:$J$9, 4, FALSE)</f>
        <v>0</v>
      </c>
      <c r="AHK66" s="6">
        <f>VLOOKUP(AHK$43, CAMEO!$G$3:$J$9, 4, FALSE)</f>
        <v>0</v>
      </c>
      <c r="AHL66" s="6">
        <f>VLOOKUP(AHL$43, CAMEO!$G$3:$J$9, 4, FALSE)</f>
        <v>0</v>
      </c>
      <c r="AHM66" s="6">
        <f>VLOOKUP(AHM$43, CAMEO!$G$3:$J$9, 4, FALSE)</f>
        <v>0</v>
      </c>
      <c r="AHN66" s="6">
        <f>VLOOKUP(AHN$43, CAMEO!$G$3:$J$9, 4, FALSE)</f>
        <v>0</v>
      </c>
      <c r="AHO66" s="6">
        <f>VLOOKUP(AHO$43, CAMEO!$G$3:$J$9, 4, FALSE)</f>
        <v>0</v>
      </c>
      <c r="AHP66" s="6">
        <f>VLOOKUP(AHP$43, CAMEO!$G$3:$J$9, 4, FALSE)</f>
        <v>0</v>
      </c>
      <c r="AHQ66" s="6">
        <f>VLOOKUP(AHQ$43, CAMEO!$G$3:$J$9, 4, FALSE)</f>
        <v>0</v>
      </c>
      <c r="AHR66" s="6">
        <f>VLOOKUP(AHR$43, CAMEO!$G$3:$J$9, 4, FALSE)</f>
        <v>0</v>
      </c>
      <c r="AHS66" s="6">
        <f>VLOOKUP(AHS$43, CAMEO!$G$3:$J$9, 4, FALSE)</f>
        <v>0</v>
      </c>
      <c r="AHT66" s="6">
        <f>VLOOKUP(AHT$43, CAMEO!$G$3:$J$9, 4, FALSE)</f>
        <v>0</v>
      </c>
      <c r="AHU66" s="6">
        <f>VLOOKUP(AHU$43, CAMEO!$G$3:$J$9, 4, FALSE)</f>
        <v>0</v>
      </c>
      <c r="AHV66" s="6">
        <f>VLOOKUP(AHV$43, CAMEO!$G$3:$J$9, 4, FALSE)</f>
        <v>0</v>
      </c>
      <c r="AHW66" s="6">
        <f>VLOOKUP(AHW$43, CAMEO!$G$3:$J$9, 4, FALSE)</f>
        <v>0</v>
      </c>
      <c r="AHX66" s="6">
        <f>VLOOKUP(AHX$43, CAMEO!$G$3:$J$9, 4, FALSE)</f>
        <v>0</v>
      </c>
      <c r="AHY66" s="6">
        <f>VLOOKUP(AHY$43, CAMEO!$G$3:$J$9, 4, FALSE)</f>
        <v>0</v>
      </c>
      <c r="AHZ66" s="6">
        <f>VLOOKUP(AHZ$43, CAMEO!$G$3:$J$9, 4, FALSE)</f>
        <v>0</v>
      </c>
      <c r="AIA66" s="6">
        <f>VLOOKUP(AIA$43, CAMEO!$G$3:$J$9, 4, FALSE)</f>
        <v>0</v>
      </c>
      <c r="AIB66" s="6">
        <f>VLOOKUP(AIB$43, CAMEO!$G$3:$J$9, 4, FALSE)</f>
        <v>0</v>
      </c>
      <c r="AIC66" s="6">
        <f>VLOOKUP(AIC$43, CAMEO!$G$3:$J$9, 4, FALSE)</f>
        <v>0</v>
      </c>
      <c r="AID66" s="6">
        <f>VLOOKUP(AID$43, CAMEO!$G$3:$J$9, 4, FALSE)</f>
        <v>0</v>
      </c>
      <c r="AIE66" s="6">
        <f>VLOOKUP(AIE$43, CAMEO!$G$3:$J$9, 4, FALSE)</f>
        <v>0</v>
      </c>
      <c r="AIF66" s="6">
        <f>VLOOKUP(AIF$43, CAMEO!$G$3:$J$9, 4, FALSE)</f>
        <v>0</v>
      </c>
      <c r="AIG66" s="6">
        <f>VLOOKUP(AIG$43, CAMEO!$G$3:$J$9, 4, FALSE)</f>
        <v>0</v>
      </c>
      <c r="AIH66" s="6">
        <f>VLOOKUP(AIH$43, CAMEO!$G$3:$J$9, 4, FALSE)</f>
        <v>0</v>
      </c>
      <c r="AII66" s="6">
        <f>VLOOKUP(AII$43, CAMEO!$G$3:$J$9, 4, FALSE)</f>
        <v>0</v>
      </c>
      <c r="AIJ66" s="6">
        <f>VLOOKUP(AIJ$43, CAMEO!$G$3:$J$9, 4, FALSE)</f>
        <v>0</v>
      </c>
      <c r="AIK66" s="6">
        <f>VLOOKUP(AIK$43, CAMEO!$G$3:$J$9, 4, FALSE)</f>
        <v>0</v>
      </c>
      <c r="AIL66" s="6">
        <f>VLOOKUP(AIL$43, CAMEO!$G$3:$J$9, 4, FALSE)</f>
        <v>0</v>
      </c>
      <c r="AIM66" s="6">
        <f>VLOOKUP(AIM$43, CAMEO!$G$3:$J$9, 4, FALSE)</f>
        <v>0</v>
      </c>
      <c r="AIN66" s="6">
        <f>VLOOKUP(AIN$43, CAMEO!$G$3:$J$9, 4, FALSE)</f>
        <v>0</v>
      </c>
      <c r="AIO66" s="6">
        <f>VLOOKUP(AIO$43, CAMEO!$G$3:$J$9, 4, FALSE)</f>
        <v>0</v>
      </c>
      <c r="AIP66" s="6">
        <f>VLOOKUP(AIP$43, CAMEO!$G$3:$J$9, 4, FALSE)</f>
        <v>0</v>
      </c>
      <c r="AIQ66" s="6">
        <f>VLOOKUP(AIQ$43, CAMEO!$G$3:$J$9, 4, FALSE)</f>
        <v>0</v>
      </c>
      <c r="AIR66" s="6">
        <f>VLOOKUP(AIR$43, CAMEO!$G$3:$J$9, 4, FALSE)</f>
        <v>0</v>
      </c>
      <c r="AIS66" s="6">
        <f>VLOOKUP(AIS$43, CAMEO!$G$3:$J$9, 4, FALSE)</f>
        <v>0</v>
      </c>
      <c r="AIT66" s="6">
        <f>VLOOKUP(AIT$43, CAMEO!$G$3:$J$9, 4, FALSE)</f>
        <v>0</v>
      </c>
      <c r="AIU66" s="6">
        <f>VLOOKUP(AIU$43, CAMEO!$G$3:$J$9, 4, FALSE)</f>
        <v>0</v>
      </c>
      <c r="AIV66" s="6">
        <f>VLOOKUP(AIV$43, CAMEO!$G$3:$J$9, 4, FALSE)</f>
        <v>0</v>
      </c>
      <c r="AIW66" s="6">
        <f>VLOOKUP(AIW$43, CAMEO!$G$3:$J$9, 4, FALSE)</f>
        <v>0</v>
      </c>
      <c r="AIX66" s="6">
        <f>VLOOKUP(AIX$43, CAMEO!$G$3:$J$9, 4, FALSE)</f>
        <v>0</v>
      </c>
      <c r="AIY66" s="6">
        <f>VLOOKUP(AIY$43, CAMEO!$G$3:$J$9, 4, FALSE)</f>
        <v>0</v>
      </c>
      <c r="AIZ66" s="6">
        <f>VLOOKUP(AIZ$43, CAMEO!$G$3:$J$9, 4, FALSE)</f>
        <v>0</v>
      </c>
      <c r="AJA66" s="6">
        <f>VLOOKUP(AJA$43, CAMEO!$G$3:$J$9, 4, FALSE)</f>
        <v>0</v>
      </c>
      <c r="AJB66" s="6">
        <f>VLOOKUP(AJB$43, CAMEO!$G$3:$J$9, 4, FALSE)</f>
        <v>0</v>
      </c>
      <c r="AJC66" s="6">
        <f>VLOOKUP(AJC$43, CAMEO!$G$3:$J$9, 4, FALSE)</f>
        <v>0</v>
      </c>
      <c r="AJD66" s="6">
        <f>VLOOKUP(AJD$43, CAMEO!$G$3:$J$9, 4, FALSE)</f>
        <v>0</v>
      </c>
      <c r="AJE66" s="6">
        <f>VLOOKUP(AJE$43, CAMEO!$G$3:$J$9, 4, FALSE)</f>
        <v>0</v>
      </c>
      <c r="AJF66" s="6">
        <f>VLOOKUP(AJF$43, CAMEO!$G$3:$J$9, 4, FALSE)</f>
        <v>0</v>
      </c>
      <c r="AJG66" s="6">
        <f>VLOOKUP(AJG$43, CAMEO!$G$3:$J$9, 4, FALSE)</f>
        <v>0</v>
      </c>
      <c r="AJH66" s="6">
        <f>VLOOKUP(AJH$43, CAMEO!$G$3:$J$9, 4, FALSE)</f>
        <v>0</v>
      </c>
      <c r="AJI66" s="6">
        <f>VLOOKUP(AJI$43, CAMEO!$G$3:$J$9, 4, FALSE)</f>
        <v>0</v>
      </c>
      <c r="AJJ66" s="6">
        <f>VLOOKUP(AJJ$43, CAMEO!$G$3:$J$9, 4, FALSE)</f>
        <v>0</v>
      </c>
      <c r="AJK66" s="6">
        <f>VLOOKUP(AJK$43, CAMEO!$G$3:$J$9, 4, FALSE)</f>
        <v>0</v>
      </c>
      <c r="AJL66" s="6">
        <f>VLOOKUP(AJL$43, CAMEO!$G$3:$J$9, 4, FALSE)</f>
        <v>0</v>
      </c>
      <c r="AJM66" s="6">
        <f>VLOOKUP(AJM$43, CAMEO!$G$3:$J$9, 4, FALSE)</f>
        <v>0</v>
      </c>
      <c r="AJN66" s="6">
        <f>VLOOKUP(AJN$43, CAMEO!$G$3:$J$9, 4, FALSE)</f>
        <v>0</v>
      </c>
      <c r="AJO66" s="6">
        <f>VLOOKUP(AJO$43, CAMEO!$G$3:$J$9, 4, FALSE)</f>
        <v>0</v>
      </c>
      <c r="AJP66" s="6">
        <f>VLOOKUP(AJP$43, CAMEO!$G$3:$J$9, 4, FALSE)</f>
        <v>0</v>
      </c>
      <c r="AJQ66" s="6">
        <f>VLOOKUP(AJQ$43, CAMEO!$G$3:$J$9, 4, FALSE)</f>
        <v>0</v>
      </c>
      <c r="AJR66" s="6">
        <f>VLOOKUP(AJR$43, CAMEO!$G$3:$J$9, 4, FALSE)</f>
        <v>0</v>
      </c>
      <c r="AJS66" s="6">
        <f>VLOOKUP(AJS$43, CAMEO!$G$3:$J$9, 4, FALSE)</f>
        <v>0</v>
      </c>
      <c r="AJT66" s="6">
        <f>VLOOKUP(AJT$43, CAMEO!$G$3:$J$9, 4, FALSE)</f>
        <v>0</v>
      </c>
      <c r="AJU66" s="6">
        <f>VLOOKUP(AJU$43, CAMEO!$G$3:$J$9, 4, FALSE)</f>
        <v>0</v>
      </c>
      <c r="AJV66" s="6">
        <f>VLOOKUP(AJV$43, CAMEO!$G$3:$J$9, 4, FALSE)</f>
        <v>0</v>
      </c>
      <c r="AJW66" s="6">
        <f>VLOOKUP(AJW$43, CAMEO!$G$3:$J$9, 4, FALSE)</f>
        <v>0</v>
      </c>
      <c r="AJX66" s="6">
        <f>VLOOKUP(AJX$43, CAMEO!$G$3:$J$9, 4, FALSE)</f>
        <v>0</v>
      </c>
      <c r="AJY66" s="6">
        <f>VLOOKUP(AJY$43, CAMEO!$G$3:$J$9, 4, FALSE)</f>
        <v>0</v>
      </c>
      <c r="AJZ66" s="6">
        <f>VLOOKUP(AJZ$43, CAMEO!$G$3:$J$9, 4, FALSE)</f>
        <v>0</v>
      </c>
      <c r="AKA66" s="6">
        <f>VLOOKUP(AKA$43, CAMEO!$G$3:$J$9, 4, FALSE)</f>
        <v>0</v>
      </c>
      <c r="AKB66" s="6">
        <f>VLOOKUP(AKB$43, CAMEO!$G$3:$J$9, 4, FALSE)</f>
        <v>0</v>
      </c>
      <c r="AKC66" s="6">
        <f>VLOOKUP(AKC$43, CAMEO!$G$3:$J$9, 4, FALSE)</f>
        <v>0</v>
      </c>
      <c r="AKD66" s="6">
        <f>VLOOKUP(AKD$43, CAMEO!$G$3:$J$9, 4, FALSE)</f>
        <v>0</v>
      </c>
      <c r="AKE66" s="6">
        <f>VLOOKUP(AKE$43, CAMEO!$G$3:$J$9, 4, FALSE)</f>
        <v>0</v>
      </c>
      <c r="AKF66" s="6">
        <f>VLOOKUP(AKF$43, CAMEO!$G$3:$J$9, 4, FALSE)</f>
        <v>0</v>
      </c>
      <c r="AKG66" s="6">
        <f>VLOOKUP(AKG$43, CAMEO!$G$3:$J$9, 4, FALSE)</f>
        <v>0</v>
      </c>
      <c r="AKH66" s="6">
        <f>VLOOKUP(AKH$43, CAMEO!$G$3:$J$9, 4, FALSE)</f>
        <v>0</v>
      </c>
      <c r="AKI66" s="6">
        <f>VLOOKUP(AKI$43, CAMEO!$G$3:$J$9, 4, FALSE)</f>
        <v>0</v>
      </c>
      <c r="AKJ66" s="6">
        <f>VLOOKUP(AKJ$43, CAMEO!$G$3:$J$9, 4, FALSE)</f>
        <v>0</v>
      </c>
      <c r="AKK66" s="6">
        <f>VLOOKUP(AKK$43, CAMEO!$G$3:$J$9, 4, FALSE)</f>
        <v>0</v>
      </c>
      <c r="AKL66" s="6">
        <f>VLOOKUP(AKL$43, CAMEO!$G$3:$J$9, 4, FALSE)</f>
        <v>0</v>
      </c>
      <c r="AKM66" s="6">
        <f>VLOOKUP(AKM$43, CAMEO!$G$3:$J$9, 4, FALSE)</f>
        <v>0</v>
      </c>
      <c r="AKN66" s="6">
        <f>VLOOKUP(AKN$43, CAMEO!$G$3:$J$9, 4, FALSE)</f>
        <v>0</v>
      </c>
      <c r="AKO66" s="6">
        <f>VLOOKUP(AKO$43, CAMEO!$G$3:$J$9, 4, FALSE)</f>
        <v>0</v>
      </c>
      <c r="AKP66" s="6">
        <f>VLOOKUP(AKP$43, CAMEO!$G$3:$J$9, 4, FALSE)</f>
        <v>0</v>
      </c>
      <c r="AKQ66" s="6">
        <f>VLOOKUP(AKQ$43, CAMEO!$G$3:$J$9, 4, FALSE)</f>
        <v>0</v>
      </c>
      <c r="AKR66" s="6">
        <f>VLOOKUP(AKR$43, CAMEO!$G$3:$J$9, 4, FALSE)</f>
        <v>0</v>
      </c>
      <c r="AKS66" s="6">
        <f>VLOOKUP(AKS$43, CAMEO!$G$3:$J$9, 4, FALSE)</f>
        <v>0</v>
      </c>
      <c r="AKT66" s="6">
        <f>VLOOKUP(AKT$43, CAMEO!$G$3:$J$9, 4, FALSE)</f>
        <v>0</v>
      </c>
      <c r="AKU66" s="6">
        <f>VLOOKUP(AKU$43, CAMEO!$G$3:$J$9, 4, FALSE)</f>
        <v>0</v>
      </c>
      <c r="AKV66" s="6">
        <f>VLOOKUP(AKV$43, CAMEO!$G$3:$J$9, 4, FALSE)</f>
        <v>0</v>
      </c>
      <c r="AKW66" s="6">
        <f>VLOOKUP(AKW$43, CAMEO!$G$3:$J$9, 4, FALSE)</f>
        <v>0</v>
      </c>
      <c r="AKX66" s="6">
        <f>VLOOKUP(AKX$43, CAMEO!$G$3:$J$9, 4, FALSE)</f>
        <v>0</v>
      </c>
      <c r="AKY66" s="6">
        <f>VLOOKUP(AKY$43, CAMEO!$G$3:$J$9, 4, FALSE)</f>
        <v>0</v>
      </c>
      <c r="AKZ66" s="6">
        <f>VLOOKUP(AKZ$43, CAMEO!$G$3:$J$9, 4, FALSE)</f>
        <v>0</v>
      </c>
      <c r="ALA66" s="6">
        <f>VLOOKUP(ALA$43, CAMEO!$G$3:$J$9, 4, FALSE)</f>
        <v>0</v>
      </c>
      <c r="ALB66" s="6">
        <f>VLOOKUP(ALB$43, CAMEO!$G$3:$J$9, 4, FALSE)</f>
        <v>0</v>
      </c>
      <c r="ALC66" s="6">
        <f>VLOOKUP(ALC$43, CAMEO!$G$3:$J$9, 4, FALSE)</f>
        <v>0</v>
      </c>
      <c r="ALD66" s="6">
        <f>VLOOKUP(ALD$43, CAMEO!$G$3:$J$9, 4, FALSE)</f>
        <v>0</v>
      </c>
      <c r="ALE66" s="6">
        <f>VLOOKUP(ALE$43, CAMEO!$G$3:$J$9, 4, FALSE)</f>
        <v>0</v>
      </c>
      <c r="ALF66" s="6">
        <f>VLOOKUP(ALF$43, CAMEO!$G$3:$J$9, 4, FALSE)</f>
        <v>0</v>
      </c>
      <c r="ALG66" s="6">
        <f>VLOOKUP(ALG$43, CAMEO!$G$3:$J$9, 4, FALSE)</f>
        <v>0</v>
      </c>
      <c r="ALH66" s="6">
        <f>VLOOKUP(ALH$43, CAMEO!$G$3:$J$9, 4, FALSE)</f>
        <v>0</v>
      </c>
      <c r="ALI66" s="6">
        <f>VLOOKUP(ALI$43, CAMEO!$G$3:$J$9, 4, FALSE)</f>
        <v>0</v>
      </c>
      <c r="ALJ66" s="6">
        <f>VLOOKUP(ALJ$43, CAMEO!$G$3:$J$9, 4, FALSE)</f>
        <v>0</v>
      </c>
      <c r="ALK66" s="6">
        <f>VLOOKUP(ALK$43, CAMEO!$G$3:$J$9, 4, FALSE)</f>
        <v>0</v>
      </c>
      <c r="ALL66" s="6">
        <f>VLOOKUP(ALL$43, CAMEO!$G$3:$J$9, 4, FALSE)</f>
        <v>0</v>
      </c>
      <c r="ALM66" s="6">
        <f>VLOOKUP(ALM$43, CAMEO!$G$3:$J$9, 4, FALSE)</f>
        <v>0</v>
      </c>
      <c r="ALN66" s="6">
        <f>VLOOKUP(ALN$43, CAMEO!$G$3:$J$9, 4, FALSE)</f>
        <v>0</v>
      </c>
      <c r="ALO66" s="6">
        <f>VLOOKUP(ALO$43, CAMEO!$G$3:$J$9, 4, FALSE)</f>
        <v>0</v>
      </c>
      <c r="ALP66" s="6">
        <f>VLOOKUP(ALP$43, CAMEO!$G$3:$J$9, 4, FALSE)</f>
        <v>0</v>
      </c>
      <c r="ALQ66" s="6">
        <f>VLOOKUP(ALQ$43, CAMEO!$G$3:$J$9, 4, FALSE)</f>
        <v>0</v>
      </c>
      <c r="ALR66" s="6">
        <f>VLOOKUP(ALR$43, CAMEO!$G$3:$J$9, 4, FALSE)</f>
        <v>0</v>
      </c>
      <c r="ALS66" s="6">
        <f>VLOOKUP(ALS$43, CAMEO!$G$3:$J$9, 4, FALSE)</f>
        <v>0</v>
      </c>
      <c r="ALT66" s="6">
        <f>VLOOKUP(ALT$43, CAMEO!$G$3:$J$9, 4, FALSE)</f>
        <v>0</v>
      </c>
      <c r="ALU66" s="6">
        <f>VLOOKUP(ALU$43, CAMEO!$G$3:$J$9, 4, FALSE)</f>
        <v>0</v>
      </c>
      <c r="ALV66" s="6">
        <f>VLOOKUP(ALV$43, CAMEO!$G$3:$J$9, 4, FALSE)</f>
        <v>0</v>
      </c>
      <c r="ALW66" s="6">
        <f>VLOOKUP(ALW$43, CAMEO!$G$3:$J$9, 4, FALSE)</f>
        <v>0</v>
      </c>
    </row>
    <row r="67" spans="2:1011" x14ac:dyDescent="0.25">
      <c r="B67" s="9" t="s">
        <v>58</v>
      </c>
      <c r="C67" s="5"/>
      <c r="D67" s="6"/>
    </row>
    <row r="68" spans="2:1011" outlineLevel="1" x14ac:dyDescent="0.25">
      <c r="C68" s="5" t="s">
        <v>11</v>
      </c>
      <c r="D68" s="6"/>
    </row>
    <row r="69" spans="2:1011" outlineLevel="1" x14ac:dyDescent="0.25">
      <c r="C69" s="5" t="s">
        <v>16</v>
      </c>
      <c r="D69" s="6"/>
    </row>
    <row r="70" spans="2:1011" outlineLevel="1" x14ac:dyDescent="0.25">
      <c r="C70" s="5" t="s">
        <v>17</v>
      </c>
      <c r="D70" s="6"/>
    </row>
    <row r="71" spans="2:1011" outlineLevel="1" x14ac:dyDescent="0.25">
      <c r="C71" s="5" t="s">
        <v>18</v>
      </c>
      <c r="D71" s="6"/>
    </row>
    <row r="72" spans="2:1011" outlineLevel="1" x14ac:dyDescent="0.25">
      <c r="B72" s="8"/>
      <c r="C72" s="5"/>
      <c r="D72" s="6"/>
    </row>
    <row r="73" spans="2:1011" x14ac:dyDescent="0.25"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/>
      <c r="DK73" s="39"/>
      <c r="DL73" s="39"/>
      <c r="DM73" s="39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  <c r="EA73" s="39"/>
      <c r="EB73" s="39"/>
      <c r="EC73" s="39"/>
      <c r="ED73" s="39"/>
      <c r="EE73" s="39"/>
      <c r="EF73" s="39"/>
      <c r="EG73" s="39"/>
      <c r="EH73" s="39"/>
      <c r="EI73" s="39"/>
      <c r="EJ73" s="39"/>
      <c r="EK73" s="39"/>
      <c r="EL73" s="39"/>
      <c r="EM73" s="39"/>
      <c r="EN73" s="39"/>
      <c r="EO73" s="39"/>
      <c r="EP73" s="39"/>
      <c r="EQ73" s="39"/>
      <c r="ER73" s="39"/>
      <c r="ES73" s="39"/>
      <c r="ET73" s="39"/>
      <c r="EU73" s="39"/>
      <c r="EV73" s="39"/>
      <c r="EW73" s="39"/>
      <c r="EX73" s="39"/>
      <c r="EY73" s="39"/>
      <c r="EZ73" s="39"/>
      <c r="FA73" s="39"/>
      <c r="FB73" s="39"/>
      <c r="FC73" s="39"/>
      <c r="FD73" s="39"/>
      <c r="FE73" s="39"/>
      <c r="FF73" s="39"/>
      <c r="FG73" s="39"/>
      <c r="FH73" s="39"/>
      <c r="FI73" s="39"/>
      <c r="FJ73" s="39"/>
      <c r="FK73" s="39"/>
      <c r="FL73" s="39"/>
      <c r="FM73" s="39"/>
      <c r="FN73" s="39"/>
      <c r="FO73" s="39"/>
      <c r="FP73" s="39"/>
      <c r="FQ73" s="39"/>
      <c r="FR73" s="39"/>
      <c r="FS73" s="39"/>
      <c r="FT73" s="39"/>
      <c r="FU73" s="39"/>
      <c r="FV73" s="39"/>
      <c r="FW73" s="39"/>
      <c r="FX73" s="39"/>
      <c r="FY73" s="39"/>
      <c r="FZ73" s="39"/>
      <c r="GA73" s="39"/>
      <c r="GB73" s="39"/>
      <c r="GC73" s="39"/>
      <c r="GD73" s="39"/>
      <c r="GE73" s="39"/>
      <c r="GF73" s="39"/>
      <c r="GG73" s="39"/>
      <c r="GH73" s="39"/>
      <c r="GI73" s="39"/>
      <c r="GJ73" s="39"/>
      <c r="GK73" s="39"/>
      <c r="GL73" s="39"/>
      <c r="GM73" s="39"/>
      <c r="GN73" s="39"/>
      <c r="GO73" s="39"/>
      <c r="GP73" s="39"/>
      <c r="GQ73" s="39"/>
      <c r="GR73" s="39"/>
      <c r="GS73" s="39"/>
      <c r="GT73" s="39"/>
      <c r="GU73" s="39"/>
      <c r="GV73" s="39"/>
      <c r="GW73" s="39"/>
      <c r="GX73" s="39"/>
      <c r="GY73" s="39"/>
      <c r="GZ73" s="39"/>
      <c r="HA73" s="39"/>
      <c r="HB73" s="39"/>
      <c r="HC73" s="39"/>
      <c r="HD73" s="39"/>
      <c r="HE73" s="39"/>
      <c r="HF73" s="39"/>
      <c r="HG73" s="39"/>
      <c r="HH73" s="39"/>
      <c r="HI73" s="39"/>
      <c r="HJ73" s="39"/>
      <c r="HK73" s="39"/>
      <c r="HL73" s="39"/>
      <c r="HM73" s="39"/>
      <c r="HN73" s="39"/>
      <c r="HO73" s="39"/>
      <c r="HP73" s="39"/>
      <c r="HQ73" s="39"/>
      <c r="HR73" s="39"/>
      <c r="HS73" s="39"/>
      <c r="HT73" s="39"/>
      <c r="HU73" s="39"/>
      <c r="HV73" s="39"/>
      <c r="HW73" s="39"/>
      <c r="HX73" s="39"/>
      <c r="HY73" s="39"/>
      <c r="HZ73" s="39"/>
      <c r="IA73" s="39"/>
      <c r="IB73" s="39"/>
      <c r="IC73" s="39"/>
      <c r="ID73" s="39"/>
      <c r="IE73" s="39"/>
      <c r="IF73" s="39"/>
      <c r="IG73" s="39"/>
      <c r="IH73" s="39"/>
      <c r="II73" s="39"/>
      <c r="IJ73" s="39"/>
      <c r="IK73" s="39"/>
      <c r="IL73" s="39"/>
      <c r="IM73" s="39"/>
      <c r="IN73" s="39"/>
      <c r="IO73" s="39"/>
      <c r="IP73" s="39"/>
      <c r="IQ73" s="39"/>
      <c r="IR73" s="39"/>
      <c r="IS73" s="39"/>
      <c r="IT73" s="39"/>
      <c r="IU73" s="39"/>
      <c r="IV73" s="39"/>
      <c r="IW73" s="39"/>
      <c r="IX73" s="39"/>
      <c r="IY73" s="39"/>
      <c r="IZ73" s="39"/>
      <c r="JA73" s="39"/>
      <c r="JB73" s="39"/>
      <c r="JC73" s="39"/>
      <c r="JD73" s="39"/>
      <c r="JE73" s="39"/>
      <c r="JF73" s="39"/>
      <c r="JG73" s="39"/>
      <c r="JH73" s="39"/>
      <c r="JI73" s="39"/>
      <c r="JJ73" s="39"/>
      <c r="JK73" s="39"/>
      <c r="JL73" s="39"/>
      <c r="JM73" s="39"/>
      <c r="JN73" s="39"/>
      <c r="JO73" s="39"/>
      <c r="JP73" s="39"/>
      <c r="JQ73" s="39"/>
      <c r="JR73" s="39"/>
      <c r="JS73" s="39"/>
      <c r="JT73" s="39"/>
      <c r="JU73" s="39"/>
      <c r="JV73" s="39"/>
      <c r="JW73" s="39"/>
      <c r="JX73" s="39"/>
      <c r="JY73" s="39"/>
      <c r="JZ73" s="39"/>
      <c r="KA73" s="39"/>
      <c r="KB73" s="39"/>
      <c r="KC73" s="39"/>
      <c r="KD73" s="39"/>
      <c r="KE73" s="39"/>
      <c r="KF73" s="39"/>
      <c r="KG73" s="39"/>
      <c r="KH73" s="39"/>
      <c r="KI73" s="39"/>
      <c r="KJ73" s="39"/>
      <c r="KK73" s="39"/>
      <c r="KL73" s="39"/>
      <c r="KM73" s="39"/>
      <c r="KN73" s="39"/>
      <c r="KO73" s="39"/>
      <c r="KP73" s="39"/>
      <c r="KQ73" s="39"/>
      <c r="KR73" s="39"/>
      <c r="KS73" s="39"/>
      <c r="KT73" s="39"/>
      <c r="KU73" s="39"/>
      <c r="KV73" s="39"/>
      <c r="KW73" s="39"/>
      <c r="KX73" s="39"/>
      <c r="KY73" s="39"/>
      <c r="KZ73" s="39"/>
      <c r="LA73" s="39"/>
      <c r="LB73" s="39"/>
      <c r="LC73" s="39"/>
      <c r="LD73" s="39"/>
      <c r="LE73" s="39"/>
      <c r="LF73" s="39"/>
      <c r="LG73" s="39"/>
      <c r="LH73" s="39"/>
      <c r="LI73" s="39"/>
      <c r="LJ73" s="39"/>
      <c r="LK73" s="39"/>
      <c r="LL73" s="39"/>
      <c r="LM73" s="39"/>
      <c r="LN73" s="39"/>
      <c r="LO73" s="39"/>
      <c r="LP73" s="39"/>
      <c r="LQ73" s="39"/>
      <c r="LR73" s="39"/>
      <c r="LS73" s="39"/>
      <c r="LT73" s="39"/>
      <c r="LU73" s="39"/>
      <c r="LV73" s="39"/>
      <c r="LW73" s="39"/>
      <c r="LX73" s="39"/>
      <c r="LY73" s="39"/>
      <c r="LZ73" s="39"/>
      <c r="MA73" s="39"/>
      <c r="MB73" s="39"/>
      <c r="MC73" s="39"/>
      <c r="MD73" s="39"/>
      <c r="ME73" s="39"/>
      <c r="MF73" s="39"/>
      <c r="MG73" s="39"/>
      <c r="MH73" s="39"/>
      <c r="MI73" s="39"/>
      <c r="MJ73" s="39"/>
      <c r="MK73" s="39"/>
      <c r="ML73" s="39"/>
      <c r="MM73" s="39"/>
      <c r="MN73" s="39"/>
      <c r="MO73" s="39"/>
      <c r="MP73" s="39"/>
      <c r="MQ73" s="39"/>
      <c r="MR73" s="39"/>
      <c r="MS73" s="39"/>
      <c r="MT73" s="39"/>
      <c r="MU73" s="39"/>
      <c r="MV73" s="39"/>
      <c r="MW73" s="39"/>
      <c r="MX73" s="39"/>
      <c r="MY73" s="39"/>
      <c r="MZ73" s="39"/>
      <c r="NA73" s="39"/>
      <c r="NB73" s="39"/>
      <c r="NC73" s="39"/>
      <c r="ND73" s="39"/>
      <c r="NE73" s="39"/>
      <c r="NF73" s="39"/>
      <c r="NG73" s="39"/>
      <c r="NH73" s="39"/>
      <c r="NI73" s="39"/>
      <c r="NJ73" s="39"/>
      <c r="NK73" s="39"/>
      <c r="NL73" s="39"/>
      <c r="NM73" s="39"/>
      <c r="NN73" s="39"/>
      <c r="NO73" s="39"/>
      <c r="NP73" s="39"/>
      <c r="NQ73" s="39"/>
      <c r="NR73" s="39"/>
      <c r="NS73" s="39"/>
      <c r="NT73" s="39"/>
      <c r="NU73" s="39"/>
      <c r="NV73" s="39"/>
      <c r="NW73" s="39"/>
      <c r="NX73" s="39"/>
      <c r="NY73" s="39"/>
      <c r="NZ73" s="39"/>
      <c r="OA73" s="39"/>
      <c r="OB73" s="39"/>
      <c r="OC73" s="39"/>
      <c r="OD73" s="39"/>
      <c r="OE73" s="39"/>
      <c r="OF73" s="39"/>
      <c r="OG73" s="39"/>
      <c r="OH73" s="39"/>
      <c r="OI73" s="39"/>
      <c r="OJ73" s="39"/>
      <c r="OK73" s="39"/>
      <c r="OL73" s="39"/>
      <c r="OM73" s="39"/>
      <c r="ON73" s="39"/>
      <c r="OO73" s="39"/>
      <c r="OP73" s="39"/>
      <c r="OQ73" s="39"/>
      <c r="OR73" s="39"/>
      <c r="OS73" s="39"/>
      <c r="OT73" s="39"/>
      <c r="OU73" s="39"/>
      <c r="OV73" s="39"/>
      <c r="OW73" s="39"/>
      <c r="OX73" s="39"/>
      <c r="OY73" s="39"/>
      <c r="OZ73" s="39"/>
      <c r="PA73" s="39"/>
      <c r="PB73" s="39"/>
      <c r="PC73" s="39"/>
      <c r="PD73" s="39"/>
      <c r="PE73" s="39"/>
      <c r="PF73" s="39"/>
      <c r="PG73" s="39"/>
      <c r="PH73" s="39"/>
      <c r="PI73" s="39"/>
      <c r="PJ73" s="39"/>
      <c r="PK73" s="39"/>
      <c r="PL73" s="39"/>
      <c r="PM73" s="39"/>
      <c r="PN73" s="39"/>
      <c r="PO73" s="39"/>
      <c r="PP73" s="39"/>
      <c r="PQ73" s="39"/>
      <c r="PR73" s="39"/>
      <c r="PS73" s="39"/>
      <c r="PT73" s="39"/>
      <c r="PU73" s="39"/>
      <c r="PV73" s="39"/>
      <c r="PW73" s="39"/>
      <c r="PX73" s="39"/>
      <c r="PY73" s="39"/>
      <c r="PZ73" s="39"/>
      <c r="QA73" s="39"/>
      <c r="QB73" s="39"/>
      <c r="QC73" s="39"/>
      <c r="QD73" s="39"/>
      <c r="QE73" s="39"/>
      <c r="QF73" s="39"/>
      <c r="QG73" s="39"/>
      <c r="QH73" s="39"/>
      <c r="QI73" s="39"/>
      <c r="QJ73" s="39"/>
      <c r="QK73" s="39"/>
      <c r="QL73" s="39"/>
      <c r="QM73" s="39"/>
      <c r="QN73" s="39"/>
      <c r="QO73" s="39"/>
      <c r="QP73" s="39"/>
      <c r="QQ73" s="39"/>
      <c r="QR73" s="39"/>
      <c r="QS73" s="39"/>
      <c r="QT73" s="39"/>
      <c r="QU73" s="39"/>
      <c r="QV73" s="39"/>
      <c r="QW73" s="39"/>
      <c r="QX73" s="39"/>
      <c r="QY73" s="39"/>
      <c r="QZ73" s="39"/>
      <c r="RA73" s="39"/>
      <c r="RB73" s="39"/>
      <c r="RC73" s="39"/>
      <c r="RD73" s="39"/>
      <c r="RE73" s="39"/>
      <c r="RF73" s="39"/>
      <c r="RG73" s="39"/>
      <c r="RH73" s="39"/>
      <c r="RI73" s="39"/>
      <c r="RJ73" s="39"/>
      <c r="RK73" s="39"/>
      <c r="RL73" s="39"/>
      <c r="RM73" s="39"/>
      <c r="RN73" s="39"/>
      <c r="RO73" s="39"/>
      <c r="RP73" s="39"/>
      <c r="RQ73" s="39"/>
      <c r="RR73" s="39"/>
      <c r="RS73" s="39"/>
      <c r="RT73" s="39"/>
      <c r="RU73" s="39"/>
      <c r="RV73" s="39"/>
      <c r="RW73" s="39"/>
      <c r="RX73" s="39"/>
      <c r="RY73" s="39"/>
      <c r="RZ73" s="39"/>
      <c r="SA73" s="39"/>
      <c r="SB73" s="39"/>
      <c r="SC73" s="39"/>
      <c r="SD73" s="39"/>
      <c r="SE73" s="39"/>
      <c r="SF73" s="39"/>
      <c r="SG73" s="39"/>
      <c r="SH73" s="39"/>
      <c r="SI73" s="39"/>
      <c r="SJ73" s="39"/>
      <c r="SK73" s="39"/>
      <c r="SL73" s="39"/>
      <c r="SM73" s="39"/>
      <c r="SN73" s="39"/>
      <c r="SO73" s="39"/>
      <c r="SP73" s="39"/>
      <c r="SQ73" s="39"/>
      <c r="SR73" s="39"/>
      <c r="SS73" s="39"/>
      <c r="ST73" s="39"/>
      <c r="SU73" s="39"/>
      <c r="SV73" s="39"/>
      <c r="SW73" s="39"/>
      <c r="SX73" s="39"/>
      <c r="SY73" s="39"/>
      <c r="SZ73" s="39"/>
      <c r="TA73" s="39"/>
      <c r="TB73" s="39"/>
      <c r="TC73" s="39"/>
      <c r="TD73" s="39"/>
      <c r="TE73" s="39"/>
      <c r="TF73" s="39"/>
      <c r="TG73" s="39"/>
      <c r="TH73" s="39"/>
      <c r="TI73" s="39"/>
      <c r="TJ73" s="39"/>
      <c r="TK73" s="39"/>
      <c r="TL73" s="39"/>
      <c r="TM73" s="39"/>
      <c r="TN73" s="39"/>
      <c r="TO73" s="39"/>
      <c r="TP73" s="39"/>
      <c r="TQ73" s="39"/>
      <c r="TR73" s="39"/>
      <c r="TS73" s="39"/>
      <c r="TT73" s="39"/>
      <c r="TU73" s="39"/>
      <c r="TV73" s="39"/>
      <c r="TW73" s="39"/>
      <c r="TX73" s="39"/>
      <c r="TY73" s="39"/>
      <c r="TZ73" s="39"/>
      <c r="UA73" s="39"/>
      <c r="UB73" s="39"/>
      <c r="UC73" s="39"/>
      <c r="UD73" s="39"/>
      <c r="UE73" s="39"/>
      <c r="UF73" s="39"/>
      <c r="UG73" s="39"/>
      <c r="UH73" s="39"/>
      <c r="UI73" s="39"/>
      <c r="UJ73" s="39"/>
      <c r="UK73" s="39"/>
      <c r="UL73" s="39"/>
      <c r="UM73" s="39"/>
      <c r="UN73" s="39"/>
      <c r="UO73" s="39"/>
      <c r="UP73" s="39"/>
      <c r="UQ73" s="39"/>
      <c r="UR73" s="39"/>
      <c r="US73" s="39"/>
      <c r="UT73" s="39"/>
      <c r="UU73" s="39"/>
      <c r="UV73" s="39"/>
      <c r="UW73" s="39"/>
      <c r="UX73" s="39"/>
      <c r="UY73" s="39"/>
      <c r="UZ73" s="39"/>
      <c r="VA73" s="39"/>
      <c r="VB73" s="39"/>
      <c r="VC73" s="39"/>
      <c r="VD73" s="39"/>
      <c r="VE73" s="39"/>
      <c r="VF73" s="39"/>
      <c r="VG73" s="39"/>
      <c r="VH73" s="39"/>
      <c r="VI73" s="39"/>
      <c r="VJ73" s="39"/>
      <c r="VK73" s="39"/>
      <c r="VL73" s="39"/>
      <c r="VM73" s="39"/>
      <c r="VN73" s="39"/>
      <c r="VO73" s="39"/>
      <c r="VP73" s="39"/>
      <c r="VQ73" s="39"/>
      <c r="VR73" s="39"/>
      <c r="VS73" s="39"/>
      <c r="VT73" s="39"/>
      <c r="VU73" s="39"/>
      <c r="VV73" s="39"/>
      <c r="VW73" s="39"/>
      <c r="VX73" s="39"/>
      <c r="VY73" s="39"/>
      <c r="VZ73" s="39"/>
      <c r="WA73" s="39"/>
      <c r="WB73" s="39"/>
      <c r="WC73" s="39"/>
      <c r="WD73" s="39"/>
      <c r="WE73" s="39"/>
      <c r="WF73" s="39"/>
      <c r="WG73" s="39"/>
      <c r="WH73" s="39"/>
      <c r="WI73" s="39"/>
      <c r="WJ73" s="39"/>
      <c r="WK73" s="39"/>
      <c r="WL73" s="39"/>
      <c r="WM73" s="39"/>
      <c r="WN73" s="39"/>
      <c r="WO73" s="39"/>
      <c r="WP73" s="39"/>
      <c r="WQ73" s="39"/>
      <c r="WR73" s="39"/>
      <c r="WS73" s="39"/>
      <c r="WT73" s="39"/>
      <c r="WU73" s="39"/>
      <c r="WV73" s="39"/>
      <c r="WW73" s="39"/>
      <c r="WX73" s="39"/>
      <c r="WY73" s="39"/>
      <c r="WZ73" s="39"/>
      <c r="XA73" s="39"/>
      <c r="XB73" s="39"/>
      <c r="XC73" s="39"/>
      <c r="XD73" s="39"/>
      <c r="XE73" s="39"/>
      <c r="XF73" s="39"/>
      <c r="XG73" s="39"/>
      <c r="XH73" s="39"/>
      <c r="XI73" s="39"/>
      <c r="XJ73" s="39"/>
      <c r="XK73" s="39"/>
      <c r="XL73" s="39"/>
      <c r="XM73" s="39"/>
      <c r="XN73" s="39"/>
      <c r="XO73" s="39"/>
      <c r="XP73" s="39"/>
      <c r="XQ73" s="39"/>
      <c r="XR73" s="39"/>
      <c r="XS73" s="39"/>
      <c r="XT73" s="39"/>
      <c r="XU73" s="39"/>
      <c r="XV73" s="39"/>
      <c r="XW73" s="39"/>
      <c r="XX73" s="39"/>
      <c r="XY73" s="39"/>
      <c r="XZ73" s="39"/>
      <c r="YA73" s="39"/>
      <c r="YB73" s="39"/>
      <c r="YC73" s="39"/>
      <c r="YD73" s="39"/>
      <c r="YE73" s="39"/>
      <c r="YF73" s="39"/>
      <c r="YG73" s="39"/>
      <c r="YH73" s="39"/>
      <c r="YI73" s="39"/>
      <c r="YJ73" s="39"/>
      <c r="YK73" s="39"/>
      <c r="YL73" s="39"/>
      <c r="YM73" s="39"/>
      <c r="YN73" s="39"/>
      <c r="YO73" s="39"/>
      <c r="YP73" s="39"/>
      <c r="YQ73" s="39"/>
      <c r="YR73" s="39"/>
      <c r="YS73" s="39"/>
      <c r="YT73" s="39"/>
      <c r="YU73" s="39"/>
      <c r="YV73" s="39"/>
      <c r="YW73" s="39"/>
      <c r="YX73" s="39"/>
      <c r="YY73" s="39"/>
      <c r="YZ73" s="39"/>
      <c r="ZA73" s="39"/>
      <c r="ZB73" s="39"/>
      <c r="ZC73" s="39"/>
      <c r="ZD73" s="39"/>
      <c r="ZE73" s="39"/>
      <c r="ZF73" s="39"/>
      <c r="ZG73" s="39"/>
      <c r="ZH73" s="39"/>
      <c r="ZI73" s="39"/>
      <c r="ZJ73" s="39"/>
      <c r="ZK73" s="39"/>
      <c r="ZL73" s="39"/>
      <c r="ZM73" s="39"/>
      <c r="ZN73" s="39"/>
      <c r="ZO73" s="39"/>
      <c r="ZP73" s="39"/>
      <c r="ZQ73" s="39"/>
      <c r="ZR73" s="39"/>
      <c r="ZS73" s="39"/>
      <c r="ZT73" s="39"/>
      <c r="ZU73" s="39"/>
      <c r="ZV73" s="39"/>
      <c r="ZW73" s="39"/>
      <c r="ZX73" s="39"/>
      <c r="ZY73" s="39"/>
      <c r="ZZ73" s="39"/>
      <c r="AAA73" s="39"/>
      <c r="AAB73" s="39"/>
      <c r="AAC73" s="39"/>
      <c r="AAD73" s="39"/>
      <c r="AAE73" s="39"/>
      <c r="AAF73" s="39"/>
      <c r="AAG73" s="39"/>
      <c r="AAH73" s="39"/>
      <c r="AAI73" s="39"/>
      <c r="AAJ73" s="39"/>
      <c r="AAK73" s="39"/>
      <c r="AAL73" s="39"/>
      <c r="AAM73" s="39"/>
      <c r="AAN73" s="39"/>
      <c r="AAO73" s="39"/>
      <c r="AAP73" s="39"/>
      <c r="AAQ73" s="39"/>
      <c r="AAR73" s="39"/>
      <c r="AAS73" s="39"/>
      <c r="AAT73" s="39"/>
      <c r="AAU73" s="39"/>
      <c r="AAV73" s="39"/>
      <c r="AAW73" s="39"/>
      <c r="AAX73" s="39"/>
      <c r="AAY73" s="39"/>
      <c r="AAZ73" s="39"/>
      <c r="ABA73" s="39"/>
      <c r="ABB73" s="39"/>
      <c r="ABC73" s="39"/>
      <c r="ABD73" s="39"/>
      <c r="ABE73" s="39"/>
      <c r="ABF73" s="39"/>
      <c r="ABG73" s="39"/>
      <c r="ABH73" s="39"/>
      <c r="ABI73" s="39"/>
      <c r="ABJ73" s="39"/>
      <c r="ABK73" s="39"/>
      <c r="ABL73" s="39"/>
      <c r="ABM73" s="39"/>
      <c r="ABN73" s="39"/>
      <c r="ABO73" s="39"/>
      <c r="ABP73" s="39"/>
      <c r="ABQ73" s="39"/>
      <c r="ABR73" s="39"/>
      <c r="ABS73" s="39"/>
      <c r="ABT73" s="39"/>
      <c r="ABU73" s="39"/>
      <c r="ABV73" s="39"/>
      <c r="ABW73" s="39"/>
      <c r="ABX73" s="39"/>
      <c r="ABY73" s="39"/>
      <c r="ABZ73" s="39"/>
      <c r="ACA73" s="39"/>
      <c r="ACB73" s="39"/>
      <c r="ACC73" s="39"/>
      <c r="ACD73" s="39"/>
      <c r="ACE73" s="39"/>
      <c r="ACF73" s="39"/>
      <c r="ACG73" s="39"/>
      <c r="ACH73" s="39"/>
      <c r="ACI73" s="39"/>
      <c r="ACJ73" s="39"/>
      <c r="ACK73" s="39"/>
      <c r="ACL73" s="39"/>
      <c r="ACM73" s="39"/>
      <c r="ACN73" s="39"/>
      <c r="ACO73" s="39"/>
      <c r="ACP73" s="39"/>
      <c r="ACQ73" s="39"/>
      <c r="ACR73" s="39"/>
      <c r="ACS73" s="39"/>
      <c r="ACT73" s="39"/>
      <c r="ACU73" s="39"/>
      <c r="ACV73" s="39"/>
      <c r="ACW73" s="39"/>
      <c r="ACX73" s="39"/>
      <c r="ACY73" s="39"/>
      <c r="ACZ73" s="39"/>
      <c r="ADA73" s="39"/>
      <c r="ADB73" s="39"/>
      <c r="ADC73" s="39"/>
      <c r="ADD73" s="39"/>
      <c r="ADE73" s="39"/>
      <c r="ADF73" s="39"/>
      <c r="ADG73" s="39"/>
      <c r="ADH73" s="39"/>
      <c r="ADI73" s="39"/>
      <c r="ADJ73" s="39"/>
      <c r="ADK73" s="39"/>
      <c r="ADL73" s="39"/>
      <c r="ADM73" s="39"/>
      <c r="ADN73" s="39"/>
      <c r="ADO73" s="39"/>
      <c r="ADP73" s="39"/>
      <c r="ADQ73" s="39"/>
      <c r="ADR73" s="39"/>
      <c r="ADS73" s="39"/>
      <c r="ADT73" s="39"/>
      <c r="ADU73" s="39"/>
      <c r="ADV73" s="39"/>
      <c r="ADW73" s="39"/>
      <c r="ADX73" s="39"/>
      <c r="ADY73" s="39"/>
      <c r="ADZ73" s="39"/>
      <c r="AEA73" s="39"/>
      <c r="AEB73" s="39"/>
      <c r="AEC73" s="39"/>
      <c r="AED73" s="39"/>
      <c r="AEE73" s="39"/>
      <c r="AEF73" s="39"/>
      <c r="AEG73" s="39"/>
      <c r="AEH73" s="39"/>
      <c r="AEI73" s="39"/>
      <c r="AEJ73" s="39"/>
      <c r="AEK73" s="39"/>
      <c r="AEL73" s="39"/>
      <c r="AEM73" s="39"/>
      <c r="AEN73" s="39"/>
      <c r="AEO73" s="39"/>
      <c r="AEP73" s="39"/>
      <c r="AEQ73" s="39"/>
      <c r="AER73" s="39"/>
      <c r="AES73" s="39"/>
      <c r="AET73" s="39"/>
      <c r="AEU73" s="39"/>
      <c r="AEV73" s="39"/>
      <c r="AEW73" s="39"/>
      <c r="AEX73" s="39"/>
      <c r="AEY73" s="39"/>
      <c r="AEZ73" s="39"/>
      <c r="AFA73" s="39"/>
      <c r="AFB73" s="39"/>
      <c r="AFC73" s="39"/>
      <c r="AFD73" s="39"/>
      <c r="AFE73" s="39"/>
      <c r="AFF73" s="39"/>
      <c r="AFG73" s="39"/>
      <c r="AFH73" s="39"/>
      <c r="AFI73" s="39"/>
      <c r="AFJ73" s="39"/>
      <c r="AFK73" s="39"/>
      <c r="AFL73" s="39"/>
      <c r="AFM73" s="39"/>
      <c r="AFN73" s="39"/>
      <c r="AFO73" s="39"/>
      <c r="AFP73" s="39"/>
      <c r="AFQ73" s="39"/>
      <c r="AFR73" s="39"/>
      <c r="AFS73" s="39"/>
      <c r="AFT73" s="39"/>
      <c r="AFU73" s="39"/>
      <c r="AFV73" s="39"/>
      <c r="AFW73" s="39"/>
      <c r="AFX73" s="39"/>
      <c r="AFY73" s="39"/>
      <c r="AFZ73" s="39"/>
      <c r="AGA73" s="39"/>
      <c r="AGB73" s="39"/>
      <c r="AGC73" s="39"/>
      <c r="AGD73" s="39"/>
      <c r="AGE73" s="39"/>
      <c r="AGF73" s="39"/>
      <c r="AGG73" s="39"/>
      <c r="AGH73" s="39"/>
      <c r="AGI73" s="39"/>
      <c r="AGJ73" s="39"/>
      <c r="AGK73" s="39"/>
      <c r="AGL73" s="39"/>
      <c r="AGM73" s="39"/>
      <c r="AGN73" s="39"/>
      <c r="AGO73" s="39"/>
      <c r="AGP73" s="39"/>
      <c r="AGQ73" s="39"/>
      <c r="AGR73" s="39"/>
      <c r="AGS73" s="39"/>
      <c r="AGT73" s="39"/>
      <c r="AGU73" s="39"/>
      <c r="AGV73" s="39"/>
      <c r="AGW73" s="39"/>
      <c r="AGX73" s="39"/>
      <c r="AGY73" s="39"/>
      <c r="AGZ73" s="39"/>
      <c r="AHA73" s="39"/>
      <c r="AHB73" s="39"/>
      <c r="AHC73" s="39"/>
      <c r="AHD73" s="39"/>
      <c r="AHE73" s="39"/>
      <c r="AHF73" s="39"/>
      <c r="AHG73" s="39"/>
      <c r="AHH73" s="39"/>
      <c r="AHI73" s="39"/>
      <c r="AHJ73" s="39"/>
      <c r="AHK73" s="39"/>
      <c r="AHL73" s="39"/>
      <c r="AHM73" s="39"/>
      <c r="AHN73" s="39"/>
      <c r="AHO73" s="39"/>
      <c r="AHP73" s="39"/>
      <c r="AHQ73" s="39"/>
      <c r="AHR73" s="39"/>
      <c r="AHS73" s="39"/>
      <c r="AHT73" s="39"/>
      <c r="AHU73" s="39"/>
      <c r="AHV73" s="39"/>
      <c r="AHW73" s="39"/>
      <c r="AHX73" s="39"/>
      <c r="AHY73" s="39"/>
      <c r="AHZ73" s="39"/>
      <c r="AIA73" s="39"/>
      <c r="AIB73" s="39"/>
      <c r="AIC73" s="39"/>
      <c r="AID73" s="39"/>
      <c r="AIE73" s="39"/>
      <c r="AIF73" s="39"/>
      <c r="AIG73" s="39"/>
      <c r="AIH73" s="39"/>
      <c r="AII73" s="39"/>
      <c r="AIJ73" s="39"/>
      <c r="AIK73" s="39"/>
      <c r="AIL73" s="39"/>
      <c r="AIM73" s="39"/>
      <c r="AIN73" s="39"/>
      <c r="AIO73" s="39"/>
      <c r="AIP73" s="39"/>
      <c r="AIQ73" s="39"/>
      <c r="AIR73" s="39"/>
      <c r="AIS73" s="39"/>
      <c r="AIT73" s="39"/>
      <c r="AIU73" s="39"/>
      <c r="AIV73" s="39"/>
      <c r="AIW73" s="39"/>
      <c r="AIX73" s="39"/>
      <c r="AIY73" s="39"/>
      <c r="AIZ73" s="39"/>
      <c r="AJA73" s="39"/>
      <c r="AJB73" s="39"/>
      <c r="AJC73" s="39"/>
      <c r="AJD73" s="39"/>
      <c r="AJE73" s="39"/>
      <c r="AJF73" s="39"/>
      <c r="AJG73" s="39"/>
      <c r="AJH73" s="39"/>
      <c r="AJI73" s="39"/>
      <c r="AJJ73" s="39"/>
      <c r="AJK73" s="39"/>
      <c r="AJL73" s="39"/>
      <c r="AJM73" s="39"/>
      <c r="AJN73" s="39"/>
      <c r="AJO73" s="39"/>
      <c r="AJP73" s="39"/>
      <c r="AJQ73" s="39"/>
      <c r="AJR73" s="39"/>
      <c r="AJS73" s="39"/>
      <c r="AJT73" s="39"/>
      <c r="AJU73" s="39"/>
      <c r="AJV73" s="39"/>
      <c r="AJW73" s="39"/>
      <c r="AJX73" s="39"/>
      <c r="AJY73" s="39"/>
      <c r="AJZ73" s="39"/>
      <c r="AKA73" s="39"/>
      <c r="AKB73" s="39"/>
      <c r="AKC73" s="39"/>
      <c r="AKD73" s="39"/>
      <c r="AKE73" s="39"/>
      <c r="AKF73" s="39"/>
      <c r="AKG73" s="39"/>
      <c r="AKH73" s="39"/>
      <c r="AKI73" s="39"/>
      <c r="AKJ73" s="39"/>
      <c r="AKK73" s="39"/>
      <c r="AKL73" s="39"/>
      <c r="AKM73" s="39"/>
      <c r="AKN73" s="39"/>
      <c r="AKO73" s="39"/>
      <c r="AKP73" s="39"/>
      <c r="AKQ73" s="39"/>
      <c r="AKR73" s="39"/>
      <c r="AKS73" s="39"/>
      <c r="AKT73" s="39"/>
      <c r="AKU73" s="39"/>
      <c r="AKV73" s="39"/>
      <c r="AKW73" s="39"/>
      <c r="AKX73" s="39"/>
      <c r="AKY73" s="39"/>
      <c r="AKZ73" s="39"/>
      <c r="ALA73" s="39"/>
      <c r="ALB73" s="39"/>
      <c r="ALC73" s="39"/>
      <c r="ALD73" s="39"/>
      <c r="ALE73" s="39"/>
      <c r="ALF73" s="39"/>
      <c r="ALG73" s="39"/>
      <c r="ALH73" s="39"/>
      <c r="ALI73" s="39"/>
      <c r="ALJ73" s="39"/>
      <c r="ALK73" s="39"/>
      <c r="ALL73" s="39"/>
      <c r="ALM73" s="39"/>
      <c r="ALN73" s="39"/>
      <c r="ALO73" s="39"/>
      <c r="ALP73" s="39"/>
      <c r="ALQ73" s="39"/>
      <c r="ALR73" s="39"/>
      <c r="ALS73" s="39"/>
      <c r="ALT73" s="39"/>
      <c r="ALU73" s="39"/>
      <c r="ALV73" s="39"/>
      <c r="ALW73" s="39"/>
    </row>
    <row r="74" spans="2:1011" x14ac:dyDescent="0.25">
      <c r="B74" s="10" t="s">
        <v>59</v>
      </c>
      <c r="C74" s="5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1"/>
      <c r="ET74" s="41"/>
      <c r="EU74" s="41"/>
      <c r="EV74" s="41"/>
      <c r="EW74" s="41"/>
      <c r="EX74" s="41"/>
      <c r="EY74" s="41"/>
      <c r="EZ74" s="41"/>
      <c r="FA74" s="41"/>
      <c r="FB74" s="41"/>
      <c r="FC74" s="41"/>
      <c r="FD74" s="41"/>
      <c r="FE74" s="41"/>
      <c r="FF74" s="41"/>
      <c r="FG74" s="41"/>
      <c r="FH74" s="41"/>
      <c r="FI74" s="41"/>
      <c r="FJ74" s="41"/>
      <c r="FK74" s="41"/>
      <c r="FL74" s="41"/>
      <c r="FM74" s="41"/>
      <c r="FN74" s="41"/>
      <c r="FO74" s="41"/>
      <c r="FP74" s="41"/>
      <c r="FQ74" s="41"/>
      <c r="FR74" s="41"/>
      <c r="FS74" s="41"/>
      <c r="FT74" s="41"/>
      <c r="FU74" s="41"/>
      <c r="FV74" s="41"/>
      <c r="FW74" s="41"/>
      <c r="FX74" s="41"/>
      <c r="FY74" s="41"/>
      <c r="FZ74" s="41"/>
      <c r="GA74" s="41"/>
      <c r="GB74" s="41"/>
      <c r="GC74" s="41"/>
      <c r="GD74" s="41"/>
      <c r="GE74" s="41"/>
      <c r="GF74" s="41"/>
      <c r="GG74" s="41"/>
      <c r="GH74" s="41"/>
      <c r="GI74" s="41"/>
      <c r="GJ74" s="41"/>
      <c r="GK74" s="41"/>
      <c r="GL74" s="41"/>
      <c r="GM74" s="41"/>
      <c r="GN74" s="41"/>
      <c r="GO74" s="41"/>
      <c r="GP74" s="41"/>
      <c r="GQ74" s="41"/>
      <c r="GR74" s="41"/>
      <c r="GS74" s="41"/>
      <c r="GT74" s="41"/>
      <c r="GU74" s="41"/>
      <c r="GV74" s="41"/>
      <c r="GW74" s="41"/>
      <c r="GX74" s="41"/>
      <c r="GY74" s="41"/>
      <c r="GZ74" s="41"/>
      <c r="HA74" s="41"/>
      <c r="HB74" s="41"/>
      <c r="HC74" s="41"/>
      <c r="HD74" s="41"/>
      <c r="HE74" s="41"/>
      <c r="HF74" s="41"/>
      <c r="HG74" s="41"/>
      <c r="HH74" s="41"/>
      <c r="HI74" s="41"/>
      <c r="HJ74" s="41"/>
      <c r="HK74" s="41"/>
      <c r="HL74" s="41"/>
      <c r="HM74" s="41"/>
      <c r="HN74" s="41"/>
      <c r="HO74" s="41"/>
      <c r="HP74" s="41"/>
      <c r="HQ74" s="41"/>
      <c r="HR74" s="41"/>
      <c r="HS74" s="41"/>
      <c r="HT74" s="41"/>
      <c r="HU74" s="41"/>
      <c r="HV74" s="41"/>
      <c r="HW74" s="41"/>
      <c r="HX74" s="41"/>
      <c r="HY74" s="41"/>
      <c r="HZ74" s="41"/>
      <c r="IA74" s="41"/>
      <c r="IB74" s="41"/>
      <c r="IC74" s="41"/>
      <c r="ID74" s="41"/>
      <c r="IE74" s="41"/>
      <c r="IF74" s="41"/>
      <c r="IG74" s="41"/>
      <c r="IH74" s="41"/>
      <c r="II74" s="41"/>
      <c r="IJ74" s="41"/>
      <c r="IK74" s="41"/>
      <c r="IL74" s="41"/>
      <c r="IM74" s="41"/>
      <c r="IN74" s="41"/>
      <c r="IO74" s="41"/>
      <c r="IP74" s="41"/>
      <c r="IQ74" s="41"/>
      <c r="IR74" s="41"/>
      <c r="IS74" s="41"/>
      <c r="IT74" s="41"/>
      <c r="IU74" s="41"/>
      <c r="IV74" s="41"/>
      <c r="IW74" s="41"/>
      <c r="IX74" s="41"/>
      <c r="IY74" s="41"/>
      <c r="IZ74" s="41"/>
      <c r="JA74" s="41"/>
      <c r="JB74" s="41"/>
      <c r="JC74" s="41"/>
      <c r="JD74" s="41"/>
      <c r="JE74" s="41"/>
      <c r="JF74" s="41"/>
      <c r="JG74" s="41"/>
      <c r="JH74" s="41"/>
      <c r="JI74" s="41"/>
      <c r="JJ74" s="41"/>
      <c r="JK74" s="41"/>
      <c r="JL74" s="41"/>
      <c r="JM74" s="41"/>
      <c r="JN74" s="41"/>
      <c r="JO74" s="41"/>
      <c r="JP74" s="41"/>
      <c r="JQ74" s="41"/>
      <c r="JR74" s="41"/>
      <c r="JS74" s="41"/>
      <c r="JT74" s="41"/>
      <c r="JU74" s="41"/>
      <c r="JV74" s="41"/>
      <c r="JW74" s="41"/>
      <c r="JX74" s="41"/>
      <c r="JY74" s="41"/>
      <c r="JZ74" s="41"/>
      <c r="KA74" s="41"/>
      <c r="KB74" s="41"/>
      <c r="KC74" s="41"/>
      <c r="KD74" s="41"/>
      <c r="KE74" s="41"/>
      <c r="KF74" s="41"/>
      <c r="KG74" s="41"/>
      <c r="KH74" s="41"/>
      <c r="KI74" s="41"/>
      <c r="KJ74" s="41"/>
      <c r="KK74" s="41"/>
      <c r="KL74" s="41"/>
      <c r="KM74" s="41"/>
      <c r="KN74" s="41"/>
      <c r="KO74" s="41"/>
      <c r="KP74" s="41"/>
      <c r="KQ74" s="41"/>
      <c r="KR74" s="41"/>
      <c r="KS74" s="41"/>
      <c r="KT74" s="41"/>
      <c r="KU74" s="41"/>
      <c r="KV74" s="41"/>
      <c r="KW74" s="41"/>
      <c r="KX74" s="41"/>
      <c r="KY74" s="41"/>
      <c r="KZ74" s="41"/>
      <c r="LA74" s="41"/>
      <c r="LB74" s="41"/>
      <c r="LC74" s="41"/>
      <c r="LD74" s="41"/>
      <c r="LE74" s="41"/>
      <c r="LF74" s="41"/>
      <c r="LG74" s="41"/>
      <c r="LH74" s="41"/>
      <c r="LI74" s="41"/>
      <c r="LJ74" s="41"/>
      <c r="LK74" s="41"/>
      <c r="LL74" s="41"/>
      <c r="LM74" s="41"/>
      <c r="LN74" s="41"/>
      <c r="LO74" s="41"/>
      <c r="LP74" s="41"/>
      <c r="LQ74" s="41"/>
      <c r="LR74" s="41"/>
      <c r="LS74" s="41"/>
      <c r="LT74" s="41"/>
      <c r="LU74" s="41"/>
      <c r="LV74" s="41"/>
      <c r="LW74" s="41"/>
      <c r="LX74" s="41"/>
      <c r="LY74" s="41"/>
      <c r="LZ74" s="41"/>
      <c r="MA74" s="41"/>
      <c r="MB74" s="41"/>
      <c r="MC74" s="41"/>
      <c r="MD74" s="41"/>
      <c r="ME74" s="41"/>
      <c r="MF74" s="41"/>
      <c r="MG74" s="41"/>
      <c r="MH74" s="41"/>
      <c r="MI74" s="41"/>
      <c r="MJ74" s="41"/>
      <c r="MK74" s="41"/>
      <c r="ML74" s="41"/>
      <c r="MM74" s="41"/>
      <c r="MN74" s="41"/>
      <c r="MO74" s="41"/>
      <c r="MP74" s="41"/>
      <c r="MQ74" s="41"/>
      <c r="MR74" s="41"/>
      <c r="MS74" s="41"/>
      <c r="MT74" s="41"/>
      <c r="MU74" s="41"/>
      <c r="MV74" s="41"/>
      <c r="MW74" s="41"/>
      <c r="MX74" s="41"/>
      <c r="MY74" s="41"/>
      <c r="MZ74" s="41"/>
      <c r="NA74" s="41"/>
      <c r="NB74" s="41"/>
      <c r="NC74" s="41"/>
      <c r="ND74" s="41"/>
      <c r="NE74" s="41"/>
      <c r="NF74" s="41"/>
      <c r="NG74" s="41"/>
      <c r="NH74" s="41"/>
      <c r="NI74" s="41"/>
      <c r="NJ74" s="41"/>
      <c r="NK74" s="41"/>
      <c r="NL74" s="41"/>
      <c r="NM74" s="41"/>
      <c r="NN74" s="41"/>
      <c r="NO74" s="41"/>
      <c r="NP74" s="41"/>
      <c r="NQ74" s="41"/>
      <c r="NR74" s="41"/>
      <c r="NS74" s="41"/>
      <c r="NT74" s="41"/>
      <c r="NU74" s="41"/>
      <c r="NV74" s="41"/>
      <c r="NW74" s="41"/>
      <c r="NX74" s="41"/>
      <c r="NY74" s="41"/>
      <c r="NZ74" s="41"/>
      <c r="OA74" s="41"/>
      <c r="OB74" s="41"/>
      <c r="OC74" s="41"/>
      <c r="OD74" s="41"/>
      <c r="OE74" s="41"/>
      <c r="OF74" s="41"/>
      <c r="OG74" s="41"/>
      <c r="OH74" s="41"/>
      <c r="OI74" s="41"/>
      <c r="OJ74" s="41"/>
      <c r="OK74" s="41"/>
      <c r="OL74" s="41"/>
      <c r="OM74" s="41"/>
      <c r="ON74" s="41"/>
      <c r="OO74" s="41"/>
      <c r="OP74" s="41"/>
      <c r="OQ74" s="41"/>
      <c r="OR74" s="41"/>
      <c r="OS74" s="41"/>
      <c r="OT74" s="41"/>
      <c r="OU74" s="41"/>
      <c r="OV74" s="41"/>
      <c r="OW74" s="41"/>
      <c r="OX74" s="41"/>
      <c r="OY74" s="41"/>
      <c r="OZ74" s="41"/>
      <c r="PA74" s="41"/>
      <c r="PB74" s="41"/>
      <c r="PC74" s="41"/>
      <c r="PD74" s="41"/>
      <c r="PE74" s="41"/>
      <c r="PF74" s="41"/>
      <c r="PG74" s="41"/>
      <c r="PH74" s="41"/>
      <c r="PI74" s="41"/>
      <c r="PJ74" s="41"/>
      <c r="PK74" s="41"/>
      <c r="PL74" s="41"/>
      <c r="PM74" s="41"/>
      <c r="PN74" s="41"/>
      <c r="PO74" s="41"/>
      <c r="PP74" s="41"/>
      <c r="PQ74" s="41"/>
      <c r="PR74" s="41"/>
      <c r="PS74" s="41"/>
      <c r="PT74" s="41"/>
      <c r="PU74" s="41"/>
      <c r="PV74" s="41"/>
      <c r="PW74" s="41"/>
      <c r="PX74" s="41"/>
      <c r="PY74" s="41"/>
      <c r="PZ74" s="41"/>
      <c r="QA74" s="41"/>
      <c r="QB74" s="41"/>
      <c r="QC74" s="41"/>
      <c r="QD74" s="41"/>
      <c r="QE74" s="41"/>
      <c r="QF74" s="41"/>
      <c r="QG74" s="41"/>
      <c r="QH74" s="41"/>
      <c r="QI74" s="41"/>
      <c r="QJ74" s="41"/>
      <c r="QK74" s="41"/>
      <c r="QL74" s="41"/>
      <c r="QM74" s="41"/>
      <c r="QN74" s="41"/>
      <c r="QO74" s="41"/>
      <c r="QP74" s="41"/>
      <c r="QQ74" s="41"/>
      <c r="QR74" s="41"/>
      <c r="QS74" s="41"/>
      <c r="QT74" s="41"/>
      <c r="QU74" s="41"/>
      <c r="QV74" s="41"/>
      <c r="QW74" s="41"/>
      <c r="QX74" s="41"/>
      <c r="QY74" s="41"/>
      <c r="QZ74" s="41"/>
      <c r="RA74" s="41"/>
      <c r="RB74" s="41"/>
      <c r="RC74" s="41"/>
      <c r="RD74" s="41"/>
      <c r="RE74" s="41"/>
      <c r="RF74" s="41"/>
      <c r="RG74" s="41"/>
      <c r="RH74" s="41"/>
      <c r="RI74" s="41"/>
      <c r="RJ74" s="41"/>
      <c r="RK74" s="41"/>
      <c r="RL74" s="41"/>
      <c r="RM74" s="41"/>
      <c r="RN74" s="41"/>
      <c r="RO74" s="41"/>
      <c r="RP74" s="41"/>
      <c r="RQ74" s="41"/>
      <c r="RR74" s="41"/>
      <c r="RS74" s="41"/>
      <c r="RT74" s="41"/>
      <c r="RU74" s="41"/>
      <c r="RV74" s="41"/>
      <c r="RW74" s="41"/>
      <c r="RX74" s="41"/>
      <c r="RY74" s="41"/>
      <c r="RZ74" s="41"/>
      <c r="SA74" s="41"/>
      <c r="SB74" s="41"/>
      <c r="SC74" s="41"/>
      <c r="SD74" s="41"/>
      <c r="SE74" s="41"/>
      <c r="SF74" s="41"/>
      <c r="SG74" s="41"/>
      <c r="SH74" s="41"/>
      <c r="SI74" s="41"/>
      <c r="SJ74" s="41"/>
      <c r="SK74" s="41"/>
      <c r="SL74" s="41"/>
      <c r="SM74" s="41"/>
      <c r="SN74" s="41"/>
      <c r="SO74" s="41"/>
      <c r="SP74" s="41"/>
      <c r="SQ74" s="41"/>
      <c r="SR74" s="41"/>
      <c r="SS74" s="41"/>
      <c r="ST74" s="41"/>
      <c r="SU74" s="41"/>
      <c r="SV74" s="41"/>
      <c r="SW74" s="41"/>
      <c r="SX74" s="41"/>
      <c r="SY74" s="41"/>
      <c r="SZ74" s="41"/>
      <c r="TA74" s="41"/>
      <c r="TB74" s="41"/>
      <c r="TC74" s="41"/>
      <c r="TD74" s="41"/>
      <c r="TE74" s="41"/>
      <c r="TF74" s="41"/>
      <c r="TG74" s="41"/>
      <c r="TH74" s="41"/>
      <c r="TI74" s="41"/>
      <c r="TJ74" s="41"/>
      <c r="TK74" s="41"/>
      <c r="TL74" s="41"/>
      <c r="TM74" s="41"/>
      <c r="TN74" s="41"/>
      <c r="TO74" s="41"/>
      <c r="TP74" s="41"/>
      <c r="TQ74" s="41"/>
      <c r="TR74" s="41"/>
      <c r="TS74" s="41"/>
      <c r="TT74" s="41"/>
      <c r="TU74" s="41"/>
      <c r="TV74" s="41"/>
      <c r="TW74" s="41"/>
      <c r="TX74" s="41"/>
      <c r="TY74" s="41"/>
      <c r="TZ74" s="41"/>
      <c r="UA74" s="41"/>
      <c r="UB74" s="41"/>
      <c r="UC74" s="41"/>
      <c r="UD74" s="41"/>
      <c r="UE74" s="41"/>
      <c r="UF74" s="41"/>
      <c r="UG74" s="41"/>
      <c r="UH74" s="41"/>
      <c r="UI74" s="41"/>
      <c r="UJ74" s="41"/>
      <c r="UK74" s="41"/>
      <c r="UL74" s="41"/>
      <c r="UM74" s="41"/>
      <c r="UN74" s="41"/>
      <c r="UO74" s="41"/>
      <c r="UP74" s="41"/>
      <c r="UQ74" s="41"/>
      <c r="UR74" s="41"/>
      <c r="US74" s="41"/>
      <c r="UT74" s="41"/>
      <c r="UU74" s="41"/>
      <c r="UV74" s="41"/>
      <c r="UW74" s="41"/>
      <c r="UX74" s="41"/>
      <c r="UY74" s="41"/>
      <c r="UZ74" s="41"/>
      <c r="VA74" s="41"/>
      <c r="VB74" s="41"/>
      <c r="VC74" s="41"/>
      <c r="VD74" s="41"/>
      <c r="VE74" s="41"/>
      <c r="VF74" s="41"/>
      <c r="VG74" s="41"/>
      <c r="VH74" s="41"/>
      <c r="VI74" s="41"/>
      <c r="VJ74" s="41"/>
      <c r="VK74" s="41"/>
      <c r="VL74" s="41"/>
      <c r="VM74" s="41"/>
      <c r="VN74" s="41"/>
      <c r="VO74" s="41"/>
      <c r="VP74" s="41"/>
      <c r="VQ74" s="41"/>
      <c r="VR74" s="41"/>
      <c r="VS74" s="41"/>
      <c r="VT74" s="41"/>
      <c r="VU74" s="41"/>
      <c r="VV74" s="41"/>
      <c r="VW74" s="41"/>
      <c r="VX74" s="41"/>
      <c r="VY74" s="41"/>
      <c r="VZ74" s="41"/>
      <c r="WA74" s="41"/>
      <c r="WB74" s="41"/>
      <c r="WC74" s="41"/>
      <c r="WD74" s="41"/>
      <c r="WE74" s="41"/>
      <c r="WF74" s="41"/>
      <c r="WG74" s="41"/>
      <c r="WH74" s="41"/>
      <c r="WI74" s="41"/>
      <c r="WJ74" s="41"/>
      <c r="WK74" s="41"/>
      <c r="WL74" s="41"/>
      <c r="WM74" s="41"/>
      <c r="WN74" s="41"/>
      <c r="WO74" s="41"/>
      <c r="WP74" s="41"/>
      <c r="WQ74" s="41"/>
      <c r="WR74" s="41"/>
      <c r="WS74" s="41"/>
      <c r="WT74" s="41"/>
      <c r="WU74" s="41"/>
      <c r="WV74" s="41"/>
      <c r="WW74" s="41"/>
      <c r="WX74" s="41"/>
      <c r="WY74" s="41"/>
      <c r="WZ74" s="41"/>
      <c r="XA74" s="41"/>
      <c r="XB74" s="41"/>
      <c r="XC74" s="41"/>
      <c r="XD74" s="41"/>
      <c r="XE74" s="41"/>
      <c r="XF74" s="41"/>
      <c r="XG74" s="41"/>
      <c r="XH74" s="41"/>
      <c r="XI74" s="41"/>
      <c r="XJ74" s="41"/>
      <c r="XK74" s="41"/>
      <c r="XL74" s="41"/>
      <c r="XM74" s="41"/>
      <c r="XN74" s="41"/>
      <c r="XO74" s="41"/>
      <c r="XP74" s="41"/>
      <c r="XQ74" s="41"/>
      <c r="XR74" s="41"/>
      <c r="XS74" s="41"/>
      <c r="XT74" s="41"/>
      <c r="XU74" s="41"/>
      <c r="XV74" s="41"/>
      <c r="XW74" s="41"/>
      <c r="XX74" s="41"/>
      <c r="XY74" s="41"/>
      <c r="XZ74" s="41"/>
      <c r="YA74" s="41"/>
      <c r="YB74" s="41"/>
      <c r="YC74" s="41"/>
      <c r="YD74" s="41"/>
      <c r="YE74" s="41"/>
      <c r="YF74" s="41"/>
      <c r="YG74" s="41"/>
      <c r="YH74" s="41"/>
      <c r="YI74" s="41"/>
      <c r="YJ74" s="41"/>
      <c r="YK74" s="41"/>
      <c r="YL74" s="41"/>
      <c r="YM74" s="41"/>
      <c r="YN74" s="41"/>
      <c r="YO74" s="41"/>
      <c r="YP74" s="41"/>
      <c r="YQ74" s="41"/>
      <c r="YR74" s="41"/>
      <c r="YS74" s="41"/>
      <c r="YT74" s="41"/>
      <c r="YU74" s="41"/>
      <c r="YV74" s="41"/>
      <c r="YW74" s="41"/>
      <c r="YX74" s="41"/>
      <c r="YY74" s="41"/>
      <c r="YZ74" s="41"/>
      <c r="ZA74" s="41"/>
      <c r="ZB74" s="41"/>
      <c r="ZC74" s="41"/>
      <c r="ZD74" s="41"/>
      <c r="ZE74" s="41"/>
      <c r="ZF74" s="41"/>
      <c r="ZG74" s="41"/>
      <c r="ZH74" s="41"/>
      <c r="ZI74" s="41"/>
      <c r="ZJ74" s="41"/>
      <c r="ZK74" s="41"/>
      <c r="ZL74" s="41"/>
      <c r="ZM74" s="41"/>
      <c r="ZN74" s="41"/>
      <c r="ZO74" s="41"/>
      <c r="ZP74" s="41"/>
      <c r="ZQ74" s="41"/>
      <c r="ZR74" s="41"/>
      <c r="ZS74" s="41"/>
      <c r="ZT74" s="41"/>
      <c r="ZU74" s="41"/>
      <c r="ZV74" s="41"/>
      <c r="ZW74" s="41"/>
      <c r="ZX74" s="41"/>
      <c r="ZY74" s="41"/>
      <c r="ZZ74" s="41"/>
      <c r="AAA74" s="41"/>
      <c r="AAB74" s="41"/>
      <c r="AAC74" s="41"/>
      <c r="AAD74" s="41"/>
      <c r="AAE74" s="41"/>
      <c r="AAF74" s="41"/>
      <c r="AAG74" s="41"/>
      <c r="AAH74" s="41"/>
      <c r="AAI74" s="41"/>
      <c r="AAJ74" s="41"/>
      <c r="AAK74" s="41"/>
      <c r="AAL74" s="41"/>
      <c r="AAM74" s="41"/>
      <c r="AAN74" s="41"/>
      <c r="AAO74" s="41"/>
      <c r="AAP74" s="41"/>
      <c r="AAQ74" s="41"/>
      <c r="AAR74" s="41"/>
      <c r="AAS74" s="41"/>
      <c r="AAT74" s="41"/>
      <c r="AAU74" s="41"/>
      <c r="AAV74" s="41"/>
      <c r="AAW74" s="41"/>
      <c r="AAX74" s="41"/>
      <c r="AAY74" s="41"/>
      <c r="AAZ74" s="41"/>
      <c r="ABA74" s="41"/>
      <c r="ABB74" s="41"/>
      <c r="ABC74" s="41"/>
      <c r="ABD74" s="41"/>
      <c r="ABE74" s="41"/>
      <c r="ABF74" s="41"/>
      <c r="ABG74" s="41"/>
      <c r="ABH74" s="41"/>
      <c r="ABI74" s="41"/>
      <c r="ABJ74" s="41"/>
      <c r="ABK74" s="41"/>
      <c r="ABL74" s="41"/>
      <c r="ABM74" s="41"/>
      <c r="ABN74" s="41"/>
      <c r="ABO74" s="41"/>
      <c r="ABP74" s="41"/>
      <c r="ABQ74" s="41"/>
      <c r="ABR74" s="41"/>
      <c r="ABS74" s="41"/>
      <c r="ABT74" s="41"/>
      <c r="ABU74" s="41"/>
      <c r="ABV74" s="41"/>
      <c r="ABW74" s="41"/>
      <c r="ABX74" s="41"/>
      <c r="ABY74" s="41"/>
      <c r="ABZ74" s="41"/>
      <c r="ACA74" s="41"/>
      <c r="ACB74" s="41"/>
      <c r="ACC74" s="41"/>
      <c r="ACD74" s="41"/>
      <c r="ACE74" s="41"/>
      <c r="ACF74" s="41"/>
      <c r="ACG74" s="41"/>
      <c r="ACH74" s="41"/>
      <c r="ACI74" s="41"/>
      <c r="ACJ74" s="41"/>
      <c r="ACK74" s="41"/>
      <c r="ACL74" s="41"/>
      <c r="ACM74" s="41"/>
      <c r="ACN74" s="41"/>
      <c r="ACO74" s="41"/>
      <c r="ACP74" s="41"/>
      <c r="ACQ74" s="41"/>
      <c r="ACR74" s="41"/>
      <c r="ACS74" s="41"/>
      <c r="ACT74" s="41"/>
      <c r="ACU74" s="41"/>
      <c r="ACV74" s="41"/>
      <c r="ACW74" s="41"/>
      <c r="ACX74" s="41"/>
      <c r="ACY74" s="41"/>
      <c r="ACZ74" s="41"/>
      <c r="ADA74" s="41"/>
      <c r="ADB74" s="41"/>
      <c r="ADC74" s="41"/>
      <c r="ADD74" s="41"/>
      <c r="ADE74" s="41"/>
      <c r="ADF74" s="41"/>
      <c r="ADG74" s="41"/>
      <c r="ADH74" s="41"/>
      <c r="ADI74" s="41"/>
      <c r="ADJ74" s="41"/>
      <c r="ADK74" s="41"/>
      <c r="ADL74" s="41"/>
      <c r="ADM74" s="41"/>
      <c r="ADN74" s="41"/>
      <c r="ADO74" s="41"/>
      <c r="ADP74" s="41"/>
      <c r="ADQ74" s="41"/>
      <c r="ADR74" s="41"/>
      <c r="ADS74" s="41"/>
      <c r="ADT74" s="41"/>
      <c r="ADU74" s="41"/>
      <c r="ADV74" s="41"/>
      <c r="ADW74" s="41"/>
      <c r="ADX74" s="41"/>
      <c r="ADY74" s="41"/>
      <c r="ADZ74" s="41"/>
      <c r="AEA74" s="41"/>
      <c r="AEB74" s="41"/>
      <c r="AEC74" s="41"/>
      <c r="AED74" s="41"/>
      <c r="AEE74" s="41"/>
      <c r="AEF74" s="41"/>
      <c r="AEG74" s="41"/>
      <c r="AEH74" s="41"/>
      <c r="AEI74" s="41"/>
      <c r="AEJ74" s="41"/>
      <c r="AEK74" s="41"/>
      <c r="AEL74" s="41"/>
      <c r="AEM74" s="41"/>
      <c r="AEN74" s="41"/>
      <c r="AEO74" s="41"/>
      <c r="AEP74" s="41"/>
      <c r="AEQ74" s="41"/>
      <c r="AER74" s="41"/>
      <c r="AES74" s="41"/>
      <c r="AET74" s="41"/>
      <c r="AEU74" s="41"/>
      <c r="AEV74" s="41"/>
      <c r="AEW74" s="41"/>
      <c r="AEX74" s="41"/>
      <c r="AEY74" s="41"/>
      <c r="AEZ74" s="41"/>
      <c r="AFA74" s="41"/>
      <c r="AFB74" s="41"/>
      <c r="AFC74" s="41"/>
      <c r="AFD74" s="41"/>
      <c r="AFE74" s="41"/>
      <c r="AFF74" s="41"/>
      <c r="AFG74" s="41"/>
      <c r="AFH74" s="41"/>
      <c r="AFI74" s="41"/>
      <c r="AFJ74" s="41"/>
      <c r="AFK74" s="41"/>
      <c r="AFL74" s="41"/>
      <c r="AFM74" s="41"/>
      <c r="AFN74" s="41"/>
      <c r="AFO74" s="41"/>
      <c r="AFP74" s="41"/>
      <c r="AFQ74" s="41"/>
      <c r="AFR74" s="41"/>
      <c r="AFS74" s="41"/>
      <c r="AFT74" s="41"/>
      <c r="AFU74" s="41"/>
      <c r="AFV74" s="41"/>
      <c r="AFW74" s="41"/>
      <c r="AFX74" s="41"/>
      <c r="AFY74" s="41"/>
      <c r="AFZ74" s="41"/>
      <c r="AGA74" s="41"/>
      <c r="AGB74" s="41"/>
      <c r="AGC74" s="41"/>
      <c r="AGD74" s="41"/>
      <c r="AGE74" s="41"/>
      <c r="AGF74" s="41"/>
      <c r="AGG74" s="41"/>
      <c r="AGH74" s="41"/>
      <c r="AGI74" s="41"/>
      <c r="AGJ74" s="41"/>
      <c r="AGK74" s="41"/>
      <c r="AGL74" s="41"/>
      <c r="AGM74" s="41"/>
      <c r="AGN74" s="41"/>
      <c r="AGO74" s="41"/>
      <c r="AGP74" s="41"/>
      <c r="AGQ74" s="41"/>
      <c r="AGR74" s="41"/>
      <c r="AGS74" s="41"/>
      <c r="AGT74" s="41"/>
      <c r="AGU74" s="41"/>
      <c r="AGV74" s="41"/>
      <c r="AGW74" s="41"/>
      <c r="AGX74" s="41"/>
      <c r="AGY74" s="41"/>
      <c r="AGZ74" s="41"/>
      <c r="AHA74" s="41"/>
      <c r="AHB74" s="41"/>
      <c r="AHC74" s="41"/>
      <c r="AHD74" s="41"/>
      <c r="AHE74" s="41"/>
      <c r="AHF74" s="41"/>
      <c r="AHG74" s="41"/>
      <c r="AHH74" s="41"/>
      <c r="AHI74" s="41"/>
      <c r="AHJ74" s="41"/>
      <c r="AHK74" s="41"/>
      <c r="AHL74" s="41"/>
      <c r="AHM74" s="41"/>
      <c r="AHN74" s="41"/>
      <c r="AHO74" s="41"/>
      <c r="AHP74" s="41"/>
      <c r="AHQ74" s="41"/>
      <c r="AHR74" s="41"/>
      <c r="AHS74" s="41"/>
      <c r="AHT74" s="41"/>
      <c r="AHU74" s="41"/>
      <c r="AHV74" s="41"/>
      <c r="AHW74" s="41"/>
      <c r="AHX74" s="41"/>
      <c r="AHY74" s="41"/>
      <c r="AHZ74" s="41"/>
      <c r="AIA74" s="41"/>
      <c r="AIB74" s="41"/>
      <c r="AIC74" s="41"/>
      <c r="AID74" s="41"/>
      <c r="AIE74" s="41"/>
      <c r="AIF74" s="41"/>
      <c r="AIG74" s="41"/>
      <c r="AIH74" s="41"/>
      <c r="AII74" s="41"/>
      <c r="AIJ74" s="41"/>
      <c r="AIK74" s="41"/>
      <c r="AIL74" s="41"/>
      <c r="AIM74" s="41"/>
      <c r="AIN74" s="41"/>
      <c r="AIO74" s="41"/>
      <c r="AIP74" s="41"/>
      <c r="AIQ74" s="41"/>
      <c r="AIR74" s="41"/>
      <c r="AIS74" s="41"/>
      <c r="AIT74" s="41"/>
      <c r="AIU74" s="41"/>
      <c r="AIV74" s="41"/>
      <c r="AIW74" s="41"/>
      <c r="AIX74" s="41"/>
      <c r="AIY74" s="41"/>
      <c r="AIZ74" s="41"/>
      <c r="AJA74" s="41"/>
      <c r="AJB74" s="41"/>
      <c r="AJC74" s="41"/>
      <c r="AJD74" s="41"/>
      <c r="AJE74" s="41"/>
      <c r="AJF74" s="41"/>
      <c r="AJG74" s="41"/>
      <c r="AJH74" s="41"/>
      <c r="AJI74" s="41"/>
      <c r="AJJ74" s="41"/>
      <c r="AJK74" s="41"/>
      <c r="AJL74" s="41"/>
      <c r="AJM74" s="41"/>
      <c r="AJN74" s="41"/>
      <c r="AJO74" s="41"/>
      <c r="AJP74" s="41"/>
      <c r="AJQ74" s="41"/>
      <c r="AJR74" s="41"/>
      <c r="AJS74" s="41"/>
      <c r="AJT74" s="41"/>
      <c r="AJU74" s="41"/>
      <c r="AJV74" s="41"/>
      <c r="AJW74" s="41"/>
      <c r="AJX74" s="41"/>
      <c r="AJY74" s="41"/>
      <c r="AJZ74" s="41"/>
      <c r="AKA74" s="41"/>
      <c r="AKB74" s="41"/>
      <c r="AKC74" s="41"/>
      <c r="AKD74" s="41"/>
      <c r="AKE74" s="41"/>
      <c r="AKF74" s="41"/>
      <c r="AKG74" s="41"/>
      <c r="AKH74" s="41"/>
      <c r="AKI74" s="41"/>
      <c r="AKJ74" s="41"/>
      <c r="AKK74" s="41"/>
      <c r="AKL74" s="41"/>
      <c r="AKM74" s="41"/>
      <c r="AKN74" s="41"/>
      <c r="AKO74" s="41"/>
      <c r="AKP74" s="41"/>
      <c r="AKQ74" s="41"/>
      <c r="AKR74" s="41"/>
      <c r="AKS74" s="41"/>
      <c r="AKT74" s="41"/>
      <c r="AKU74" s="41"/>
      <c r="AKV74" s="41"/>
      <c r="AKW74" s="41"/>
      <c r="AKX74" s="41"/>
      <c r="AKY74" s="41"/>
      <c r="AKZ74" s="41"/>
      <c r="ALA74" s="41"/>
      <c r="ALB74" s="41"/>
      <c r="ALC74" s="41"/>
      <c r="ALD74" s="41"/>
      <c r="ALE74" s="41"/>
      <c r="ALF74" s="41"/>
      <c r="ALG74" s="41"/>
      <c r="ALH74" s="41"/>
      <c r="ALI74" s="41"/>
      <c r="ALJ74" s="41"/>
      <c r="ALK74" s="41"/>
      <c r="ALL74" s="41"/>
      <c r="ALM74" s="41"/>
      <c r="ALN74" s="41"/>
      <c r="ALO74" s="41"/>
      <c r="ALP74" s="41"/>
      <c r="ALQ74" s="41"/>
      <c r="ALR74" s="41"/>
      <c r="ALS74" s="41"/>
      <c r="ALT74" s="41"/>
      <c r="ALU74" s="41"/>
      <c r="ALV74" s="41"/>
      <c r="ALW74" s="41"/>
    </row>
    <row r="75" spans="2:1011" x14ac:dyDescent="0.25">
      <c r="C75" s="5" t="s">
        <v>66</v>
      </c>
      <c r="D75" s="42">
        <f>MIN($C$80,C80-D55/6)</f>
        <v>50.8</v>
      </c>
      <c r="E75" s="42">
        <f>MIN($C$80,D75-E55/6)</f>
        <v>50.8</v>
      </c>
      <c r="F75" s="42">
        <f t="shared" ref="F75:BQ75" si="1310">MIN($C$80,E75-F55/6)</f>
        <v>50.8</v>
      </c>
      <c r="G75" s="42">
        <f t="shared" si="1310"/>
        <v>50.8</v>
      </c>
      <c r="H75" s="42">
        <f t="shared" si="1310"/>
        <v>50.8</v>
      </c>
      <c r="I75" s="42">
        <f t="shared" si="1310"/>
        <v>50.8</v>
      </c>
      <c r="J75" s="42">
        <f t="shared" si="1310"/>
        <v>50.8</v>
      </c>
      <c r="K75" s="42">
        <f t="shared" si="1310"/>
        <v>50.8</v>
      </c>
      <c r="L75" s="42">
        <f t="shared" si="1310"/>
        <v>50.8</v>
      </c>
      <c r="M75" s="42">
        <f t="shared" si="1310"/>
        <v>50.8</v>
      </c>
      <c r="N75" s="42">
        <f t="shared" si="1310"/>
        <v>50.8</v>
      </c>
      <c r="O75" s="42">
        <f t="shared" si="1310"/>
        <v>50.8</v>
      </c>
      <c r="P75" s="42">
        <f t="shared" si="1310"/>
        <v>50.8</v>
      </c>
      <c r="Q75" s="42">
        <f t="shared" si="1310"/>
        <v>50.8</v>
      </c>
      <c r="R75" s="42">
        <f t="shared" si="1310"/>
        <v>50.8</v>
      </c>
      <c r="S75" s="42">
        <f t="shared" si="1310"/>
        <v>50.8</v>
      </c>
      <c r="T75" s="42">
        <f t="shared" si="1310"/>
        <v>50.8</v>
      </c>
      <c r="U75" s="42">
        <f t="shared" si="1310"/>
        <v>50.8</v>
      </c>
      <c r="V75" s="42">
        <f t="shared" si="1310"/>
        <v>48.910333333333334</v>
      </c>
      <c r="W75" s="42">
        <f t="shared" si="1310"/>
        <v>47.020666666666671</v>
      </c>
      <c r="X75" s="42">
        <f t="shared" si="1310"/>
        <v>45.131000000000007</v>
      </c>
      <c r="Y75" s="42">
        <f t="shared" si="1310"/>
        <v>43.241333333333344</v>
      </c>
      <c r="Z75" s="42">
        <f t="shared" si="1310"/>
        <v>45.231666666666676</v>
      </c>
      <c r="AA75" s="42">
        <f t="shared" si="1310"/>
        <v>47.222000000000008</v>
      </c>
      <c r="AB75" s="42">
        <f t="shared" si="1310"/>
        <v>49.212333333333341</v>
      </c>
      <c r="AC75" s="42">
        <f t="shared" si="1310"/>
        <v>50.8</v>
      </c>
      <c r="AD75" s="42">
        <f t="shared" si="1310"/>
        <v>50.8</v>
      </c>
      <c r="AE75" s="42">
        <f t="shared" si="1310"/>
        <v>50.8</v>
      </c>
      <c r="AF75" s="42">
        <f t="shared" si="1310"/>
        <v>50.8</v>
      </c>
      <c r="AG75" s="42">
        <f t="shared" si="1310"/>
        <v>50.8</v>
      </c>
      <c r="AH75" s="42">
        <f t="shared" si="1310"/>
        <v>50.8</v>
      </c>
      <c r="AI75" s="42">
        <f t="shared" si="1310"/>
        <v>50.8</v>
      </c>
      <c r="AJ75" s="42">
        <f t="shared" si="1310"/>
        <v>50.8</v>
      </c>
      <c r="AK75" s="42">
        <f t="shared" si="1310"/>
        <v>50.8</v>
      </c>
      <c r="AL75" s="42">
        <f t="shared" si="1310"/>
        <v>50.8</v>
      </c>
      <c r="AM75" s="42">
        <f t="shared" si="1310"/>
        <v>50.8</v>
      </c>
      <c r="AN75" s="42">
        <f t="shared" si="1310"/>
        <v>50.8</v>
      </c>
      <c r="AO75" s="42">
        <f t="shared" si="1310"/>
        <v>50.8</v>
      </c>
      <c r="AP75" s="42">
        <f t="shared" si="1310"/>
        <v>50.8</v>
      </c>
      <c r="AQ75" s="42">
        <f t="shared" si="1310"/>
        <v>50.8</v>
      </c>
      <c r="AR75" s="42">
        <f t="shared" si="1310"/>
        <v>50.8</v>
      </c>
      <c r="AS75" s="42">
        <f t="shared" si="1310"/>
        <v>50.8</v>
      </c>
      <c r="AT75" s="42">
        <f t="shared" si="1310"/>
        <v>50.8</v>
      </c>
      <c r="AU75" s="42">
        <f t="shared" si="1310"/>
        <v>50.8</v>
      </c>
      <c r="AV75" s="42">
        <f t="shared" si="1310"/>
        <v>50.8</v>
      </c>
      <c r="AW75" s="42">
        <f t="shared" si="1310"/>
        <v>50.8</v>
      </c>
      <c r="AX75" s="42">
        <f t="shared" si="1310"/>
        <v>50.8</v>
      </c>
      <c r="AY75" s="42">
        <f t="shared" si="1310"/>
        <v>50.8</v>
      </c>
      <c r="AZ75" s="42">
        <f t="shared" si="1310"/>
        <v>50.8</v>
      </c>
      <c r="BA75" s="42">
        <f t="shared" si="1310"/>
        <v>50.8</v>
      </c>
      <c r="BB75" s="42">
        <f t="shared" si="1310"/>
        <v>50.8</v>
      </c>
      <c r="BC75" s="42">
        <f t="shared" si="1310"/>
        <v>50.8</v>
      </c>
      <c r="BD75" s="42">
        <f t="shared" si="1310"/>
        <v>50.8</v>
      </c>
      <c r="BE75" s="42">
        <f t="shared" si="1310"/>
        <v>50.8</v>
      </c>
      <c r="BF75" s="42">
        <f t="shared" si="1310"/>
        <v>50.8</v>
      </c>
      <c r="BG75" s="42">
        <f t="shared" si="1310"/>
        <v>50.8</v>
      </c>
      <c r="BH75" s="42">
        <f t="shared" si="1310"/>
        <v>50.8</v>
      </c>
      <c r="BI75" s="42">
        <f t="shared" si="1310"/>
        <v>50.8</v>
      </c>
      <c r="BJ75" s="42">
        <f t="shared" si="1310"/>
        <v>50.8</v>
      </c>
      <c r="BK75" s="42">
        <f t="shared" si="1310"/>
        <v>50.8</v>
      </c>
      <c r="BL75" s="42">
        <f t="shared" si="1310"/>
        <v>50.8</v>
      </c>
      <c r="BM75" s="42">
        <f t="shared" si="1310"/>
        <v>50.8</v>
      </c>
      <c r="BN75" s="42">
        <f t="shared" si="1310"/>
        <v>50.8</v>
      </c>
      <c r="BO75" s="42">
        <f t="shared" si="1310"/>
        <v>50.8</v>
      </c>
      <c r="BP75" s="42">
        <f t="shared" si="1310"/>
        <v>50.8</v>
      </c>
      <c r="BQ75" s="42">
        <f t="shared" si="1310"/>
        <v>50.8</v>
      </c>
      <c r="BR75" s="42">
        <f t="shared" ref="BR75:EC75" si="1311">MIN($C$80,BQ75-BR55/6)</f>
        <v>50.8</v>
      </c>
      <c r="BS75" s="42">
        <f t="shared" si="1311"/>
        <v>50.8</v>
      </c>
      <c r="BT75" s="42">
        <f t="shared" si="1311"/>
        <v>50.8</v>
      </c>
      <c r="BU75" s="42">
        <f t="shared" si="1311"/>
        <v>50.8</v>
      </c>
      <c r="BV75" s="42">
        <f t="shared" si="1311"/>
        <v>50.8</v>
      </c>
      <c r="BW75" s="42">
        <f t="shared" si="1311"/>
        <v>50.8</v>
      </c>
      <c r="BX75" s="42">
        <f t="shared" si="1311"/>
        <v>50.8</v>
      </c>
      <c r="BY75" s="42">
        <f t="shared" si="1311"/>
        <v>50.8</v>
      </c>
      <c r="BZ75" s="42">
        <f t="shared" si="1311"/>
        <v>50.8</v>
      </c>
      <c r="CA75" s="42">
        <f t="shared" si="1311"/>
        <v>50.8</v>
      </c>
      <c r="CB75" s="42">
        <f t="shared" si="1311"/>
        <v>50.8</v>
      </c>
      <c r="CC75" s="42">
        <f t="shared" si="1311"/>
        <v>50.8</v>
      </c>
      <c r="CD75" s="42">
        <f t="shared" si="1311"/>
        <v>50.8</v>
      </c>
      <c r="CE75" s="42">
        <f t="shared" si="1311"/>
        <v>50.8</v>
      </c>
      <c r="CF75" s="42">
        <f t="shared" si="1311"/>
        <v>50.8</v>
      </c>
      <c r="CG75" s="42">
        <f t="shared" si="1311"/>
        <v>50.8</v>
      </c>
      <c r="CH75" s="42">
        <f t="shared" si="1311"/>
        <v>50.8</v>
      </c>
      <c r="CI75" s="42">
        <f t="shared" si="1311"/>
        <v>50.8</v>
      </c>
      <c r="CJ75" s="42">
        <f t="shared" si="1311"/>
        <v>50.8</v>
      </c>
      <c r="CK75" s="42">
        <f t="shared" si="1311"/>
        <v>50.8</v>
      </c>
      <c r="CL75" s="42">
        <f t="shared" si="1311"/>
        <v>50.8</v>
      </c>
      <c r="CM75" s="42">
        <f t="shared" si="1311"/>
        <v>50.8</v>
      </c>
      <c r="CN75" s="42">
        <f t="shared" si="1311"/>
        <v>50.8</v>
      </c>
      <c r="CO75" s="42">
        <f t="shared" si="1311"/>
        <v>50.8</v>
      </c>
      <c r="CP75" s="42">
        <f t="shared" si="1311"/>
        <v>48.893666666666661</v>
      </c>
      <c r="CQ75" s="42">
        <f t="shared" si="1311"/>
        <v>47.003999999999998</v>
      </c>
      <c r="CR75" s="42">
        <f t="shared" si="1311"/>
        <v>45.114333333333335</v>
      </c>
      <c r="CS75" s="42">
        <f t="shared" si="1311"/>
        <v>43.224666666666671</v>
      </c>
      <c r="CT75" s="42">
        <f t="shared" si="1311"/>
        <v>45.215000000000003</v>
      </c>
      <c r="CU75" s="42">
        <f t="shared" si="1311"/>
        <v>47.205333333333336</v>
      </c>
      <c r="CV75" s="42">
        <f t="shared" si="1311"/>
        <v>49.195666666666668</v>
      </c>
      <c r="CW75" s="42">
        <f t="shared" si="1311"/>
        <v>50.8</v>
      </c>
      <c r="CX75" s="42">
        <f t="shared" si="1311"/>
        <v>50.8</v>
      </c>
      <c r="CY75" s="42">
        <f t="shared" si="1311"/>
        <v>50.8</v>
      </c>
      <c r="CZ75" s="42">
        <f t="shared" si="1311"/>
        <v>50.8</v>
      </c>
      <c r="DA75" s="42">
        <f t="shared" si="1311"/>
        <v>50.8</v>
      </c>
      <c r="DB75" s="42">
        <f t="shared" si="1311"/>
        <v>50.8</v>
      </c>
      <c r="DC75" s="42">
        <f t="shared" si="1311"/>
        <v>50.8</v>
      </c>
      <c r="DD75" s="42">
        <f t="shared" si="1311"/>
        <v>50.8</v>
      </c>
      <c r="DE75" s="42">
        <f t="shared" si="1311"/>
        <v>50.8</v>
      </c>
      <c r="DF75" s="42">
        <f t="shared" si="1311"/>
        <v>50.8</v>
      </c>
      <c r="DG75" s="42">
        <f t="shared" si="1311"/>
        <v>50.8</v>
      </c>
      <c r="DH75" s="42">
        <f t="shared" si="1311"/>
        <v>50.8</v>
      </c>
      <c r="DI75" s="42">
        <f t="shared" si="1311"/>
        <v>50.8</v>
      </c>
      <c r="DJ75" s="42">
        <f t="shared" si="1311"/>
        <v>50.8</v>
      </c>
      <c r="DK75" s="42">
        <f t="shared" si="1311"/>
        <v>50.8</v>
      </c>
      <c r="DL75" s="42">
        <f t="shared" si="1311"/>
        <v>50.8</v>
      </c>
      <c r="DM75" s="42">
        <f t="shared" si="1311"/>
        <v>50.8</v>
      </c>
      <c r="DN75" s="42">
        <f t="shared" si="1311"/>
        <v>50.8</v>
      </c>
      <c r="DO75" s="42">
        <f t="shared" si="1311"/>
        <v>50.8</v>
      </c>
      <c r="DP75" s="42">
        <f t="shared" si="1311"/>
        <v>50.8</v>
      </c>
      <c r="DQ75" s="42">
        <f t="shared" si="1311"/>
        <v>50.8</v>
      </c>
      <c r="DR75" s="42">
        <f t="shared" si="1311"/>
        <v>50.8</v>
      </c>
      <c r="DS75" s="42">
        <f t="shared" si="1311"/>
        <v>50.8</v>
      </c>
      <c r="DT75" s="42">
        <f t="shared" si="1311"/>
        <v>50.8</v>
      </c>
      <c r="DU75" s="42">
        <f t="shared" si="1311"/>
        <v>50.8</v>
      </c>
      <c r="DV75" s="42">
        <f t="shared" si="1311"/>
        <v>50.8</v>
      </c>
      <c r="DW75" s="42">
        <f t="shared" si="1311"/>
        <v>50.8</v>
      </c>
      <c r="DX75" s="42">
        <f t="shared" si="1311"/>
        <v>50.8</v>
      </c>
      <c r="DY75" s="42">
        <f t="shared" si="1311"/>
        <v>50.8</v>
      </c>
      <c r="DZ75" s="42">
        <f t="shared" si="1311"/>
        <v>50.8</v>
      </c>
      <c r="EA75" s="42">
        <f t="shared" si="1311"/>
        <v>50.8</v>
      </c>
      <c r="EB75" s="42">
        <f t="shared" si="1311"/>
        <v>50.8</v>
      </c>
      <c r="EC75" s="42">
        <f t="shared" si="1311"/>
        <v>50.8</v>
      </c>
      <c r="ED75" s="42">
        <f t="shared" ref="ED75:GO75" si="1312">MIN($C$80,EC75-ED55/6)</f>
        <v>50.8</v>
      </c>
      <c r="EE75" s="42">
        <f t="shared" si="1312"/>
        <v>50.8</v>
      </c>
      <c r="EF75" s="42">
        <f t="shared" si="1312"/>
        <v>50.8</v>
      </c>
      <c r="EG75" s="42">
        <f t="shared" si="1312"/>
        <v>50.8</v>
      </c>
      <c r="EH75" s="42">
        <f t="shared" si="1312"/>
        <v>50.8</v>
      </c>
      <c r="EI75" s="42">
        <f t="shared" si="1312"/>
        <v>50.8</v>
      </c>
      <c r="EJ75" s="42">
        <f t="shared" si="1312"/>
        <v>50.8</v>
      </c>
      <c r="EK75" s="42">
        <f t="shared" si="1312"/>
        <v>50.8</v>
      </c>
      <c r="EL75" s="42">
        <f t="shared" si="1312"/>
        <v>50.8</v>
      </c>
      <c r="EM75" s="42">
        <f t="shared" si="1312"/>
        <v>50.8</v>
      </c>
      <c r="EN75" s="42">
        <f t="shared" si="1312"/>
        <v>50.8</v>
      </c>
      <c r="EO75" s="42">
        <f t="shared" si="1312"/>
        <v>50.8</v>
      </c>
      <c r="EP75" s="42">
        <f t="shared" si="1312"/>
        <v>50.8</v>
      </c>
      <c r="EQ75" s="42">
        <f t="shared" si="1312"/>
        <v>50.8</v>
      </c>
      <c r="ER75" s="42">
        <f t="shared" si="1312"/>
        <v>50.8</v>
      </c>
      <c r="ES75" s="42">
        <f t="shared" si="1312"/>
        <v>50.8</v>
      </c>
      <c r="ET75" s="42">
        <f t="shared" si="1312"/>
        <v>50.8</v>
      </c>
      <c r="EU75" s="42">
        <f t="shared" si="1312"/>
        <v>50.8</v>
      </c>
      <c r="EV75" s="42">
        <f t="shared" si="1312"/>
        <v>50.8</v>
      </c>
      <c r="EW75" s="42">
        <f t="shared" si="1312"/>
        <v>50.8</v>
      </c>
      <c r="EX75" s="42">
        <f t="shared" si="1312"/>
        <v>50.8</v>
      </c>
      <c r="EY75" s="42">
        <f t="shared" si="1312"/>
        <v>50.8</v>
      </c>
      <c r="EZ75" s="42">
        <f t="shared" si="1312"/>
        <v>50.8</v>
      </c>
      <c r="FA75" s="42">
        <f t="shared" si="1312"/>
        <v>50.8</v>
      </c>
      <c r="FB75" s="42">
        <f t="shared" si="1312"/>
        <v>50.8</v>
      </c>
      <c r="FC75" s="42">
        <f t="shared" si="1312"/>
        <v>50.8</v>
      </c>
      <c r="FD75" s="42">
        <f t="shared" si="1312"/>
        <v>50.8</v>
      </c>
      <c r="FE75" s="42">
        <f t="shared" si="1312"/>
        <v>50.8</v>
      </c>
      <c r="FF75" s="42">
        <f t="shared" si="1312"/>
        <v>50.8</v>
      </c>
      <c r="FG75" s="42">
        <f t="shared" si="1312"/>
        <v>50.8</v>
      </c>
      <c r="FH75" s="42">
        <f t="shared" si="1312"/>
        <v>50.8</v>
      </c>
      <c r="FI75" s="42">
        <f t="shared" si="1312"/>
        <v>50.8</v>
      </c>
      <c r="FJ75" s="42">
        <f t="shared" si="1312"/>
        <v>48.743666666666662</v>
      </c>
      <c r="FK75" s="42">
        <f t="shared" si="1312"/>
        <v>46.687333333333328</v>
      </c>
      <c r="FL75" s="42">
        <f t="shared" si="1312"/>
        <v>44.630999999999993</v>
      </c>
      <c r="FM75" s="42">
        <f t="shared" si="1312"/>
        <v>42.574666666666658</v>
      </c>
      <c r="FN75" s="42">
        <f t="shared" si="1312"/>
        <v>44.398333333333326</v>
      </c>
      <c r="FO75" s="42">
        <f t="shared" si="1312"/>
        <v>46.221999999999994</v>
      </c>
      <c r="FP75" s="42">
        <f t="shared" si="1312"/>
        <v>48.195666666666661</v>
      </c>
      <c r="FQ75" s="42">
        <f t="shared" si="1312"/>
        <v>50.169333333333327</v>
      </c>
      <c r="FR75" s="42">
        <f t="shared" si="1312"/>
        <v>50.8</v>
      </c>
      <c r="FS75" s="42">
        <f t="shared" si="1312"/>
        <v>50.8</v>
      </c>
      <c r="FT75" s="42">
        <f t="shared" si="1312"/>
        <v>50.8</v>
      </c>
      <c r="FU75" s="42">
        <f t="shared" si="1312"/>
        <v>50.8</v>
      </c>
      <c r="FV75" s="42">
        <f t="shared" si="1312"/>
        <v>50.8</v>
      </c>
      <c r="FW75" s="42">
        <f t="shared" si="1312"/>
        <v>50.8</v>
      </c>
      <c r="FX75" s="42">
        <f t="shared" si="1312"/>
        <v>50.8</v>
      </c>
      <c r="FY75" s="42">
        <f t="shared" si="1312"/>
        <v>50.8</v>
      </c>
      <c r="FZ75" s="42">
        <f t="shared" si="1312"/>
        <v>50.8</v>
      </c>
      <c r="GA75" s="42">
        <f t="shared" si="1312"/>
        <v>50.8</v>
      </c>
      <c r="GB75" s="42">
        <f t="shared" si="1312"/>
        <v>50.8</v>
      </c>
      <c r="GC75" s="42">
        <f t="shared" si="1312"/>
        <v>50.8</v>
      </c>
      <c r="GD75" s="42">
        <f t="shared" si="1312"/>
        <v>50.8</v>
      </c>
      <c r="GE75" s="42">
        <f t="shared" si="1312"/>
        <v>50.8</v>
      </c>
      <c r="GF75" s="42">
        <f t="shared" si="1312"/>
        <v>50.8</v>
      </c>
      <c r="GG75" s="42">
        <f t="shared" si="1312"/>
        <v>50.8</v>
      </c>
      <c r="GH75" s="42">
        <f t="shared" si="1312"/>
        <v>50.8</v>
      </c>
      <c r="GI75" s="42">
        <f t="shared" si="1312"/>
        <v>50.8</v>
      </c>
      <c r="GJ75" s="42">
        <f t="shared" si="1312"/>
        <v>50.8</v>
      </c>
      <c r="GK75" s="42">
        <f t="shared" si="1312"/>
        <v>50.8</v>
      </c>
      <c r="GL75" s="42">
        <f t="shared" si="1312"/>
        <v>50.8</v>
      </c>
      <c r="GM75" s="42">
        <f t="shared" si="1312"/>
        <v>50.8</v>
      </c>
      <c r="GN75" s="42">
        <f t="shared" si="1312"/>
        <v>50.8</v>
      </c>
      <c r="GO75" s="42">
        <f t="shared" si="1312"/>
        <v>50.8</v>
      </c>
      <c r="GP75" s="42">
        <f t="shared" ref="GP75:JA75" si="1313">MIN($C$80,GO75-GP55/6)</f>
        <v>50.8</v>
      </c>
      <c r="GQ75" s="42">
        <f t="shared" si="1313"/>
        <v>50.8</v>
      </c>
      <c r="GR75" s="42">
        <f t="shared" si="1313"/>
        <v>50.8</v>
      </c>
      <c r="GS75" s="42">
        <f t="shared" si="1313"/>
        <v>50.8</v>
      </c>
      <c r="GT75" s="42">
        <f t="shared" si="1313"/>
        <v>50.8</v>
      </c>
      <c r="GU75" s="42">
        <f t="shared" si="1313"/>
        <v>50.8</v>
      </c>
      <c r="GV75" s="42">
        <f t="shared" si="1313"/>
        <v>50.8</v>
      </c>
      <c r="GW75" s="42">
        <f t="shared" si="1313"/>
        <v>50.8</v>
      </c>
      <c r="GX75" s="42">
        <f t="shared" si="1313"/>
        <v>50.8</v>
      </c>
      <c r="GY75" s="42">
        <f t="shared" si="1313"/>
        <v>50.8</v>
      </c>
      <c r="GZ75" s="42">
        <f t="shared" si="1313"/>
        <v>50.8</v>
      </c>
      <c r="HA75" s="42">
        <f t="shared" si="1313"/>
        <v>50.8</v>
      </c>
      <c r="HB75" s="42">
        <f t="shared" si="1313"/>
        <v>50.8</v>
      </c>
      <c r="HC75" s="42">
        <f t="shared" si="1313"/>
        <v>50.8</v>
      </c>
      <c r="HD75" s="42">
        <f t="shared" si="1313"/>
        <v>50.8</v>
      </c>
      <c r="HE75" s="42">
        <f t="shared" si="1313"/>
        <v>50.8</v>
      </c>
      <c r="HF75" s="42">
        <f t="shared" si="1313"/>
        <v>50.8</v>
      </c>
      <c r="HG75" s="42">
        <f t="shared" si="1313"/>
        <v>50.8</v>
      </c>
      <c r="HH75" s="42">
        <f t="shared" si="1313"/>
        <v>50.8</v>
      </c>
      <c r="HI75" s="42">
        <f t="shared" si="1313"/>
        <v>50.8</v>
      </c>
      <c r="HJ75" s="42">
        <f t="shared" si="1313"/>
        <v>50.8</v>
      </c>
      <c r="HK75" s="42">
        <f t="shared" si="1313"/>
        <v>50.8</v>
      </c>
      <c r="HL75" s="42">
        <f t="shared" si="1313"/>
        <v>50.8</v>
      </c>
      <c r="HM75" s="42">
        <f t="shared" si="1313"/>
        <v>50.8</v>
      </c>
      <c r="HN75" s="42">
        <f t="shared" si="1313"/>
        <v>50.8</v>
      </c>
      <c r="HO75" s="42">
        <f t="shared" si="1313"/>
        <v>50.8</v>
      </c>
      <c r="HP75" s="42">
        <f t="shared" si="1313"/>
        <v>50.8</v>
      </c>
      <c r="HQ75" s="42">
        <f t="shared" si="1313"/>
        <v>50.8</v>
      </c>
      <c r="HR75" s="42">
        <f t="shared" si="1313"/>
        <v>50.8</v>
      </c>
      <c r="HS75" s="42">
        <f t="shared" si="1313"/>
        <v>50.8</v>
      </c>
      <c r="HT75" s="42">
        <f t="shared" si="1313"/>
        <v>50.8</v>
      </c>
      <c r="HU75" s="42">
        <f t="shared" si="1313"/>
        <v>50.8</v>
      </c>
      <c r="HV75" s="42">
        <f t="shared" si="1313"/>
        <v>50.8</v>
      </c>
      <c r="HW75" s="42">
        <f t="shared" si="1313"/>
        <v>50.8</v>
      </c>
      <c r="HX75" s="42">
        <f t="shared" si="1313"/>
        <v>50.8</v>
      </c>
      <c r="HY75" s="42">
        <f t="shared" si="1313"/>
        <v>50.8</v>
      </c>
      <c r="HZ75" s="42">
        <f t="shared" si="1313"/>
        <v>50.8</v>
      </c>
      <c r="IA75" s="42">
        <f t="shared" si="1313"/>
        <v>50.8</v>
      </c>
      <c r="IB75" s="42">
        <f t="shared" si="1313"/>
        <v>50.8</v>
      </c>
      <c r="IC75" s="42">
        <f t="shared" si="1313"/>
        <v>50.8</v>
      </c>
      <c r="ID75" s="42">
        <f t="shared" si="1313"/>
        <v>48.893666666666661</v>
      </c>
      <c r="IE75" s="42">
        <f t="shared" si="1313"/>
        <v>46.987333333333325</v>
      </c>
      <c r="IF75" s="42">
        <f t="shared" si="1313"/>
        <v>45.080999999999989</v>
      </c>
      <c r="IG75" s="42">
        <f t="shared" si="1313"/>
        <v>43.174666666666653</v>
      </c>
      <c r="IH75" s="42">
        <f t="shared" si="1313"/>
        <v>45.148333333333319</v>
      </c>
      <c r="II75" s="42">
        <f t="shared" si="1313"/>
        <v>47.121999999999986</v>
      </c>
      <c r="IJ75" s="42">
        <f t="shared" si="1313"/>
        <v>49.095666666666652</v>
      </c>
      <c r="IK75" s="42">
        <f t="shared" si="1313"/>
        <v>50.8</v>
      </c>
      <c r="IL75" s="42">
        <f t="shared" si="1313"/>
        <v>50.8</v>
      </c>
      <c r="IM75" s="42">
        <f t="shared" si="1313"/>
        <v>50.8</v>
      </c>
      <c r="IN75" s="42">
        <f t="shared" si="1313"/>
        <v>50.8</v>
      </c>
      <c r="IO75" s="42">
        <f t="shared" si="1313"/>
        <v>50.8</v>
      </c>
      <c r="IP75" s="42">
        <f t="shared" si="1313"/>
        <v>50.8</v>
      </c>
      <c r="IQ75" s="42">
        <f t="shared" si="1313"/>
        <v>50.8</v>
      </c>
      <c r="IR75" s="42">
        <f t="shared" si="1313"/>
        <v>50.8</v>
      </c>
      <c r="IS75" s="42">
        <f t="shared" si="1313"/>
        <v>50.8</v>
      </c>
      <c r="IT75" s="42">
        <f t="shared" si="1313"/>
        <v>50.8</v>
      </c>
      <c r="IU75" s="42">
        <f t="shared" si="1313"/>
        <v>50.8</v>
      </c>
      <c r="IV75" s="42">
        <f t="shared" si="1313"/>
        <v>50.8</v>
      </c>
      <c r="IW75" s="42">
        <f t="shared" si="1313"/>
        <v>50.8</v>
      </c>
      <c r="IX75" s="42">
        <f t="shared" si="1313"/>
        <v>50.8</v>
      </c>
      <c r="IY75" s="42">
        <f t="shared" si="1313"/>
        <v>50.8</v>
      </c>
      <c r="IZ75" s="42">
        <f t="shared" si="1313"/>
        <v>50.8</v>
      </c>
      <c r="JA75" s="42">
        <f t="shared" si="1313"/>
        <v>50.8</v>
      </c>
      <c r="JB75" s="42">
        <f t="shared" ref="JB75:KE75" si="1314">MIN($C$80,JA75-JB55/6)</f>
        <v>50.8</v>
      </c>
      <c r="JC75" s="42">
        <f t="shared" si="1314"/>
        <v>50.8</v>
      </c>
      <c r="JD75" s="42">
        <f t="shared" si="1314"/>
        <v>50.8</v>
      </c>
      <c r="JE75" s="42">
        <f t="shared" si="1314"/>
        <v>50.8</v>
      </c>
      <c r="JF75" s="42">
        <f t="shared" si="1314"/>
        <v>50.8</v>
      </c>
      <c r="JG75" s="42">
        <f t="shared" si="1314"/>
        <v>50.8</v>
      </c>
      <c r="JH75" s="42">
        <f t="shared" si="1314"/>
        <v>50.8</v>
      </c>
      <c r="JI75" s="42">
        <f t="shared" si="1314"/>
        <v>50.8</v>
      </c>
      <c r="JJ75" s="42">
        <f t="shared" si="1314"/>
        <v>50.8</v>
      </c>
      <c r="JK75" s="42">
        <f t="shared" si="1314"/>
        <v>50.8</v>
      </c>
      <c r="JL75" s="42">
        <f t="shared" si="1314"/>
        <v>50.8</v>
      </c>
      <c r="JM75" s="42">
        <f t="shared" si="1314"/>
        <v>50.8</v>
      </c>
      <c r="JN75" s="42">
        <f t="shared" si="1314"/>
        <v>50.8</v>
      </c>
      <c r="JO75" s="42">
        <f t="shared" si="1314"/>
        <v>50.8</v>
      </c>
      <c r="JP75" s="42">
        <f t="shared" si="1314"/>
        <v>50.8</v>
      </c>
      <c r="JQ75" s="42">
        <f t="shared" si="1314"/>
        <v>50.8</v>
      </c>
      <c r="JR75" s="42">
        <f t="shared" si="1314"/>
        <v>50.8</v>
      </c>
      <c r="JS75" s="42">
        <f t="shared" si="1314"/>
        <v>50.8</v>
      </c>
      <c r="JT75" s="42">
        <f t="shared" si="1314"/>
        <v>50.8</v>
      </c>
      <c r="JU75" s="42">
        <f t="shared" si="1314"/>
        <v>50.8</v>
      </c>
      <c r="JV75" s="42">
        <f t="shared" si="1314"/>
        <v>50.8</v>
      </c>
      <c r="JW75" s="42">
        <f t="shared" si="1314"/>
        <v>50.8</v>
      </c>
      <c r="JX75" s="42">
        <f t="shared" si="1314"/>
        <v>50.8</v>
      </c>
      <c r="JY75" s="42">
        <f t="shared" si="1314"/>
        <v>50.8</v>
      </c>
      <c r="JZ75" s="42">
        <f t="shared" si="1314"/>
        <v>50.8</v>
      </c>
      <c r="KA75" s="42">
        <f t="shared" si="1314"/>
        <v>50.8</v>
      </c>
      <c r="KB75" s="42">
        <f t="shared" si="1314"/>
        <v>50.8</v>
      </c>
      <c r="KC75" s="42">
        <f t="shared" si="1314"/>
        <v>50.8</v>
      </c>
      <c r="KD75" s="42">
        <f t="shared" si="1314"/>
        <v>50.8</v>
      </c>
      <c r="KE75" s="42">
        <f t="shared" si="1314"/>
        <v>50.8</v>
      </c>
      <c r="KF75" s="42">
        <f t="shared" ref="KF75" si="1315">MIN($C$80,KE75-KF55/6)</f>
        <v>50.8</v>
      </c>
      <c r="KG75" s="42">
        <f t="shared" ref="KG75" si="1316">MIN($C$80,KF75-KG55/6)</f>
        <v>50.8</v>
      </c>
      <c r="KH75" s="42">
        <f t="shared" ref="KH75" si="1317">MIN($C$80,KG75-KH55/6)</f>
        <v>50.8</v>
      </c>
      <c r="KI75" s="42">
        <f t="shared" ref="KI75" si="1318">MIN($C$80,KH75-KI55/6)</f>
        <v>50.8</v>
      </c>
      <c r="KJ75" s="42">
        <f t="shared" ref="KJ75" si="1319">MIN($C$80,KI75-KJ55/6)</f>
        <v>50.8</v>
      </c>
      <c r="KK75" s="42">
        <f t="shared" ref="KK75" si="1320">MIN($C$80,KJ75-KK55/6)</f>
        <v>50.8</v>
      </c>
      <c r="KL75" s="42">
        <f t="shared" ref="KL75" si="1321">MIN($C$80,KK75-KL55/6)</f>
        <v>50.8</v>
      </c>
      <c r="KM75" s="42">
        <f t="shared" ref="KM75" si="1322">MIN($C$80,KL75-KM55/6)</f>
        <v>50.8</v>
      </c>
      <c r="KN75" s="42">
        <f t="shared" ref="KN75" si="1323">MIN($C$80,KM75-KN55/6)</f>
        <v>50.8</v>
      </c>
      <c r="KO75" s="42">
        <f t="shared" ref="KO75" si="1324">MIN($C$80,KN75-KO55/6)</f>
        <v>50.8</v>
      </c>
      <c r="KP75" s="42">
        <f t="shared" ref="KP75" si="1325">MIN($C$80,KO75-KP55/6)</f>
        <v>50.8</v>
      </c>
      <c r="KQ75" s="42">
        <f t="shared" ref="KQ75" si="1326">MIN($C$80,KP75-KQ55/6)</f>
        <v>50.8</v>
      </c>
      <c r="KR75" s="42">
        <f t="shared" ref="KR75" si="1327">MIN($C$80,KQ75-KR55/6)</f>
        <v>50.8</v>
      </c>
      <c r="KS75" s="42">
        <f t="shared" ref="KS75" si="1328">MIN($C$80,KR75-KS55/6)</f>
        <v>50.8</v>
      </c>
      <c r="KT75" s="42">
        <f t="shared" ref="KT75" si="1329">MIN($C$80,KS75-KT55/6)</f>
        <v>50.8</v>
      </c>
      <c r="KU75" s="42">
        <f t="shared" ref="KU75" si="1330">MIN($C$80,KT75-KU55/6)</f>
        <v>50.8</v>
      </c>
      <c r="KV75" s="42">
        <f t="shared" ref="KV75" si="1331">MIN($C$80,KU75-KV55/6)</f>
        <v>50.8</v>
      </c>
      <c r="KW75" s="42">
        <f t="shared" ref="KW75" si="1332">MIN($C$80,KV75-KW55/6)</f>
        <v>50.8</v>
      </c>
      <c r="KX75" s="42">
        <f t="shared" ref="KX75" si="1333">MIN($C$80,KW75-KX55/6)</f>
        <v>48.910333333333334</v>
      </c>
      <c r="KY75" s="42">
        <f t="shared" ref="KY75" si="1334">MIN($C$80,KX75-KY55/6)</f>
        <v>47.020666666666671</v>
      </c>
      <c r="KZ75" s="42">
        <f t="shared" ref="KZ75" si="1335">MIN($C$80,KY75-KZ55/6)</f>
        <v>45.131000000000007</v>
      </c>
      <c r="LA75" s="42">
        <f t="shared" ref="LA75" si="1336">MIN($C$80,KZ75-LA55/6)</f>
        <v>43.241333333333344</v>
      </c>
      <c r="LB75" s="42">
        <f t="shared" ref="LB75" si="1337">MIN($C$80,LA75-LB55/6)</f>
        <v>45.231666666666676</v>
      </c>
      <c r="LC75" s="42">
        <f t="shared" ref="LC75" si="1338">MIN($C$80,LB75-LC55/6)</f>
        <v>47.222000000000008</v>
      </c>
      <c r="LD75" s="42">
        <f t="shared" ref="LD75" si="1339">MIN($C$80,LC75-LD55/6)</f>
        <v>49.212333333333341</v>
      </c>
      <c r="LE75" s="42">
        <f t="shared" ref="LE75" si="1340">MIN($C$80,LD75-LE55/6)</f>
        <v>50.8</v>
      </c>
      <c r="LF75" s="42">
        <f t="shared" ref="LF75" si="1341">MIN($C$80,LE75-LF55/6)</f>
        <v>50.8</v>
      </c>
      <c r="LG75" s="42">
        <f t="shared" ref="LG75" si="1342">MIN($C$80,LF75-LG55/6)</f>
        <v>50.8</v>
      </c>
      <c r="LH75" s="42">
        <f t="shared" ref="LH75" si="1343">MIN($C$80,LG75-LH55/6)</f>
        <v>50.8</v>
      </c>
      <c r="LI75" s="42">
        <f t="shared" ref="LI75" si="1344">MIN($C$80,LH75-LI55/6)</f>
        <v>50.8</v>
      </c>
      <c r="LJ75" s="42">
        <f t="shared" ref="LJ75" si="1345">MIN($C$80,LI75-LJ55/6)</f>
        <v>50.8</v>
      </c>
      <c r="LK75" s="42">
        <f t="shared" ref="LK75" si="1346">MIN($C$80,LJ75-LK55/6)</f>
        <v>50.8</v>
      </c>
      <c r="LL75" s="42">
        <f t="shared" ref="LL75" si="1347">MIN($C$80,LK75-LL55/6)</f>
        <v>50.8</v>
      </c>
      <c r="LM75" s="42">
        <f t="shared" ref="LM75" si="1348">MIN($C$80,LL75-LM55/6)</f>
        <v>50.8</v>
      </c>
      <c r="LN75" s="42">
        <f t="shared" ref="LN75" si="1349">MIN($C$80,LM75-LN55/6)</f>
        <v>50.8</v>
      </c>
      <c r="LO75" s="42">
        <f t="shared" ref="LO75" si="1350">MIN($C$80,LN75-LO55/6)</f>
        <v>50.8</v>
      </c>
      <c r="LP75" s="42">
        <f t="shared" ref="LP75" si="1351">MIN($C$80,LO75-LP55/6)</f>
        <v>50.8</v>
      </c>
      <c r="LQ75" s="42">
        <f t="shared" ref="LQ75" si="1352">MIN($C$80,LP75-LQ55/6)</f>
        <v>50.8</v>
      </c>
      <c r="LR75" s="42">
        <f t="shared" ref="LR75" si="1353">MIN($C$80,LQ75-LR55/6)</f>
        <v>50.8</v>
      </c>
      <c r="LS75" s="42">
        <f t="shared" ref="LS75" si="1354">MIN($C$80,LR75-LS55/6)</f>
        <v>50.8</v>
      </c>
      <c r="LT75" s="42">
        <f t="shared" ref="LT75" si="1355">MIN($C$80,LS75-LT55/6)</f>
        <v>50.8</v>
      </c>
      <c r="LU75" s="42">
        <f t="shared" ref="LU75" si="1356">MIN($C$80,LT75-LU55/6)</f>
        <v>50.8</v>
      </c>
      <c r="LV75" s="42">
        <f t="shared" ref="LV75" si="1357">MIN($C$80,LU75-LV55/6)</f>
        <v>50.8</v>
      </c>
      <c r="LW75" s="42">
        <f t="shared" ref="LW75" si="1358">MIN($C$80,LV75-LW55/6)</f>
        <v>50.8</v>
      </c>
      <c r="LX75" s="42">
        <f t="shared" ref="LX75" si="1359">MIN($C$80,LW75-LX55/6)</f>
        <v>50.8</v>
      </c>
      <c r="LY75" s="42">
        <f t="shared" ref="LY75" si="1360">MIN($C$80,LX75-LY55/6)</f>
        <v>50.8</v>
      </c>
      <c r="LZ75" s="42">
        <f t="shared" ref="LZ75" si="1361">MIN($C$80,LY75-LZ55/6)</f>
        <v>50.8</v>
      </c>
      <c r="MA75" s="42">
        <f t="shared" ref="MA75" si="1362">MIN($C$80,LZ75-MA55/6)</f>
        <v>50.8</v>
      </c>
      <c r="MB75" s="42">
        <f t="shared" ref="MB75" si="1363">MIN($C$80,MA75-MB55/6)</f>
        <v>50.8</v>
      </c>
      <c r="MC75" s="42">
        <f t="shared" ref="MC75" si="1364">MIN($C$80,MB75-MC55/6)</f>
        <v>50.8</v>
      </c>
      <c r="MD75" s="42">
        <f t="shared" ref="MD75" si="1365">MIN($C$80,MC75-MD55/6)</f>
        <v>50.8</v>
      </c>
      <c r="ME75" s="42">
        <f t="shared" ref="ME75" si="1366">MIN($C$80,MD75-ME55/6)</f>
        <v>50.8</v>
      </c>
      <c r="MF75" s="42">
        <f t="shared" ref="MF75" si="1367">MIN($C$80,ME75-MF55/6)</f>
        <v>50.8</v>
      </c>
      <c r="MG75" s="42">
        <f t="shared" ref="MG75" si="1368">MIN($C$80,MF75-MG55/6)</f>
        <v>50.8</v>
      </c>
      <c r="MH75" s="42">
        <f t="shared" ref="MH75" si="1369">MIN($C$80,MG75-MH55/6)</f>
        <v>50.8</v>
      </c>
      <c r="MI75" s="42">
        <f t="shared" ref="MI75" si="1370">MIN($C$80,MH75-MI55/6)</f>
        <v>50.8</v>
      </c>
      <c r="MJ75" s="42">
        <f t="shared" ref="MJ75" si="1371">MIN($C$80,MI75-MJ55/6)</f>
        <v>50.8</v>
      </c>
      <c r="MK75" s="42">
        <f t="shared" ref="MK75" si="1372">MIN($C$80,MJ75-MK55/6)</f>
        <v>50.8</v>
      </c>
      <c r="ML75" s="42">
        <f t="shared" ref="ML75" si="1373">MIN($C$80,MK75-ML55/6)</f>
        <v>50.8</v>
      </c>
      <c r="MM75" s="42">
        <f t="shared" ref="MM75" si="1374">MIN($C$80,ML75-MM55/6)</f>
        <v>50.8</v>
      </c>
      <c r="MN75" s="42">
        <f t="shared" ref="MN75" si="1375">MIN($C$80,MM75-MN55/6)</f>
        <v>50.8</v>
      </c>
      <c r="MO75" s="42">
        <f t="shared" ref="MO75" si="1376">MIN($C$80,MN75-MO55/6)</f>
        <v>50.8</v>
      </c>
      <c r="MP75" s="42">
        <f t="shared" ref="MP75" si="1377">MIN($C$80,MO75-MP55/6)</f>
        <v>50.8</v>
      </c>
      <c r="MQ75" s="42">
        <f t="shared" ref="MQ75" si="1378">MIN($C$80,MP75-MQ55/6)</f>
        <v>50.8</v>
      </c>
      <c r="MR75" s="42">
        <f t="shared" ref="MR75" si="1379">MIN($C$80,MQ75-MR55/6)</f>
        <v>50.8</v>
      </c>
      <c r="MS75" s="42">
        <f t="shared" ref="MS75" si="1380">MIN($C$80,MR75-MS55/6)</f>
        <v>50.8</v>
      </c>
      <c r="MT75" s="42">
        <f t="shared" ref="MT75" si="1381">MIN($C$80,MS75-MT55/6)</f>
        <v>50.8</v>
      </c>
      <c r="MU75" s="42">
        <f t="shared" ref="MU75" si="1382">MIN($C$80,MT75-MU55/6)</f>
        <v>50.8</v>
      </c>
      <c r="MV75" s="42">
        <f t="shared" ref="MV75" si="1383">MIN($C$80,MU75-MV55/6)</f>
        <v>50.8</v>
      </c>
      <c r="MW75" s="42">
        <f t="shared" ref="MW75" si="1384">MIN($C$80,MV75-MW55/6)</f>
        <v>50.8</v>
      </c>
      <c r="MX75" s="42">
        <f t="shared" ref="MX75" si="1385">MIN($C$80,MW75-MX55/6)</f>
        <v>50.8</v>
      </c>
      <c r="MY75" s="42">
        <f t="shared" ref="MY75" si="1386">MIN($C$80,MX75-MY55/6)</f>
        <v>50.8</v>
      </c>
      <c r="MZ75" s="42">
        <f t="shared" ref="MZ75" si="1387">MIN($C$80,MY75-MZ55/6)</f>
        <v>50.8</v>
      </c>
      <c r="NA75" s="42">
        <f t="shared" ref="NA75" si="1388">MIN($C$80,MZ75-NA55/6)</f>
        <v>50.8</v>
      </c>
      <c r="NB75" s="42">
        <f t="shared" ref="NB75" si="1389">MIN($C$80,NA75-NB55/6)</f>
        <v>50.8</v>
      </c>
      <c r="NC75" s="42">
        <f t="shared" ref="NC75" si="1390">MIN($C$80,NB75-NC55/6)</f>
        <v>50.8</v>
      </c>
      <c r="ND75" s="42">
        <f t="shared" ref="ND75" si="1391">MIN($C$80,NC75-ND55/6)</f>
        <v>50.8</v>
      </c>
      <c r="NE75" s="42">
        <f t="shared" ref="NE75" si="1392">MIN($C$80,ND75-NE55/6)</f>
        <v>50.8</v>
      </c>
      <c r="NF75" s="42">
        <f t="shared" ref="NF75" si="1393">MIN($C$80,NE75-NF55/6)</f>
        <v>50.8</v>
      </c>
      <c r="NG75" s="42">
        <f t="shared" ref="NG75" si="1394">MIN($C$80,NF75-NG55/6)</f>
        <v>50.8</v>
      </c>
      <c r="NH75" s="42">
        <f t="shared" ref="NH75" si="1395">MIN($C$80,NG75-NH55/6)</f>
        <v>50.8</v>
      </c>
      <c r="NI75" s="42">
        <f t="shared" ref="NI75" si="1396">MIN($C$80,NH75-NI55/6)</f>
        <v>50.8</v>
      </c>
      <c r="NJ75" s="42">
        <f t="shared" ref="NJ75" si="1397">MIN($C$80,NI75-NJ55/6)</f>
        <v>50.8</v>
      </c>
      <c r="NK75" s="42">
        <f t="shared" ref="NK75" si="1398">MIN($C$80,NJ75-NK55/6)</f>
        <v>50.8</v>
      </c>
      <c r="NL75" s="42">
        <f t="shared" ref="NL75" si="1399">MIN($C$80,NK75-NL55/6)</f>
        <v>50.8</v>
      </c>
      <c r="NM75" s="42">
        <f t="shared" ref="NM75" si="1400">MIN($C$80,NL75-NM55/6)</f>
        <v>50.8</v>
      </c>
      <c r="NN75" s="42">
        <f t="shared" ref="NN75" si="1401">MIN($C$80,NM75-NN55/6)</f>
        <v>50.8</v>
      </c>
      <c r="NO75" s="42">
        <f t="shared" ref="NO75" si="1402">MIN($C$80,NN75-NO55/6)</f>
        <v>50.8</v>
      </c>
      <c r="NP75" s="42">
        <f t="shared" ref="NP75" si="1403">MIN($C$80,NO75-NP55/6)</f>
        <v>50.8</v>
      </c>
      <c r="NQ75" s="42">
        <f t="shared" ref="NQ75" si="1404">MIN($C$80,NP75-NQ55/6)</f>
        <v>50.8</v>
      </c>
      <c r="NR75" s="42">
        <f t="shared" ref="NR75" si="1405">MIN($C$80,NQ75-NR55/6)</f>
        <v>48.893666666666661</v>
      </c>
      <c r="NS75" s="42">
        <f t="shared" ref="NS75" si="1406">MIN($C$80,NR75-NS55/6)</f>
        <v>47.003999999999998</v>
      </c>
      <c r="NT75" s="42">
        <f t="shared" ref="NT75" si="1407">MIN($C$80,NS75-NT55/6)</f>
        <v>45.114333333333335</v>
      </c>
      <c r="NU75" s="42">
        <f t="shared" ref="NU75" si="1408">MIN($C$80,NT75-NU55/6)</f>
        <v>43.224666666666671</v>
      </c>
      <c r="NV75" s="42">
        <f t="shared" ref="NV75" si="1409">MIN($C$80,NU75-NV55/6)</f>
        <v>45.215000000000003</v>
      </c>
      <c r="NW75" s="42">
        <f t="shared" ref="NW75" si="1410">MIN($C$80,NV75-NW55/6)</f>
        <v>47.205333333333336</v>
      </c>
      <c r="NX75" s="42">
        <f t="shared" ref="NX75" si="1411">MIN($C$80,NW75-NX55/6)</f>
        <v>49.195666666666668</v>
      </c>
      <c r="NY75" s="42">
        <f t="shared" ref="NY75" si="1412">MIN($C$80,NX75-NY55/6)</f>
        <v>50.8</v>
      </c>
      <c r="NZ75" s="42">
        <f t="shared" ref="NZ75" si="1413">MIN($C$80,NY75-NZ55/6)</f>
        <v>50.8</v>
      </c>
      <c r="OA75" s="42">
        <f t="shared" ref="OA75" si="1414">MIN($C$80,NZ75-OA55/6)</f>
        <v>50.8</v>
      </c>
      <c r="OB75" s="42">
        <f t="shared" ref="OB75" si="1415">MIN($C$80,OA75-OB55/6)</f>
        <v>50.8</v>
      </c>
      <c r="OC75" s="42">
        <f t="shared" ref="OC75" si="1416">MIN($C$80,OB75-OC55/6)</f>
        <v>50.8</v>
      </c>
      <c r="OD75" s="42">
        <f t="shared" ref="OD75" si="1417">MIN($C$80,OC75-OD55/6)</f>
        <v>50.8</v>
      </c>
      <c r="OE75" s="42">
        <f t="shared" ref="OE75" si="1418">MIN($C$80,OD75-OE55/6)</f>
        <v>50.8</v>
      </c>
      <c r="OF75" s="42">
        <f t="shared" ref="OF75" si="1419">MIN($C$80,OE75-OF55/6)</f>
        <v>50.8</v>
      </c>
      <c r="OG75" s="42">
        <f t="shared" ref="OG75" si="1420">MIN($C$80,OF75-OG55/6)</f>
        <v>50.8</v>
      </c>
      <c r="OH75" s="42">
        <f t="shared" ref="OH75" si="1421">MIN($C$80,OG75-OH55/6)</f>
        <v>50.8</v>
      </c>
      <c r="OI75" s="42">
        <f t="shared" ref="OI75" si="1422">MIN($C$80,OH75-OI55/6)</f>
        <v>50.8</v>
      </c>
      <c r="OJ75" s="42">
        <f t="shared" ref="OJ75" si="1423">MIN($C$80,OI75-OJ55/6)</f>
        <v>50.8</v>
      </c>
      <c r="OK75" s="42">
        <f t="shared" ref="OK75" si="1424">MIN($C$80,OJ75-OK55/6)</f>
        <v>50.8</v>
      </c>
      <c r="OL75" s="42">
        <f t="shared" ref="OL75" si="1425">MIN($C$80,OK75-OL55/6)</f>
        <v>50.8</v>
      </c>
      <c r="OM75" s="42">
        <f t="shared" ref="OM75" si="1426">MIN($C$80,OL75-OM55/6)</f>
        <v>50.8</v>
      </c>
      <c r="ON75" s="42">
        <f t="shared" ref="ON75" si="1427">MIN($C$80,OM75-ON55/6)</f>
        <v>50.8</v>
      </c>
      <c r="OO75" s="42">
        <f t="shared" ref="OO75" si="1428">MIN($C$80,ON75-OO55/6)</f>
        <v>50.8</v>
      </c>
      <c r="OP75" s="42">
        <f t="shared" ref="OP75" si="1429">MIN($C$80,OO75-OP55/6)</f>
        <v>50.8</v>
      </c>
      <c r="OQ75" s="42">
        <f t="shared" ref="OQ75" si="1430">MIN($C$80,OP75-OQ55/6)</f>
        <v>50.8</v>
      </c>
      <c r="OR75" s="42">
        <f t="shared" ref="OR75" si="1431">MIN($C$80,OQ75-OR55/6)</f>
        <v>50.8</v>
      </c>
      <c r="OS75" s="42">
        <f t="shared" ref="OS75" si="1432">MIN($C$80,OR75-OS55/6)</f>
        <v>50.8</v>
      </c>
      <c r="OT75" s="42">
        <f t="shared" ref="OT75" si="1433">MIN($C$80,OS75-OT55/6)</f>
        <v>50.8</v>
      </c>
      <c r="OU75" s="42">
        <f t="shared" ref="OU75" si="1434">MIN($C$80,OT75-OU55/6)</f>
        <v>50.8</v>
      </c>
      <c r="OV75" s="42">
        <f t="shared" ref="OV75" si="1435">MIN($C$80,OU75-OV55/6)</f>
        <v>50.8</v>
      </c>
      <c r="OW75" s="42">
        <f t="shared" ref="OW75" si="1436">MIN($C$80,OV75-OW55/6)</f>
        <v>50.8</v>
      </c>
      <c r="OX75" s="42">
        <f t="shared" ref="OX75" si="1437">MIN($C$80,OW75-OX55/6)</f>
        <v>50.8</v>
      </c>
      <c r="OY75" s="42">
        <f t="shared" ref="OY75" si="1438">MIN($C$80,OX75-OY55/6)</f>
        <v>50.8</v>
      </c>
      <c r="OZ75" s="42">
        <f t="shared" ref="OZ75" si="1439">MIN($C$80,OY75-OZ55/6)</f>
        <v>50.8</v>
      </c>
      <c r="PA75" s="42">
        <f t="shared" ref="PA75" si="1440">MIN($C$80,OZ75-PA55/6)</f>
        <v>50.8</v>
      </c>
      <c r="PB75" s="42">
        <f t="shared" ref="PB75" si="1441">MIN($C$80,PA75-PB55/6)</f>
        <v>50.8</v>
      </c>
      <c r="PC75" s="42">
        <f t="shared" ref="PC75" si="1442">MIN($C$80,PB75-PC55/6)</f>
        <v>50.8</v>
      </c>
      <c r="PD75" s="42">
        <f t="shared" ref="PD75" si="1443">MIN($C$80,PC75-PD55/6)</f>
        <v>50.8</v>
      </c>
      <c r="PE75" s="42">
        <f t="shared" ref="PE75" si="1444">MIN($C$80,PD75-PE55/6)</f>
        <v>50.8</v>
      </c>
      <c r="PF75" s="42">
        <f t="shared" ref="PF75" si="1445">MIN($C$80,PE75-PF55/6)</f>
        <v>50.8</v>
      </c>
      <c r="PG75" s="42">
        <f t="shared" ref="PG75" si="1446">MIN($C$80,PF75-PG55/6)</f>
        <v>50.8</v>
      </c>
      <c r="PH75" s="42">
        <f t="shared" ref="PH75" si="1447">MIN($C$80,PG75-PH55/6)</f>
        <v>50.8</v>
      </c>
      <c r="PI75" s="42">
        <f t="shared" ref="PI75" si="1448">MIN($C$80,PH75-PI55/6)</f>
        <v>50.8</v>
      </c>
      <c r="PJ75" s="42">
        <f t="shared" ref="PJ75" si="1449">MIN($C$80,PI75-PJ55/6)</f>
        <v>50.8</v>
      </c>
      <c r="PK75" s="42">
        <f t="shared" ref="PK75" si="1450">MIN($C$80,PJ75-PK55/6)</f>
        <v>50.8</v>
      </c>
      <c r="PL75" s="42">
        <f t="shared" ref="PL75" si="1451">MIN($C$80,PK75-PL55/6)</f>
        <v>50.8</v>
      </c>
      <c r="PM75" s="42">
        <f t="shared" ref="PM75" si="1452">MIN($C$80,PL75-PM55/6)</f>
        <v>50.8</v>
      </c>
      <c r="PN75" s="42">
        <f t="shared" ref="PN75" si="1453">MIN($C$80,PM75-PN55/6)</f>
        <v>50.8</v>
      </c>
      <c r="PO75" s="42">
        <f t="shared" ref="PO75" si="1454">MIN($C$80,PN75-PO55/6)</f>
        <v>50.8</v>
      </c>
      <c r="PP75" s="42">
        <f t="shared" ref="PP75" si="1455">MIN($C$80,PO75-PP55/6)</f>
        <v>50.8</v>
      </c>
      <c r="PQ75" s="42">
        <f t="shared" ref="PQ75" si="1456">MIN($C$80,PP75-PQ55/6)</f>
        <v>50.8</v>
      </c>
      <c r="PR75" s="42">
        <f t="shared" ref="PR75" si="1457">MIN($C$80,PQ75-PR55/6)</f>
        <v>50.8</v>
      </c>
      <c r="PS75" s="42">
        <f t="shared" ref="PS75" si="1458">MIN($C$80,PR75-PS55/6)</f>
        <v>50.8</v>
      </c>
      <c r="PT75" s="42">
        <f t="shared" ref="PT75" si="1459">MIN($C$80,PS75-PT55/6)</f>
        <v>50.8</v>
      </c>
      <c r="PU75" s="42">
        <f t="shared" ref="PU75" si="1460">MIN($C$80,PT75-PU55/6)</f>
        <v>50.8</v>
      </c>
      <c r="PV75" s="42">
        <f t="shared" ref="PV75" si="1461">MIN($C$80,PU75-PV55/6)</f>
        <v>50.8</v>
      </c>
      <c r="PW75" s="42">
        <f t="shared" ref="PW75" si="1462">MIN($C$80,PV75-PW55/6)</f>
        <v>50.8</v>
      </c>
      <c r="PX75" s="42">
        <f t="shared" ref="PX75" si="1463">MIN($C$80,PW75-PX55/6)</f>
        <v>50.8</v>
      </c>
      <c r="PY75" s="42">
        <f t="shared" ref="PY75" si="1464">MIN($C$80,PX75-PY55/6)</f>
        <v>50.8</v>
      </c>
      <c r="PZ75" s="42">
        <f t="shared" ref="PZ75" si="1465">MIN($C$80,PY75-PZ55/6)</f>
        <v>50.8</v>
      </c>
      <c r="QA75" s="42">
        <f t="shared" ref="QA75" si="1466">MIN($C$80,PZ75-QA55/6)</f>
        <v>50.8</v>
      </c>
      <c r="QB75" s="42">
        <f t="shared" ref="QB75" si="1467">MIN($C$80,QA75-QB55/6)</f>
        <v>50.8</v>
      </c>
      <c r="QC75" s="42">
        <f t="shared" ref="QC75" si="1468">MIN($C$80,QB75-QC55/6)</f>
        <v>50.8</v>
      </c>
      <c r="QD75" s="42">
        <f t="shared" ref="QD75" si="1469">MIN($C$80,QC75-QD55/6)</f>
        <v>50.8</v>
      </c>
      <c r="QE75" s="42">
        <f t="shared" ref="QE75" si="1470">MIN($C$80,QD75-QE55/6)</f>
        <v>50.8</v>
      </c>
      <c r="QF75" s="42">
        <f t="shared" ref="QF75" si="1471">MIN($C$80,QE75-QF55/6)</f>
        <v>50.8</v>
      </c>
      <c r="QG75" s="42">
        <f t="shared" ref="QG75" si="1472">MIN($C$80,QF75-QG55/6)</f>
        <v>50.8</v>
      </c>
      <c r="QH75" s="42">
        <f t="shared" ref="QH75" si="1473">MIN($C$80,QG75-QH55/6)</f>
        <v>50.8</v>
      </c>
      <c r="QI75" s="42">
        <f t="shared" ref="QI75" si="1474">MIN($C$80,QH75-QI55/6)</f>
        <v>50.8</v>
      </c>
      <c r="QJ75" s="42">
        <f t="shared" ref="QJ75" si="1475">MIN($C$80,QI75-QJ55/6)</f>
        <v>50.8</v>
      </c>
      <c r="QK75" s="42">
        <f t="shared" ref="QK75" si="1476">MIN($C$80,QJ75-QK55/6)</f>
        <v>50.8</v>
      </c>
      <c r="QL75" s="42">
        <f t="shared" ref="QL75" si="1477">MIN($C$80,QK75-QL55/6)</f>
        <v>48.910333333333334</v>
      </c>
      <c r="QM75" s="42">
        <f t="shared" ref="QM75" si="1478">MIN($C$80,QL75-QM55/6)</f>
        <v>47.020666666666671</v>
      </c>
      <c r="QN75" s="42">
        <f t="shared" ref="QN75" si="1479">MIN($C$80,QM75-QN55/6)</f>
        <v>45.131000000000007</v>
      </c>
      <c r="QO75" s="42">
        <f t="shared" ref="QO75" si="1480">MIN($C$80,QN75-QO55/6)</f>
        <v>43.241333333333344</v>
      </c>
      <c r="QP75" s="42">
        <f t="shared" ref="QP75" si="1481">MIN($C$80,QO75-QP55/6)</f>
        <v>45.231666666666676</v>
      </c>
      <c r="QQ75" s="42">
        <f t="shared" ref="QQ75" si="1482">MIN($C$80,QP75-QQ55/6)</f>
        <v>47.222000000000008</v>
      </c>
      <c r="QR75" s="42">
        <f t="shared" ref="QR75" si="1483">MIN($C$80,QQ75-QR55/6)</f>
        <v>49.212333333333341</v>
      </c>
      <c r="QS75" s="42">
        <f t="shared" ref="QS75" si="1484">MIN($C$80,QR75-QS55/6)</f>
        <v>50.8</v>
      </c>
      <c r="QT75" s="42">
        <f t="shared" ref="QT75" si="1485">MIN($C$80,QS75-QT55/6)</f>
        <v>50.8</v>
      </c>
      <c r="QU75" s="42">
        <f t="shared" ref="QU75" si="1486">MIN($C$80,QT75-QU55/6)</f>
        <v>50.8</v>
      </c>
      <c r="QV75" s="42">
        <f t="shared" ref="QV75" si="1487">MIN($C$80,QU75-QV55/6)</f>
        <v>50.8</v>
      </c>
      <c r="QW75" s="42">
        <f t="shared" ref="QW75" si="1488">MIN($C$80,QV75-QW55/6)</f>
        <v>50.8</v>
      </c>
      <c r="QX75" s="42">
        <f t="shared" ref="QX75" si="1489">MIN($C$80,QW75-QX55/6)</f>
        <v>50.8</v>
      </c>
      <c r="QY75" s="42">
        <f t="shared" ref="QY75" si="1490">MIN($C$80,QX75-QY55/6)</f>
        <v>50.8</v>
      </c>
      <c r="QZ75" s="42">
        <f t="shared" ref="QZ75" si="1491">MIN($C$80,QY75-QZ55/6)</f>
        <v>50.8</v>
      </c>
      <c r="RA75" s="42">
        <f t="shared" ref="RA75" si="1492">MIN($C$80,QZ75-RA55/6)</f>
        <v>50.8</v>
      </c>
      <c r="RB75" s="42">
        <f t="shared" ref="RB75" si="1493">MIN($C$80,RA75-RB55/6)</f>
        <v>50.8</v>
      </c>
      <c r="RC75" s="42">
        <f t="shared" ref="RC75" si="1494">MIN($C$80,RB75-RC55/6)</f>
        <v>50.8</v>
      </c>
      <c r="RD75" s="42">
        <f t="shared" ref="RD75" si="1495">MIN($C$80,RC75-RD55/6)</f>
        <v>50.8</v>
      </c>
      <c r="RE75" s="42">
        <f t="shared" ref="RE75" si="1496">MIN($C$80,RD75-RE55/6)</f>
        <v>50.8</v>
      </c>
      <c r="RF75" s="42">
        <f t="shared" ref="RF75" si="1497">MIN($C$80,RE75-RF55/6)</f>
        <v>50.8</v>
      </c>
      <c r="RG75" s="42">
        <f t="shared" ref="RG75" si="1498">MIN($C$80,RF75-RG55/6)</f>
        <v>50.8</v>
      </c>
      <c r="RH75" s="42">
        <f t="shared" ref="RH75" si="1499">MIN($C$80,RG75-RH55/6)</f>
        <v>50.8</v>
      </c>
      <c r="RI75" s="42">
        <f t="shared" ref="RI75" si="1500">MIN($C$80,RH75-RI55/6)</f>
        <v>50.8</v>
      </c>
      <c r="RJ75" s="42">
        <f t="shared" ref="RJ75" si="1501">MIN($C$80,RI75-RJ55/6)</f>
        <v>50.8</v>
      </c>
      <c r="RK75" s="42">
        <f t="shared" ref="RK75" si="1502">MIN($C$80,RJ75-RK55/6)</f>
        <v>50.8</v>
      </c>
      <c r="RL75" s="42">
        <f t="shared" ref="RL75" si="1503">MIN($C$80,RK75-RL55/6)</f>
        <v>50.8</v>
      </c>
      <c r="RM75" s="42">
        <f t="shared" ref="RM75" si="1504">MIN($C$80,RL75-RM55/6)</f>
        <v>50.8</v>
      </c>
      <c r="RN75" s="42">
        <f t="shared" ref="RN75" si="1505">MIN($C$80,RM75-RN55/6)</f>
        <v>50.8</v>
      </c>
      <c r="RO75" s="42">
        <f t="shared" ref="RO75" si="1506">MIN($C$80,RN75-RO55/6)</f>
        <v>50.8</v>
      </c>
      <c r="RP75" s="42">
        <f t="shared" ref="RP75" si="1507">MIN($C$80,RO75-RP55/6)</f>
        <v>50.8</v>
      </c>
      <c r="RQ75" s="42">
        <f t="shared" ref="RQ75" si="1508">MIN($C$80,RP75-RQ55/6)</f>
        <v>50.8</v>
      </c>
      <c r="RR75" s="42">
        <f t="shared" ref="RR75" si="1509">MIN($C$80,RQ75-RR55/6)</f>
        <v>50.8</v>
      </c>
      <c r="RS75" s="42">
        <f t="shared" ref="RS75" si="1510">MIN($C$80,RR75-RS55/6)</f>
        <v>50.8</v>
      </c>
      <c r="RT75" s="42">
        <f t="shared" ref="RT75" si="1511">MIN($C$80,RS75-RT55/6)</f>
        <v>50.8</v>
      </c>
      <c r="RU75" s="42">
        <f t="shared" ref="RU75" si="1512">MIN($C$80,RT75-RU55/6)</f>
        <v>50.8</v>
      </c>
      <c r="RV75" s="42">
        <f t="shared" ref="RV75" si="1513">MIN($C$80,RU75-RV55/6)</f>
        <v>50.8</v>
      </c>
      <c r="RW75" s="42">
        <f t="shared" ref="RW75" si="1514">MIN($C$80,RV75-RW55/6)</f>
        <v>50.8</v>
      </c>
      <c r="RX75" s="42">
        <f t="shared" ref="RX75" si="1515">MIN($C$80,RW75-RX55/6)</f>
        <v>50.8</v>
      </c>
      <c r="RY75" s="42">
        <f t="shared" ref="RY75" si="1516">MIN($C$80,RX75-RY55/6)</f>
        <v>50.8</v>
      </c>
      <c r="RZ75" s="42">
        <f t="shared" ref="RZ75" si="1517">MIN($C$80,RY75-RZ55/6)</f>
        <v>50.8</v>
      </c>
      <c r="SA75" s="42">
        <f t="shared" ref="SA75" si="1518">MIN($C$80,RZ75-SA55/6)</f>
        <v>50.8</v>
      </c>
      <c r="SB75" s="42">
        <f t="shared" ref="SB75" si="1519">MIN($C$80,SA75-SB55/6)</f>
        <v>50.8</v>
      </c>
      <c r="SC75" s="42">
        <f t="shared" ref="SC75" si="1520">MIN($C$80,SB75-SC55/6)</f>
        <v>50.8</v>
      </c>
      <c r="SD75" s="42">
        <f t="shared" ref="SD75" si="1521">MIN($C$80,SC75-SD55/6)</f>
        <v>50.8</v>
      </c>
      <c r="SE75" s="42">
        <f t="shared" ref="SE75" si="1522">MIN($C$80,SD75-SE55/6)</f>
        <v>50.8</v>
      </c>
      <c r="SF75" s="42">
        <f t="shared" ref="SF75" si="1523">MIN($C$80,SE75-SF55/6)</f>
        <v>50.8</v>
      </c>
      <c r="SG75" s="42">
        <f t="shared" ref="SG75" si="1524">MIN($C$80,SF75-SG55/6)</f>
        <v>50.8</v>
      </c>
      <c r="SH75" s="42">
        <f t="shared" ref="SH75" si="1525">MIN($C$80,SG75-SH55/6)</f>
        <v>50.8</v>
      </c>
      <c r="SI75" s="42">
        <f t="shared" ref="SI75" si="1526">MIN($C$80,SH75-SI55/6)</f>
        <v>50.8</v>
      </c>
      <c r="SJ75" s="42">
        <f t="shared" ref="SJ75" si="1527">MIN($C$80,SI75-SJ55/6)</f>
        <v>50.8</v>
      </c>
      <c r="SK75" s="42">
        <f t="shared" ref="SK75" si="1528">MIN($C$80,SJ75-SK55/6)</f>
        <v>50.8</v>
      </c>
      <c r="SL75" s="42">
        <f t="shared" ref="SL75" si="1529">MIN($C$80,SK75-SL55/6)</f>
        <v>50.8</v>
      </c>
      <c r="SM75" s="42">
        <f t="shared" ref="SM75" si="1530">MIN($C$80,SL75-SM55/6)</f>
        <v>50.8</v>
      </c>
      <c r="SN75" s="42">
        <f t="shared" ref="SN75" si="1531">MIN($C$80,SM75-SN55/6)</f>
        <v>50.8</v>
      </c>
      <c r="SO75" s="42">
        <f t="shared" ref="SO75" si="1532">MIN($C$80,SN75-SO55/6)</f>
        <v>50.8</v>
      </c>
      <c r="SP75" s="42">
        <f t="shared" ref="SP75" si="1533">MIN($C$80,SO75-SP55/6)</f>
        <v>50.8</v>
      </c>
      <c r="SQ75" s="42">
        <f t="shared" ref="SQ75" si="1534">MIN($C$80,SP75-SQ55/6)</f>
        <v>50.8</v>
      </c>
      <c r="SR75" s="42">
        <f t="shared" ref="SR75" si="1535">MIN($C$80,SQ75-SR55/6)</f>
        <v>50.8</v>
      </c>
      <c r="SS75" s="42">
        <f t="shared" ref="SS75" si="1536">MIN($C$80,SR75-SS55/6)</f>
        <v>50.8</v>
      </c>
      <c r="ST75" s="42">
        <f t="shared" ref="ST75" si="1537">MIN($C$80,SS75-ST55/6)</f>
        <v>50.8</v>
      </c>
      <c r="SU75" s="42">
        <f t="shared" ref="SU75" si="1538">MIN($C$80,ST75-SU55/6)</f>
        <v>50.8</v>
      </c>
      <c r="SV75" s="42">
        <f t="shared" ref="SV75" si="1539">MIN($C$80,SU75-SV55/6)</f>
        <v>50.8</v>
      </c>
      <c r="SW75" s="42">
        <f t="shared" ref="SW75" si="1540">MIN($C$80,SV75-SW55/6)</f>
        <v>50.8</v>
      </c>
      <c r="SX75" s="42">
        <f t="shared" ref="SX75" si="1541">MIN($C$80,SW75-SX55/6)</f>
        <v>50.8</v>
      </c>
      <c r="SY75" s="42">
        <f t="shared" ref="SY75" si="1542">MIN($C$80,SX75-SY55/6)</f>
        <v>50.8</v>
      </c>
      <c r="SZ75" s="42">
        <f t="shared" ref="SZ75" si="1543">MIN($C$80,SY75-SZ55/6)</f>
        <v>50.8</v>
      </c>
      <c r="TA75" s="42">
        <f t="shared" ref="TA75" si="1544">MIN($C$80,SZ75-TA55/6)</f>
        <v>50.8</v>
      </c>
      <c r="TB75" s="42">
        <f t="shared" ref="TB75" si="1545">MIN($C$80,TA75-TB55/6)</f>
        <v>50.8</v>
      </c>
      <c r="TC75" s="42">
        <f t="shared" ref="TC75" si="1546">MIN($C$80,TB75-TC55/6)</f>
        <v>50.8</v>
      </c>
      <c r="TD75" s="42">
        <f t="shared" ref="TD75" si="1547">MIN($C$80,TC75-TD55/6)</f>
        <v>50.8</v>
      </c>
      <c r="TE75" s="42">
        <f t="shared" ref="TE75" si="1548">MIN($C$80,TD75-TE55/6)</f>
        <v>50.8</v>
      </c>
      <c r="TF75" s="42">
        <f t="shared" ref="TF75" si="1549">MIN($C$80,TE75-TF55/6)</f>
        <v>48.893666666666661</v>
      </c>
      <c r="TG75" s="42">
        <f t="shared" ref="TG75" si="1550">MIN($C$80,TF75-TG55/6)</f>
        <v>47.003999999999998</v>
      </c>
      <c r="TH75" s="42">
        <f t="shared" ref="TH75" si="1551">MIN($C$80,TG75-TH55/6)</f>
        <v>45.114333333333335</v>
      </c>
      <c r="TI75" s="42">
        <f t="shared" ref="TI75" si="1552">MIN($C$80,TH75-TI55/6)</f>
        <v>43.224666666666671</v>
      </c>
      <c r="TJ75" s="42">
        <f t="shared" ref="TJ75" si="1553">MIN($C$80,TI75-TJ55/6)</f>
        <v>45.215000000000003</v>
      </c>
      <c r="TK75" s="42">
        <f t="shared" ref="TK75" si="1554">MIN($C$80,TJ75-TK55/6)</f>
        <v>47.205333333333336</v>
      </c>
      <c r="TL75" s="42">
        <f t="shared" ref="TL75" si="1555">MIN($C$80,TK75-TL55/6)</f>
        <v>49.195666666666668</v>
      </c>
      <c r="TM75" s="42">
        <f t="shared" ref="TM75" si="1556">MIN($C$80,TL75-TM55/6)</f>
        <v>50.8</v>
      </c>
      <c r="TN75" s="42">
        <f t="shared" ref="TN75" si="1557">MIN($C$80,TM75-TN55/6)</f>
        <v>50.8</v>
      </c>
      <c r="TO75" s="42">
        <f t="shared" ref="TO75" si="1558">MIN($C$80,TN75-TO55/6)</f>
        <v>50.8</v>
      </c>
      <c r="TP75" s="42">
        <f t="shared" ref="TP75" si="1559">MIN($C$80,TO75-TP55/6)</f>
        <v>50.8</v>
      </c>
      <c r="TQ75" s="42">
        <f t="shared" ref="TQ75" si="1560">MIN($C$80,TP75-TQ55/6)</f>
        <v>50.8</v>
      </c>
      <c r="TR75" s="42">
        <f t="shared" ref="TR75" si="1561">MIN($C$80,TQ75-TR55/6)</f>
        <v>50.8</v>
      </c>
      <c r="TS75" s="42">
        <f t="shared" ref="TS75" si="1562">MIN($C$80,TR75-TS55/6)</f>
        <v>50.8</v>
      </c>
      <c r="TT75" s="42">
        <f t="shared" ref="TT75" si="1563">MIN($C$80,TS75-TT55/6)</f>
        <v>50.8</v>
      </c>
      <c r="TU75" s="42">
        <f t="shared" ref="TU75" si="1564">MIN($C$80,TT75-TU55/6)</f>
        <v>50.8</v>
      </c>
      <c r="TV75" s="42">
        <f t="shared" ref="TV75" si="1565">MIN($C$80,TU75-TV55/6)</f>
        <v>50.8</v>
      </c>
      <c r="TW75" s="42">
        <f t="shared" ref="TW75" si="1566">MIN($C$80,TV75-TW55/6)</f>
        <v>50.8</v>
      </c>
      <c r="TX75" s="42">
        <f t="shared" ref="TX75" si="1567">MIN($C$80,TW75-TX55/6)</f>
        <v>50.8</v>
      </c>
      <c r="TY75" s="42">
        <f t="shared" ref="TY75" si="1568">MIN($C$80,TX75-TY55/6)</f>
        <v>50.8</v>
      </c>
      <c r="TZ75" s="42">
        <f t="shared" ref="TZ75" si="1569">MIN($C$80,TY75-TZ55/6)</f>
        <v>50.8</v>
      </c>
      <c r="UA75" s="42">
        <f t="shared" ref="UA75" si="1570">MIN($C$80,TZ75-UA55/6)</f>
        <v>50.8</v>
      </c>
      <c r="UB75" s="42">
        <f t="shared" ref="UB75" si="1571">MIN($C$80,UA75-UB55/6)</f>
        <v>50.8</v>
      </c>
      <c r="UC75" s="42">
        <f t="shared" ref="UC75" si="1572">MIN($C$80,UB75-UC55/6)</f>
        <v>50.8</v>
      </c>
      <c r="UD75" s="42">
        <f t="shared" ref="UD75" si="1573">MIN($C$80,UC75-UD55/6)</f>
        <v>50.8</v>
      </c>
      <c r="UE75" s="42">
        <f t="shared" ref="UE75" si="1574">MIN($C$80,UD75-UE55/6)</f>
        <v>50.8</v>
      </c>
      <c r="UF75" s="42">
        <f t="shared" ref="UF75" si="1575">MIN($C$80,UE75-UF55/6)</f>
        <v>50.8</v>
      </c>
      <c r="UG75" s="42">
        <f t="shared" ref="UG75" si="1576">MIN($C$80,UF75-UG55/6)</f>
        <v>50.8</v>
      </c>
      <c r="UH75" s="42">
        <f t="shared" ref="UH75" si="1577">MIN($C$80,UG75-UH55/6)</f>
        <v>50.8</v>
      </c>
      <c r="UI75" s="42">
        <f t="shared" ref="UI75" si="1578">MIN($C$80,UH75-UI55/6)</f>
        <v>50.8</v>
      </c>
      <c r="UJ75" s="42">
        <f t="shared" ref="UJ75" si="1579">MIN($C$80,UI75-UJ55/6)</f>
        <v>50.8</v>
      </c>
      <c r="UK75" s="42">
        <f t="shared" ref="UK75" si="1580">MIN($C$80,UJ75-UK55/6)</f>
        <v>50.8</v>
      </c>
      <c r="UL75" s="42">
        <f t="shared" ref="UL75" si="1581">MIN($C$80,UK75-UL55/6)</f>
        <v>50.8</v>
      </c>
      <c r="UM75" s="42">
        <f t="shared" ref="UM75" si="1582">MIN($C$80,UL75-UM55/6)</f>
        <v>50.8</v>
      </c>
      <c r="UN75" s="42">
        <f t="shared" ref="UN75" si="1583">MIN($C$80,UM75-UN55/6)</f>
        <v>50.8</v>
      </c>
      <c r="UO75" s="42">
        <f t="shared" ref="UO75" si="1584">MIN($C$80,UN75-UO55/6)</f>
        <v>50.8</v>
      </c>
      <c r="UP75" s="42">
        <f t="shared" ref="UP75" si="1585">MIN($C$80,UO75-UP55/6)</f>
        <v>50.8</v>
      </c>
      <c r="UQ75" s="42">
        <f t="shared" ref="UQ75" si="1586">MIN($C$80,UP75-UQ55/6)</f>
        <v>50.8</v>
      </c>
      <c r="UR75" s="42">
        <f t="shared" ref="UR75" si="1587">MIN($C$80,UQ75-UR55/6)</f>
        <v>50.8</v>
      </c>
      <c r="US75" s="42">
        <f t="shared" ref="US75" si="1588">MIN($C$80,UR75-US55/6)</f>
        <v>50.8</v>
      </c>
      <c r="UT75" s="42">
        <f t="shared" ref="UT75" si="1589">MIN($C$80,US75-UT55/6)</f>
        <v>50.8</v>
      </c>
      <c r="UU75" s="42">
        <f t="shared" ref="UU75" si="1590">MIN($C$80,UT75-UU55/6)</f>
        <v>50.8</v>
      </c>
      <c r="UV75" s="42">
        <f t="shared" ref="UV75" si="1591">MIN($C$80,UU75-UV55/6)</f>
        <v>50.8</v>
      </c>
      <c r="UW75" s="42">
        <f t="shared" ref="UW75" si="1592">MIN($C$80,UV75-UW55/6)</f>
        <v>50.8</v>
      </c>
      <c r="UX75" s="42">
        <f t="shared" ref="UX75" si="1593">MIN($C$80,UW75-UX55/6)</f>
        <v>50.8</v>
      </c>
      <c r="UY75" s="42">
        <f t="shared" ref="UY75" si="1594">MIN($C$80,UX75-UY55/6)</f>
        <v>50.8</v>
      </c>
      <c r="UZ75" s="42">
        <f t="shared" ref="UZ75" si="1595">MIN($C$80,UY75-UZ55/6)</f>
        <v>50.8</v>
      </c>
      <c r="VA75" s="42">
        <f t="shared" ref="VA75" si="1596">MIN($C$80,UZ75-VA55/6)</f>
        <v>50.8</v>
      </c>
      <c r="VB75" s="42">
        <f t="shared" ref="VB75" si="1597">MIN($C$80,VA75-VB55/6)</f>
        <v>50.8</v>
      </c>
      <c r="VC75" s="42">
        <f t="shared" ref="VC75" si="1598">MIN($C$80,VB75-VC55/6)</f>
        <v>50.8</v>
      </c>
      <c r="VD75" s="42">
        <f t="shared" ref="VD75" si="1599">MIN($C$80,VC75-VD55/6)</f>
        <v>50.8</v>
      </c>
      <c r="VE75" s="42">
        <f t="shared" ref="VE75" si="1600">MIN($C$80,VD75-VE55/6)</f>
        <v>50.8</v>
      </c>
      <c r="VF75" s="42">
        <f t="shared" ref="VF75" si="1601">MIN($C$80,VE75-VF55/6)</f>
        <v>50.8</v>
      </c>
      <c r="VG75" s="42">
        <f t="shared" ref="VG75" si="1602">MIN($C$80,VF75-VG55/6)</f>
        <v>50.8</v>
      </c>
      <c r="VH75" s="42">
        <f t="shared" ref="VH75" si="1603">MIN($C$80,VG75-VH55/6)</f>
        <v>50.8</v>
      </c>
      <c r="VI75" s="42">
        <f t="shared" ref="VI75" si="1604">MIN($C$80,VH75-VI55/6)</f>
        <v>50.8</v>
      </c>
      <c r="VJ75" s="42">
        <f t="shared" ref="VJ75" si="1605">MIN($C$80,VI75-VJ55/6)</f>
        <v>50.8</v>
      </c>
      <c r="VK75" s="42">
        <f t="shared" ref="VK75" si="1606">MIN($C$80,VJ75-VK55/6)</f>
        <v>50.8</v>
      </c>
      <c r="VL75" s="42">
        <f t="shared" ref="VL75" si="1607">MIN($C$80,VK75-VL55/6)</f>
        <v>50.8</v>
      </c>
      <c r="VM75" s="42">
        <f t="shared" ref="VM75" si="1608">MIN($C$80,VL75-VM55/6)</f>
        <v>50.8</v>
      </c>
      <c r="VN75" s="42">
        <f t="shared" ref="VN75" si="1609">MIN($C$80,VM75-VN55/6)</f>
        <v>50.8</v>
      </c>
      <c r="VO75" s="42">
        <f t="shared" ref="VO75" si="1610">MIN($C$80,VN75-VO55/6)</f>
        <v>50.8</v>
      </c>
      <c r="VP75" s="42">
        <f t="shared" ref="VP75" si="1611">MIN($C$80,VO75-VP55/6)</f>
        <v>50.8</v>
      </c>
      <c r="VQ75" s="42">
        <f t="shared" ref="VQ75" si="1612">MIN($C$80,VP75-VQ55/6)</f>
        <v>50.8</v>
      </c>
      <c r="VR75" s="42">
        <f t="shared" ref="VR75" si="1613">MIN($C$80,VQ75-VR55/6)</f>
        <v>50.8</v>
      </c>
      <c r="VS75" s="42">
        <f t="shared" ref="VS75" si="1614">MIN($C$80,VR75-VS55/6)</f>
        <v>50.8</v>
      </c>
      <c r="VT75" s="42">
        <f t="shared" ref="VT75" si="1615">MIN($C$80,VS75-VT55/6)</f>
        <v>50.8</v>
      </c>
      <c r="VU75" s="42">
        <f t="shared" ref="VU75" si="1616">MIN($C$80,VT75-VU55/6)</f>
        <v>50.8</v>
      </c>
      <c r="VV75" s="42">
        <f t="shared" ref="VV75" si="1617">MIN($C$80,VU75-VV55/6)</f>
        <v>50.8</v>
      </c>
      <c r="VW75" s="42">
        <f t="shared" ref="VW75" si="1618">MIN($C$80,VV75-VW55/6)</f>
        <v>50.8</v>
      </c>
      <c r="VX75" s="42">
        <f t="shared" ref="VX75" si="1619">MIN($C$80,VW75-VX55/6)</f>
        <v>50.8</v>
      </c>
      <c r="VY75" s="42">
        <f t="shared" ref="VY75" si="1620">MIN($C$80,VX75-VY55/6)</f>
        <v>50.8</v>
      </c>
      <c r="VZ75" s="42">
        <f t="shared" ref="VZ75" si="1621">MIN($C$80,VY75-VZ55/6)</f>
        <v>48.910333333333334</v>
      </c>
      <c r="WA75" s="42">
        <f t="shared" ref="WA75" si="1622">MIN($C$80,VZ75-WA55/6)</f>
        <v>47.020666666666671</v>
      </c>
      <c r="WB75" s="42">
        <f t="shared" ref="WB75" si="1623">MIN($C$80,WA75-WB55/6)</f>
        <v>45.131000000000007</v>
      </c>
      <c r="WC75" s="42">
        <f t="shared" ref="WC75" si="1624">MIN($C$80,WB75-WC55/6)</f>
        <v>43.241333333333344</v>
      </c>
      <c r="WD75" s="42">
        <f t="shared" ref="WD75" si="1625">MIN($C$80,WC75-WD55/6)</f>
        <v>45.231666666666676</v>
      </c>
      <c r="WE75" s="42">
        <f t="shared" ref="WE75" si="1626">MIN($C$80,WD75-WE55/6)</f>
        <v>47.222000000000008</v>
      </c>
      <c r="WF75" s="42">
        <f t="shared" ref="WF75" si="1627">MIN($C$80,WE75-WF55/6)</f>
        <v>49.212333333333341</v>
      </c>
      <c r="WG75" s="42">
        <f t="shared" ref="WG75" si="1628">MIN($C$80,WF75-WG55/6)</f>
        <v>50.8</v>
      </c>
      <c r="WH75" s="42">
        <f t="shared" ref="WH75" si="1629">MIN($C$80,WG75-WH55/6)</f>
        <v>50.8</v>
      </c>
      <c r="WI75" s="42">
        <f t="shared" ref="WI75" si="1630">MIN($C$80,WH75-WI55/6)</f>
        <v>50.8</v>
      </c>
      <c r="WJ75" s="42">
        <f t="shared" ref="WJ75" si="1631">MIN($C$80,WI75-WJ55/6)</f>
        <v>50.8</v>
      </c>
      <c r="WK75" s="42">
        <f t="shared" ref="WK75" si="1632">MIN($C$80,WJ75-WK55/6)</f>
        <v>50.8</v>
      </c>
      <c r="WL75" s="42">
        <f t="shared" ref="WL75" si="1633">MIN($C$80,WK75-WL55/6)</f>
        <v>50.8</v>
      </c>
      <c r="WM75" s="42">
        <f t="shared" ref="WM75" si="1634">MIN($C$80,WL75-WM55/6)</f>
        <v>50.8</v>
      </c>
      <c r="WN75" s="42">
        <f t="shared" ref="WN75" si="1635">MIN($C$80,WM75-WN55/6)</f>
        <v>50.8</v>
      </c>
      <c r="WO75" s="42">
        <f t="shared" ref="WO75" si="1636">MIN($C$80,WN75-WO55/6)</f>
        <v>50.8</v>
      </c>
      <c r="WP75" s="42">
        <f t="shared" ref="WP75" si="1637">MIN($C$80,WO75-WP55/6)</f>
        <v>50.8</v>
      </c>
      <c r="WQ75" s="42">
        <f t="shared" ref="WQ75" si="1638">MIN($C$80,WP75-WQ55/6)</f>
        <v>50.8</v>
      </c>
      <c r="WR75" s="42">
        <f t="shared" ref="WR75" si="1639">MIN($C$80,WQ75-WR55/6)</f>
        <v>50.8</v>
      </c>
      <c r="WS75" s="42">
        <f t="shared" ref="WS75" si="1640">MIN($C$80,WR75-WS55/6)</f>
        <v>50.8</v>
      </c>
      <c r="WT75" s="42">
        <f t="shared" ref="WT75" si="1641">MIN($C$80,WS75-WT55/6)</f>
        <v>50.8</v>
      </c>
      <c r="WU75" s="42">
        <f t="shared" ref="WU75" si="1642">MIN($C$80,WT75-WU55/6)</f>
        <v>50.8</v>
      </c>
      <c r="WV75" s="42">
        <f t="shared" ref="WV75" si="1643">MIN($C$80,WU75-WV55/6)</f>
        <v>50.8</v>
      </c>
      <c r="WW75" s="42">
        <f t="shared" ref="WW75" si="1644">MIN($C$80,WV75-WW55/6)</f>
        <v>50.8</v>
      </c>
      <c r="WX75" s="42">
        <f t="shared" ref="WX75" si="1645">MIN($C$80,WW75-WX55/6)</f>
        <v>50.8</v>
      </c>
      <c r="WY75" s="42">
        <f t="shared" ref="WY75" si="1646">MIN($C$80,WX75-WY55/6)</f>
        <v>50.8</v>
      </c>
      <c r="WZ75" s="42">
        <f t="shared" ref="WZ75" si="1647">MIN($C$80,WY75-WZ55/6)</f>
        <v>50.8</v>
      </c>
      <c r="XA75" s="42">
        <f t="shared" ref="XA75" si="1648">MIN($C$80,WZ75-XA55/6)</f>
        <v>50.8</v>
      </c>
      <c r="XB75" s="42">
        <f t="shared" ref="XB75" si="1649">MIN($C$80,XA75-XB55/6)</f>
        <v>50.8</v>
      </c>
      <c r="XC75" s="42">
        <f t="shared" ref="XC75" si="1650">MIN($C$80,XB75-XC55/6)</f>
        <v>50.8</v>
      </c>
      <c r="XD75" s="42">
        <f t="shared" ref="XD75" si="1651">MIN($C$80,XC75-XD55/6)</f>
        <v>50.8</v>
      </c>
      <c r="XE75" s="42">
        <f t="shared" ref="XE75" si="1652">MIN($C$80,XD75-XE55/6)</f>
        <v>50.8</v>
      </c>
      <c r="XF75" s="42">
        <f t="shared" ref="XF75" si="1653">MIN($C$80,XE75-XF55/6)</f>
        <v>50.8</v>
      </c>
      <c r="XG75" s="42">
        <f t="shared" ref="XG75" si="1654">MIN($C$80,XF75-XG55/6)</f>
        <v>50.8</v>
      </c>
      <c r="XH75" s="42">
        <f t="shared" ref="XH75" si="1655">MIN($C$80,XG75-XH55/6)</f>
        <v>50.8</v>
      </c>
      <c r="XI75" s="42">
        <f t="shared" ref="XI75" si="1656">MIN($C$80,XH75-XI55/6)</f>
        <v>50.8</v>
      </c>
      <c r="XJ75" s="42">
        <f t="shared" ref="XJ75" si="1657">MIN($C$80,XI75-XJ55/6)</f>
        <v>50.8</v>
      </c>
      <c r="XK75" s="42">
        <f t="shared" ref="XK75" si="1658">MIN($C$80,XJ75-XK55/6)</f>
        <v>50.8</v>
      </c>
      <c r="XL75" s="42">
        <f t="shared" ref="XL75" si="1659">MIN($C$80,XK75-XL55/6)</f>
        <v>50.8</v>
      </c>
      <c r="XM75" s="42">
        <f t="shared" ref="XM75" si="1660">MIN($C$80,XL75-XM55/6)</f>
        <v>50.8</v>
      </c>
      <c r="XN75" s="42">
        <f t="shared" ref="XN75" si="1661">MIN($C$80,XM75-XN55/6)</f>
        <v>50.8</v>
      </c>
      <c r="XO75" s="42">
        <f t="shared" ref="XO75" si="1662">MIN($C$80,XN75-XO55/6)</f>
        <v>50.8</v>
      </c>
      <c r="XP75" s="42">
        <f t="shared" ref="XP75" si="1663">MIN($C$80,XO75-XP55/6)</f>
        <v>50.8</v>
      </c>
      <c r="XQ75" s="42">
        <f t="shared" ref="XQ75" si="1664">MIN($C$80,XP75-XQ55/6)</f>
        <v>50.8</v>
      </c>
      <c r="XR75" s="42">
        <f t="shared" ref="XR75" si="1665">MIN($C$80,XQ75-XR55/6)</f>
        <v>50.8</v>
      </c>
      <c r="XS75" s="42">
        <f t="shared" ref="XS75" si="1666">MIN($C$80,XR75-XS55/6)</f>
        <v>50.8</v>
      </c>
      <c r="XT75" s="42">
        <f t="shared" ref="XT75" si="1667">MIN($C$80,XS75-XT55/6)</f>
        <v>50.8</v>
      </c>
      <c r="XU75" s="42">
        <f t="shared" ref="XU75" si="1668">MIN($C$80,XT75-XU55/6)</f>
        <v>50.8</v>
      </c>
      <c r="XV75" s="42">
        <f t="shared" ref="XV75" si="1669">MIN($C$80,XU75-XV55/6)</f>
        <v>50.8</v>
      </c>
      <c r="XW75" s="42">
        <f t="shared" ref="XW75" si="1670">MIN($C$80,XV75-XW55/6)</f>
        <v>50.8</v>
      </c>
      <c r="XX75" s="42">
        <f t="shared" ref="XX75" si="1671">MIN($C$80,XW75-XX55/6)</f>
        <v>50.8</v>
      </c>
      <c r="XY75" s="42">
        <f t="shared" ref="XY75" si="1672">MIN($C$80,XX75-XY55/6)</f>
        <v>50.8</v>
      </c>
      <c r="XZ75" s="42">
        <f t="shared" ref="XZ75" si="1673">MIN($C$80,XY75-XZ55/6)</f>
        <v>50.8</v>
      </c>
      <c r="YA75" s="42">
        <f t="shared" ref="YA75" si="1674">MIN($C$80,XZ75-YA55/6)</f>
        <v>50.8</v>
      </c>
      <c r="YB75" s="42">
        <f t="shared" ref="YB75" si="1675">MIN($C$80,YA75-YB55/6)</f>
        <v>50.8</v>
      </c>
      <c r="YC75" s="42">
        <f t="shared" ref="YC75" si="1676">MIN($C$80,YB75-YC55/6)</f>
        <v>50.8</v>
      </c>
      <c r="YD75" s="42">
        <f t="shared" ref="YD75" si="1677">MIN($C$80,YC75-YD55/6)</f>
        <v>50.8</v>
      </c>
      <c r="YE75" s="42">
        <f t="shared" ref="YE75" si="1678">MIN($C$80,YD75-YE55/6)</f>
        <v>50.8</v>
      </c>
      <c r="YF75" s="42">
        <f t="shared" ref="YF75" si="1679">MIN($C$80,YE75-YF55/6)</f>
        <v>50.8</v>
      </c>
      <c r="YG75" s="42">
        <f t="shared" ref="YG75" si="1680">MIN($C$80,YF75-YG55/6)</f>
        <v>50.8</v>
      </c>
      <c r="YH75" s="42">
        <f t="shared" ref="YH75" si="1681">MIN($C$80,YG75-YH55/6)</f>
        <v>50.8</v>
      </c>
      <c r="YI75" s="42">
        <f t="shared" ref="YI75" si="1682">MIN($C$80,YH75-YI55/6)</f>
        <v>50.8</v>
      </c>
      <c r="YJ75" s="42">
        <f t="shared" ref="YJ75" si="1683">MIN($C$80,YI75-YJ55/6)</f>
        <v>50.8</v>
      </c>
      <c r="YK75" s="42">
        <f t="shared" ref="YK75" si="1684">MIN($C$80,YJ75-YK55/6)</f>
        <v>50.8</v>
      </c>
      <c r="YL75" s="42">
        <f t="shared" ref="YL75" si="1685">MIN($C$80,YK75-YL55/6)</f>
        <v>50.8</v>
      </c>
      <c r="YM75" s="42">
        <f t="shared" ref="YM75" si="1686">MIN($C$80,YL75-YM55/6)</f>
        <v>50.8</v>
      </c>
      <c r="YN75" s="42">
        <f t="shared" ref="YN75" si="1687">MIN($C$80,YM75-YN55/6)</f>
        <v>50.8</v>
      </c>
      <c r="YO75" s="42">
        <f t="shared" ref="YO75" si="1688">MIN($C$80,YN75-YO55/6)</f>
        <v>50.8</v>
      </c>
      <c r="YP75" s="42">
        <f t="shared" ref="YP75" si="1689">MIN($C$80,YO75-YP55/6)</f>
        <v>50.8</v>
      </c>
      <c r="YQ75" s="42">
        <f t="shared" ref="YQ75" si="1690">MIN($C$80,YP75-YQ55/6)</f>
        <v>50.8</v>
      </c>
      <c r="YR75" s="42">
        <f t="shared" ref="YR75" si="1691">MIN($C$80,YQ75-YR55/6)</f>
        <v>50.8</v>
      </c>
      <c r="YS75" s="42">
        <f t="shared" ref="YS75" si="1692">MIN($C$80,YR75-YS55/6)</f>
        <v>50.8</v>
      </c>
      <c r="YT75" s="42">
        <f t="shared" ref="YT75" si="1693">MIN($C$80,YS75-YT55/6)</f>
        <v>48.893666666666661</v>
      </c>
      <c r="YU75" s="42">
        <f t="shared" ref="YU75" si="1694">MIN($C$80,YT75-YU55/6)</f>
        <v>47.003999999999998</v>
      </c>
      <c r="YV75" s="42">
        <f t="shared" ref="YV75" si="1695">MIN($C$80,YU75-YV55/6)</f>
        <v>45.114333333333335</v>
      </c>
      <c r="YW75" s="42">
        <f t="shared" ref="YW75" si="1696">MIN($C$80,YV75-YW55/6)</f>
        <v>43.224666666666671</v>
      </c>
      <c r="YX75" s="42">
        <f t="shared" ref="YX75" si="1697">MIN($C$80,YW75-YX55/6)</f>
        <v>45.215000000000003</v>
      </c>
      <c r="YY75" s="42">
        <f t="shared" ref="YY75" si="1698">MIN($C$80,YX75-YY55/6)</f>
        <v>47.205333333333336</v>
      </c>
      <c r="YZ75" s="42">
        <f t="shared" ref="YZ75" si="1699">MIN($C$80,YY75-YZ55/6)</f>
        <v>49.195666666666668</v>
      </c>
      <c r="ZA75" s="42">
        <f t="shared" ref="ZA75" si="1700">MIN($C$80,YZ75-ZA55/6)</f>
        <v>50.8</v>
      </c>
      <c r="ZB75" s="42">
        <f t="shared" ref="ZB75" si="1701">MIN($C$80,ZA75-ZB55/6)</f>
        <v>50.8</v>
      </c>
      <c r="ZC75" s="42">
        <f t="shared" ref="ZC75" si="1702">MIN($C$80,ZB75-ZC55/6)</f>
        <v>50.8</v>
      </c>
      <c r="ZD75" s="42">
        <f t="shared" ref="ZD75" si="1703">MIN($C$80,ZC75-ZD55/6)</f>
        <v>50.8</v>
      </c>
      <c r="ZE75" s="42">
        <f t="shared" ref="ZE75" si="1704">MIN($C$80,ZD75-ZE55/6)</f>
        <v>50.8</v>
      </c>
      <c r="ZF75" s="42">
        <f t="shared" ref="ZF75" si="1705">MIN($C$80,ZE75-ZF55/6)</f>
        <v>50.8</v>
      </c>
      <c r="ZG75" s="42">
        <f t="shared" ref="ZG75" si="1706">MIN($C$80,ZF75-ZG55/6)</f>
        <v>50.8</v>
      </c>
      <c r="ZH75" s="42">
        <f t="shared" ref="ZH75" si="1707">MIN($C$80,ZG75-ZH55/6)</f>
        <v>50.8</v>
      </c>
      <c r="ZI75" s="42">
        <f t="shared" ref="ZI75" si="1708">MIN($C$80,ZH75-ZI55/6)</f>
        <v>50.8</v>
      </c>
      <c r="ZJ75" s="42">
        <f t="shared" ref="ZJ75" si="1709">MIN($C$80,ZI75-ZJ55/6)</f>
        <v>50.8</v>
      </c>
      <c r="ZK75" s="42">
        <f t="shared" ref="ZK75" si="1710">MIN($C$80,ZJ75-ZK55/6)</f>
        <v>50.8</v>
      </c>
      <c r="ZL75" s="42">
        <f t="shared" ref="ZL75" si="1711">MIN($C$80,ZK75-ZL55/6)</f>
        <v>50.8</v>
      </c>
      <c r="ZM75" s="42">
        <f t="shared" ref="ZM75" si="1712">MIN($C$80,ZL75-ZM55/6)</f>
        <v>50.8</v>
      </c>
      <c r="ZN75" s="42">
        <f t="shared" ref="ZN75" si="1713">MIN($C$80,ZM75-ZN55/6)</f>
        <v>50.8</v>
      </c>
      <c r="ZO75" s="42">
        <f t="shared" ref="ZO75" si="1714">MIN($C$80,ZN75-ZO55/6)</f>
        <v>50.8</v>
      </c>
      <c r="ZP75" s="42">
        <f t="shared" ref="ZP75" si="1715">MIN($C$80,ZO75-ZP55/6)</f>
        <v>50.8</v>
      </c>
      <c r="ZQ75" s="42">
        <f t="shared" ref="ZQ75" si="1716">MIN($C$80,ZP75-ZQ55/6)</f>
        <v>50.8</v>
      </c>
      <c r="ZR75" s="42">
        <f t="shared" ref="ZR75" si="1717">MIN($C$80,ZQ75-ZR55/6)</f>
        <v>50.8</v>
      </c>
      <c r="ZS75" s="42">
        <f t="shared" ref="ZS75" si="1718">MIN($C$80,ZR75-ZS55/6)</f>
        <v>50.8</v>
      </c>
      <c r="ZT75" s="42">
        <f t="shared" ref="ZT75" si="1719">MIN($C$80,ZS75-ZT55/6)</f>
        <v>50.8</v>
      </c>
      <c r="ZU75" s="42">
        <f t="shared" ref="ZU75" si="1720">MIN($C$80,ZT75-ZU55/6)</f>
        <v>50.8</v>
      </c>
      <c r="ZV75" s="42">
        <f t="shared" ref="ZV75" si="1721">MIN($C$80,ZU75-ZV55/6)</f>
        <v>50.8</v>
      </c>
      <c r="ZW75" s="42">
        <f t="shared" ref="ZW75" si="1722">MIN($C$80,ZV75-ZW55/6)</f>
        <v>50.8</v>
      </c>
      <c r="ZX75" s="42">
        <f t="shared" ref="ZX75" si="1723">MIN($C$80,ZW75-ZX55/6)</f>
        <v>50.8</v>
      </c>
      <c r="ZY75" s="42">
        <f t="shared" ref="ZY75" si="1724">MIN($C$80,ZX75-ZY55/6)</f>
        <v>50.8</v>
      </c>
      <c r="ZZ75" s="42">
        <f t="shared" ref="ZZ75" si="1725">MIN($C$80,ZY75-ZZ55/6)</f>
        <v>50.8</v>
      </c>
      <c r="AAA75" s="42">
        <f t="shared" ref="AAA75" si="1726">MIN($C$80,ZZ75-AAA55/6)</f>
        <v>50.8</v>
      </c>
      <c r="AAB75" s="42">
        <f t="shared" ref="AAB75" si="1727">MIN($C$80,AAA75-AAB55/6)</f>
        <v>50.8</v>
      </c>
      <c r="AAC75" s="42">
        <f t="shared" ref="AAC75" si="1728">MIN($C$80,AAB75-AAC55/6)</f>
        <v>50.8</v>
      </c>
      <c r="AAD75" s="42">
        <f t="shared" ref="AAD75" si="1729">MIN($C$80,AAC75-AAD55/6)</f>
        <v>50.8</v>
      </c>
      <c r="AAE75" s="42">
        <f t="shared" ref="AAE75" si="1730">MIN($C$80,AAD75-AAE55/6)</f>
        <v>50.8</v>
      </c>
      <c r="AAF75" s="42">
        <f t="shared" ref="AAF75" si="1731">MIN($C$80,AAE75-AAF55/6)</f>
        <v>50.8</v>
      </c>
      <c r="AAG75" s="42">
        <f t="shared" ref="AAG75" si="1732">MIN($C$80,AAF75-AAG55/6)</f>
        <v>50.8</v>
      </c>
      <c r="AAH75" s="42">
        <f t="shared" ref="AAH75" si="1733">MIN($C$80,AAG75-AAH55/6)</f>
        <v>50.8</v>
      </c>
      <c r="AAI75" s="42">
        <f t="shared" ref="AAI75" si="1734">MIN($C$80,AAH75-AAI55/6)</f>
        <v>50.8</v>
      </c>
      <c r="AAJ75" s="42">
        <f t="shared" ref="AAJ75" si="1735">MIN($C$80,AAI75-AAJ55/6)</f>
        <v>50.8</v>
      </c>
      <c r="AAK75" s="42">
        <f t="shared" ref="AAK75" si="1736">MIN($C$80,AAJ75-AAK55/6)</f>
        <v>50.8</v>
      </c>
      <c r="AAL75" s="42">
        <f t="shared" ref="AAL75" si="1737">MIN($C$80,AAK75-AAL55/6)</f>
        <v>50.8</v>
      </c>
      <c r="AAM75" s="42">
        <f t="shared" ref="AAM75" si="1738">MIN($C$80,AAL75-AAM55/6)</f>
        <v>50.8</v>
      </c>
      <c r="AAN75" s="42">
        <f t="shared" ref="AAN75" si="1739">MIN($C$80,AAM75-AAN55/6)</f>
        <v>50.8</v>
      </c>
      <c r="AAO75" s="42">
        <f t="shared" ref="AAO75" si="1740">MIN($C$80,AAN75-AAO55/6)</f>
        <v>50.8</v>
      </c>
      <c r="AAP75" s="42">
        <f t="shared" ref="AAP75" si="1741">MIN($C$80,AAO75-AAP55/6)</f>
        <v>50.8</v>
      </c>
      <c r="AAQ75" s="42">
        <f t="shared" ref="AAQ75" si="1742">MIN($C$80,AAP75-AAQ55/6)</f>
        <v>50.8</v>
      </c>
      <c r="AAR75" s="42">
        <f t="shared" ref="AAR75" si="1743">MIN($C$80,AAQ75-AAR55/6)</f>
        <v>50.8</v>
      </c>
      <c r="AAS75" s="42">
        <f t="shared" ref="AAS75" si="1744">MIN($C$80,AAR75-AAS55/6)</f>
        <v>50.8</v>
      </c>
      <c r="AAT75" s="42">
        <f t="shared" ref="AAT75" si="1745">MIN($C$80,AAS75-AAT55/6)</f>
        <v>50.8</v>
      </c>
      <c r="AAU75" s="42">
        <f t="shared" ref="AAU75" si="1746">MIN($C$80,AAT75-AAU55/6)</f>
        <v>50.8</v>
      </c>
      <c r="AAV75" s="42">
        <f t="shared" ref="AAV75" si="1747">MIN($C$80,AAU75-AAV55/6)</f>
        <v>50.8</v>
      </c>
      <c r="AAW75" s="42">
        <f t="shared" ref="AAW75" si="1748">MIN($C$80,AAV75-AAW55/6)</f>
        <v>50.8</v>
      </c>
      <c r="AAX75" s="42">
        <f t="shared" ref="AAX75" si="1749">MIN($C$80,AAW75-AAX55/6)</f>
        <v>50.8</v>
      </c>
      <c r="AAY75" s="42">
        <f t="shared" ref="AAY75" si="1750">MIN($C$80,AAX75-AAY55/6)</f>
        <v>50.8</v>
      </c>
      <c r="AAZ75" s="42">
        <f t="shared" ref="AAZ75" si="1751">MIN($C$80,AAY75-AAZ55/6)</f>
        <v>50.8</v>
      </c>
      <c r="ABA75" s="42">
        <f t="shared" ref="ABA75" si="1752">MIN($C$80,AAZ75-ABA55/6)</f>
        <v>50.8</v>
      </c>
      <c r="ABB75" s="42">
        <f t="shared" ref="ABB75" si="1753">MIN($C$80,ABA75-ABB55/6)</f>
        <v>50.8</v>
      </c>
      <c r="ABC75" s="42">
        <f t="shared" ref="ABC75" si="1754">MIN($C$80,ABB75-ABC55/6)</f>
        <v>50.8</v>
      </c>
      <c r="ABD75" s="42">
        <f t="shared" ref="ABD75" si="1755">MIN($C$80,ABC75-ABD55/6)</f>
        <v>50.8</v>
      </c>
      <c r="ABE75" s="42">
        <f t="shared" ref="ABE75" si="1756">MIN($C$80,ABD75-ABE55/6)</f>
        <v>50.8</v>
      </c>
      <c r="ABF75" s="42">
        <f t="shared" ref="ABF75" si="1757">MIN($C$80,ABE75-ABF55/6)</f>
        <v>50.8</v>
      </c>
      <c r="ABG75" s="42">
        <f t="shared" ref="ABG75" si="1758">MIN($C$80,ABF75-ABG55/6)</f>
        <v>50.8</v>
      </c>
      <c r="ABH75" s="42">
        <f t="shared" ref="ABH75" si="1759">MIN($C$80,ABG75-ABH55/6)</f>
        <v>50.8</v>
      </c>
      <c r="ABI75" s="42">
        <f t="shared" ref="ABI75" si="1760">MIN($C$80,ABH75-ABI55/6)</f>
        <v>50.8</v>
      </c>
      <c r="ABJ75" s="42">
        <f t="shared" ref="ABJ75" si="1761">MIN($C$80,ABI75-ABJ55/6)</f>
        <v>50.8</v>
      </c>
      <c r="ABK75" s="42">
        <f t="shared" ref="ABK75" si="1762">MIN($C$80,ABJ75-ABK55/6)</f>
        <v>50.8</v>
      </c>
      <c r="ABL75" s="42">
        <f t="shared" ref="ABL75" si="1763">MIN($C$80,ABK75-ABL55/6)</f>
        <v>50.8</v>
      </c>
      <c r="ABM75" s="42">
        <f t="shared" ref="ABM75" si="1764">MIN($C$80,ABL75-ABM55/6)</f>
        <v>50.8</v>
      </c>
      <c r="ABN75" s="42">
        <f t="shared" ref="ABN75" si="1765">MIN($C$80,ABM75-ABN55/6)</f>
        <v>48.910333333333334</v>
      </c>
      <c r="ABO75" s="42">
        <f t="shared" ref="ABO75" si="1766">MIN($C$80,ABN75-ABO55/6)</f>
        <v>47.020666666666671</v>
      </c>
      <c r="ABP75" s="42">
        <f t="shared" ref="ABP75" si="1767">MIN($C$80,ABO75-ABP55/6)</f>
        <v>45.131000000000007</v>
      </c>
      <c r="ABQ75" s="42">
        <f t="shared" ref="ABQ75" si="1768">MIN($C$80,ABP75-ABQ55/6)</f>
        <v>43.241333333333344</v>
      </c>
      <c r="ABR75" s="42">
        <f t="shared" ref="ABR75" si="1769">MIN($C$80,ABQ75-ABR55/6)</f>
        <v>45.231666666666676</v>
      </c>
      <c r="ABS75" s="42">
        <f t="shared" ref="ABS75" si="1770">MIN($C$80,ABR75-ABS55/6)</f>
        <v>47.222000000000008</v>
      </c>
      <c r="ABT75" s="42">
        <f t="shared" ref="ABT75" si="1771">MIN($C$80,ABS75-ABT55/6)</f>
        <v>49.212333333333341</v>
      </c>
      <c r="ABU75" s="42">
        <f t="shared" ref="ABU75" si="1772">MIN($C$80,ABT75-ABU55/6)</f>
        <v>50.8</v>
      </c>
      <c r="ABV75" s="42">
        <f t="shared" ref="ABV75" si="1773">MIN($C$80,ABU75-ABV55/6)</f>
        <v>50.8</v>
      </c>
      <c r="ABW75" s="42">
        <f t="shared" ref="ABW75" si="1774">MIN($C$80,ABV75-ABW55/6)</f>
        <v>50.8</v>
      </c>
      <c r="ABX75" s="42">
        <f t="shared" ref="ABX75" si="1775">MIN($C$80,ABW75-ABX55/6)</f>
        <v>50.8</v>
      </c>
      <c r="ABY75" s="42">
        <f t="shared" ref="ABY75" si="1776">MIN($C$80,ABX75-ABY55/6)</f>
        <v>50.8</v>
      </c>
      <c r="ABZ75" s="42">
        <f t="shared" ref="ABZ75" si="1777">MIN($C$80,ABY75-ABZ55/6)</f>
        <v>50.8</v>
      </c>
      <c r="ACA75" s="42">
        <f t="shared" ref="ACA75" si="1778">MIN($C$80,ABZ75-ACA55/6)</f>
        <v>50.8</v>
      </c>
      <c r="ACB75" s="42">
        <f t="shared" ref="ACB75" si="1779">MIN($C$80,ACA75-ACB55/6)</f>
        <v>50.8</v>
      </c>
      <c r="ACC75" s="42">
        <f t="shared" ref="ACC75" si="1780">MIN($C$80,ACB75-ACC55/6)</f>
        <v>50.8</v>
      </c>
      <c r="ACD75" s="42">
        <f t="shared" ref="ACD75" si="1781">MIN($C$80,ACC75-ACD55/6)</f>
        <v>50.8</v>
      </c>
      <c r="ACE75" s="42">
        <f t="shared" ref="ACE75" si="1782">MIN($C$80,ACD75-ACE55/6)</f>
        <v>50.8</v>
      </c>
      <c r="ACF75" s="42">
        <f t="shared" ref="ACF75" si="1783">MIN($C$80,ACE75-ACF55/6)</f>
        <v>50.8</v>
      </c>
      <c r="ACG75" s="42">
        <f t="shared" ref="ACG75" si="1784">MIN($C$80,ACF75-ACG55/6)</f>
        <v>50.8</v>
      </c>
      <c r="ACH75" s="42">
        <f t="shared" ref="ACH75" si="1785">MIN($C$80,ACG75-ACH55/6)</f>
        <v>50.8</v>
      </c>
      <c r="ACI75" s="42">
        <f t="shared" ref="ACI75" si="1786">MIN($C$80,ACH75-ACI55/6)</f>
        <v>50.8</v>
      </c>
      <c r="ACJ75" s="42">
        <f t="shared" ref="ACJ75" si="1787">MIN($C$80,ACI75-ACJ55/6)</f>
        <v>50.8</v>
      </c>
      <c r="ACK75" s="42">
        <f t="shared" ref="ACK75" si="1788">MIN($C$80,ACJ75-ACK55/6)</f>
        <v>50.8</v>
      </c>
      <c r="ACL75" s="42">
        <f t="shared" ref="ACL75" si="1789">MIN($C$80,ACK75-ACL55/6)</f>
        <v>50.8</v>
      </c>
      <c r="ACM75" s="42">
        <f t="shared" ref="ACM75" si="1790">MIN($C$80,ACL75-ACM55/6)</f>
        <v>50.8</v>
      </c>
      <c r="ACN75" s="42">
        <f t="shared" ref="ACN75" si="1791">MIN($C$80,ACM75-ACN55/6)</f>
        <v>50.8</v>
      </c>
      <c r="ACO75" s="42">
        <f t="shared" ref="ACO75" si="1792">MIN($C$80,ACN75-ACO55/6)</f>
        <v>50.8</v>
      </c>
      <c r="ACP75" s="42">
        <f t="shared" ref="ACP75" si="1793">MIN($C$80,ACO75-ACP55/6)</f>
        <v>50.8</v>
      </c>
      <c r="ACQ75" s="42">
        <f t="shared" ref="ACQ75" si="1794">MIN($C$80,ACP75-ACQ55/6)</f>
        <v>50.8</v>
      </c>
      <c r="ACR75" s="42">
        <f t="shared" ref="ACR75" si="1795">MIN($C$80,ACQ75-ACR55/6)</f>
        <v>50.8</v>
      </c>
      <c r="ACS75" s="42">
        <f t="shared" ref="ACS75" si="1796">MIN($C$80,ACR75-ACS55/6)</f>
        <v>50.8</v>
      </c>
      <c r="ACT75" s="42">
        <f t="shared" ref="ACT75" si="1797">MIN($C$80,ACS75-ACT55/6)</f>
        <v>50.8</v>
      </c>
      <c r="ACU75" s="42">
        <f t="shared" ref="ACU75" si="1798">MIN($C$80,ACT75-ACU55/6)</f>
        <v>50.8</v>
      </c>
      <c r="ACV75" s="42">
        <f t="shared" ref="ACV75" si="1799">MIN($C$80,ACU75-ACV55/6)</f>
        <v>50.8</v>
      </c>
      <c r="ACW75" s="42">
        <f t="shared" ref="ACW75" si="1800">MIN($C$80,ACV75-ACW55/6)</f>
        <v>50.8</v>
      </c>
      <c r="ACX75" s="42">
        <f t="shared" ref="ACX75" si="1801">MIN($C$80,ACW75-ACX55/6)</f>
        <v>50.8</v>
      </c>
      <c r="ACY75" s="42">
        <f t="shared" ref="ACY75" si="1802">MIN($C$80,ACX75-ACY55/6)</f>
        <v>50.8</v>
      </c>
      <c r="ACZ75" s="42">
        <f t="shared" ref="ACZ75" si="1803">MIN($C$80,ACY75-ACZ55/6)</f>
        <v>50.8</v>
      </c>
      <c r="ADA75" s="42">
        <f t="shared" ref="ADA75" si="1804">MIN($C$80,ACZ75-ADA55/6)</f>
        <v>50.8</v>
      </c>
      <c r="ADB75" s="42">
        <f t="shared" ref="ADB75" si="1805">MIN($C$80,ADA75-ADB55/6)</f>
        <v>50.8</v>
      </c>
      <c r="ADC75" s="42">
        <f t="shared" ref="ADC75" si="1806">MIN($C$80,ADB75-ADC55/6)</f>
        <v>50.8</v>
      </c>
      <c r="ADD75" s="42">
        <f t="shared" ref="ADD75" si="1807">MIN($C$80,ADC75-ADD55/6)</f>
        <v>50.8</v>
      </c>
      <c r="ADE75" s="42">
        <f t="shared" ref="ADE75" si="1808">MIN($C$80,ADD75-ADE55/6)</f>
        <v>50.8</v>
      </c>
      <c r="ADF75" s="42">
        <f t="shared" ref="ADF75" si="1809">MIN($C$80,ADE75-ADF55/6)</f>
        <v>50.8</v>
      </c>
      <c r="ADG75" s="42">
        <f t="shared" ref="ADG75" si="1810">MIN($C$80,ADF75-ADG55/6)</f>
        <v>50.8</v>
      </c>
      <c r="ADH75" s="42">
        <f t="shared" ref="ADH75" si="1811">MIN($C$80,ADG75-ADH55/6)</f>
        <v>50.8</v>
      </c>
      <c r="ADI75" s="42">
        <f t="shared" ref="ADI75" si="1812">MIN($C$80,ADH75-ADI55/6)</f>
        <v>50.8</v>
      </c>
      <c r="ADJ75" s="42">
        <f t="shared" ref="ADJ75" si="1813">MIN($C$80,ADI75-ADJ55/6)</f>
        <v>50.8</v>
      </c>
      <c r="ADK75" s="42">
        <f t="shared" ref="ADK75" si="1814">MIN($C$80,ADJ75-ADK55/6)</f>
        <v>50.8</v>
      </c>
      <c r="ADL75" s="42">
        <f t="shared" ref="ADL75" si="1815">MIN($C$80,ADK75-ADL55/6)</f>
        <v>50.8</v>
      </c>
      <c r="ADM75" s="42">
        <f t="shared" ref="ADM75" si="1816">MIN($C$80,ADL75-ADM55/6)</f>
        <v>50.8</v>
      </c>
      <c r="ADN75" s="42">
        <f t="shared" ref="ADN75" si="1817">MIN($C$80,ADM75-ADN55/6)</f>
        <v>50.8</v>
      </c>
      <c r="ADO75" s="42">
        <f t="shared" ref="ADO75" si="1818">MIN($C$80,ADN75-ADO55/6)</f>
        <v>50.8</v>
      </c>
      <c r="ADP75" s="42">
        <f t="shared" ref="ADP75" si="1819">MIN($C$80,ADO75-ADP55/6)</f>
        <v>50.8</v>
      </c>
      <c r="ADQ75" s="42">
        <f t="shared" ref="ADQ75" si="1820">MIN($C$80,ADP75-ADQ55/6)</f>
        <v>50.8</v>
      </c>
      <c r="ADR75" s="42">
        <f t="shared" ref="ADR75" si="1821">MIN($C$80,ADQ75-ADR55/6)</f>
        <v>50.8</v>
      </c>
      <c r="ADS75" s="42">
        <f t="shared" ref="ADS75" si="1822">MIN($C$80,ADR75-ADS55/6)</f>
        <v>50.8</v>
      </c>
      <c r="ADT75" s="42">
        <f t="shared" ref="ADT75" si="1823">MIN($C$80,ADS75-ADT55/6)</f>
        <v>50.8</v>
      </c>
      <c r="ADU75" s="42">
        <f t="shared" ref="ADU75" si="1824">MIN($C$80,ADT75-ADU55/6)</f>
        <v>50.8</v>
      </c>
      <c r="ADV75" s="42">
        <f t="shared" ref="ADV75" si="1825">MIN($C$80,ADU75-ADV55/6)</f>
        <v>50.8</v>
      </c>
      <c r="ADW75" s="42">
        <f t="shared" ref="ADW75" si="1826">MIN($C$80,ADV75-ADW55/6)</f>
        <v>50.8</v>
      </c>
      <c r="ADX75" s="42">
        <f t="shared" ref="ADX75" si="1827">MIN($C$80,ADW75-ADX55/6)</f>
        <v>50.8</v>
      </c>
      <c r="ADY75" s="42">
        <f t="shared" ref="ADY75" si="1828">MIN($C$80,ADX75-ADY55/6)</f>
        <v>50.8</v>
      </c>
      <c r="ADZ75" s="42">
        <f t="shared" ref="ADZ75" si="1829">MIN($C$80,ADY75-ADZ55/6)</f>
        <v>50.8</v>
      </c>
      <c r="AEA75" s="42">
        <f t="shared" ref="AEA75" si="1830">MIN($C$80,ADZ75-AEA55/6)</f>
        <v>50.8</v>
      </c>
      <c r="AEB75" s="42">
        <f t="shared" ref="AEB75" si="1831">MIN($C$80,AEA75-AEB55/6)</f>
        <v>50.8</v>
      </c>
      <c r="AEC75" s="42">
        <f t="shared" ref="AEC75" si="1832">MIN($C$80,AEB75-AEC55/6)</f>
        <v>50.8</v>
      </c>
      <c r="AED75" s="42">
        <f t="shared" ref="AED75" si="1833">MIN($C$80,AEC75-AED55/6)</f>
        <v>50.8</v>
      </c>
      <c r="AEE75" s="42">
        <f t="shared" ref="AEE75" si="1834">MIN($C$80,AED75-AEE55/6)</f>
        <v>50.8</v>
      </c>
      <c r="AEF75" s="42">
        <f t="shared" ref="AEF75" si="1835">MIN($C$80,AEE75-AEF55/6)</f>
        <v>50.8</v>
      </c>
      <c r="AEG75" s="42">
        <f t="shared" ref="AEG75" si="1836">MIN($C$80,AEF75-AEG55/6)</f>
        <v>50.8</v>
      </c>
      <c r="AEH75" s="42">
        <f t="shared" ref="AEH75" si="1837">MIN($C$80,AEG75-AEH55/6)</f>
        <v>48.893666666666661</v>
      </c>
      <c r="AEI75" s="42">
        <f t="shared" ref="AEI75" si="1838">MIN($C$80,AEH75-AEI55/6)</f>
        <v>47.003999999999998</v>
      </c>
      <c r="AEJ75" s="42">
        <f t="shared" ref="AEJ75" si="1839">MIN($C$80,AEI75-AEJ55/6)</f>
        <v>45.114333333333335</v>
      </c>
      <c r="AEK75" s="42">
        <f t="shared" ref="AEK75" si="1840">MIN($C$80,AEJ75-AEK55/6)</f>
        <v>43.224666666666671</v>
      </c>
      <c r="AEL75" s="42">
        <f t="shared" ref="AEL75" si="1841">MIN($C$80,AEK75-AEL55/6)</f>
        <v>45.215000000000003</v>
      </c>
      <c r="AEM75" s="42">
        <f t="shared" ref="AEM75" si="1842">MIN($C$80,AEL75-AEM55/6)</f>
        <v>47.205333333333336</v>
      </c>
      <c r="AEN75" s="42">
        <f t="shared" ref="AEN75" si="1843">MIN($C$80,AEM75-AEN55/6)</f>
        <v>49.195666666666668</v>
      </c>
      <c r="AEO75" s="42">
        <f t="shared" ref="AEO75" si="1844">MIN($C$80,AEN75-AEO55/6)</f>
        <v>50.8</v>
      </c>
      <c r="AEP75" s="42">
        <f t="shared" ref="AEP75" si="1845">MIN($C$80,AEO75-AEP55/6)</f>
        <v>50.8</v>
      </c>
      <c r="AEQ75" s="42">
        <f t="shared" ref="AEQ75" si="1846">MIN($C$80,AEP75-AEQ55/6)</f>
        <v>50.8</v>
      </c>
      <c r="AER75" s="42">
        <f t="shared" ref="AER75" si="1847">MIN($C$80,AEQ75-AER55/6)</f>
        <v>50.8</v>
      </c>
      <c r="AES75" s="42">
        <f t="shared" ref="AES75" si="1848">MIN($C$80,AER75-AES55/6)</f>
        <v>50.8</v>
      </c>
      <c r="AET75" s="42">
        <f t="shared" ref="AET75" si="1849">MIN($C$80,AES75-AET55/6)</f>
        <v>50.8</v>
      </c>
      <c r="AEU75" s="42">
        <f t="shared" ref="AEU75" si="1850">MIN($C$80,AET75-AEU55/6)</f>
        <v>50.8</v>
      </c>
      <c r="AEV75" s="42">
        <f t="shared" ref="AEV75" si="1851">MIN($C$80,AEU75-AEV55/6)</f>
        <v>50.8</v>
      </c>
      <c r="AEW75" s="42">
        <f t="shared" ref="AEW75" si="1852">MIN($C$80,AEV75-AEW55/6)</f>
        <v>50.8</v>
      </c>
      <c r="AEX75" s="42">
        <f t="shared" ref="AEX75" si="1853">MIN($C$80,AEW75-AEX55/6)</f>
        <v>50.8</v>
      </c>
      <c r="AEY75" s="42">
        <f t="shared" ref="AEY75" si="1854">MIN($C$80,AEX75-AEY55/6)</f>
        <v>50.8</v>
      </c>
      <c r="AEZ75" s="42">
        <f t="shared" ref="AEZ75" si="1855">MIN($C$80,AEY75-AEZ55/6)</f>
        <v>50.8</v>
      </c>
      <c r="AFA75" s="42">
        <f t="shared" ref="AFA75" si="1856">MIN($C$80,AEZ75-AFA55/6)</f>
        <v>50.8</v>
      </c>
      <c r="AFB75" s="42">
        <f t="shared" ref="AFB75" si="1857">MIN($C$80,AFA75-AFB55/6)</f>
        <v>50.8</v>
      </c>
      <c r="AFC75" s="42">
        <f t="shared" ref="AFC75" si="1858">MIN($C$80,AFB75-AFC55/6)</f>
        <v>50.8</v>
      </c>
      <c r="AFD75" s="42">
        <f t="shared" ref="AFD75" si="1859">MIN($C$80,AFC75-AFD55/6)</f>
        <v>50.8</v>
      </c>
      <c r="AFE75" s="42">
        <f t="shared" ref="AFE75" si="1860">MIN($C$80,AFD75-AFE55/6)</f>
        <v>50.8</v>
      </c>
      <c r="AFF75" s="42">
        <f t="shared" ref="AFF75" si="1861">MIN($C$80,AFE75-AFF55/6)</f>
        <v>50.8</v>
      </c>
      <c r="AFG75" s="42">
        <f t="shared" ref="AFG75" si="1862">MIN($C$80,AFF75-AFG55/6)</f>
        <v>50.8</v>
      </c>
      <c r="AFH75" s="42">
        <f t="shared" ref="AFH75" si="1863">MIN($C$80,AFG75-AFH55/6)</f>
        <v>50.8</v>
      </c>
      <c r="AFI75" s="42">
        <f t="shared" ref="AFI75" si="1864">MIN($C$80,AFH75-AFI55/6)</f>
        <v>50.8</v>
      </c>
      <c r="AFJ75" s="42">
        <f t="shared" ref="AFJ75" si="1865">MIN($C$80,AFI75-AFJ55/6)</f>
        <v>50.8</v>
      </c>
      <c r="AFK75" s="42">
        <f t="shared" ref="AFK75" si="1866">MIN($C$80,AFJ75-AFK55/6)</f>
        <v>50.8</v>
      </c>
      <c r="AFL75" s="42">
        <f t="shared" ref="AFL75" si="1867">MIN($C$80,AFK75-AFL55/6)</f>
        <v>50.8</v>
      </c>
      <c r="AFM75" s="42">
        <f t="shared" ref="AFM75" si="1868">MIN($C$80,AFL75-AFM55/6)</f>
        <v>50.8</v>
      </c>
      <c r="AFN75" s="42">
        <f t="shared" ref="AFN75" si="1869">MIN($C$80,AFM75-AFN55/6)</f>
        <v>50.8</v>
      </c>
      <c r="AFO75" s="42">
        <f t="shared" ref="AFO75" si="1870">MIN($C$80,AFN75-AFO55/6)</f>
        <v>50.8</v>
      </c>
      <c r="AFP75" s="42">
        <f t="shared" ref="AFP75" si="1871">MIN($C$80,AFO75-AFP55/6)</f>
        <v>50.8</v>
      </c>
      <c r="AFQ75" s="42">
        <f t="shared" ref="AFQ75" si="1872">MIN($C$80,AFP75-AFQ55/6)</f>
        <v>50.8</v>
      </c>
      <c r="AFR75" s="42">
        <f t="shared" ref="AFR75" si="1873">MIN($C$80,AFQ75-AFR55/6)</f>
        <v>50.8</v>
      </c>
      <c r="AFS75" s="42">
        <f t="shared" ref="AFS75" si="1874">MIN($C$80,AFR75-AFS55/6)</f>
        <v>50.8</v>
      </c>
      <c r="AFT75" s="42">
        <f t="shared" ref="AFT75" si="1875">MIN($C$80,AFS75-AFT55/6)</f>
        <v>50.8</v>
      </c>
      <c r="AFU75" s="42">
        <f t="shared" ref="AFU75" si="1876">MIN($C$80,AFT75-AFU55/6)</f>
        <v>50.8</v>
      </c>
      <c r="AFV75" s="42">
        <f t="shared" ref="AFV75" si="1877">MIN($C$80,AFU75-AFV55/6)</f>
        <v>50.8</v>
      </c>
      <c r="AFW75" s="42">
        <f t="shared" ref="AFW75" si="1878">MIN($C$80,AFV75-AFW55/6)</f>
        <v>50.8</v>
      </c>
      <c r="AFX75" s="42">
        <f t="shared" ref="AFX75" si="1879">MIN($C$80,AFW75-AFX55/6)</f>
        <v>50.8</v>
      </c>
      <c r="AFY75" s="42">
        <f t="shared" ref="AFY75" si="1880">MIN($C$80,AFX75-AFY55/6)</f>
        <v>50.8</v>
      </c>
      <c r="AFZ75" s="42">
        <f t="shared" ref="AFZ75" si="1881">MIN($C$80,AFY75-AFZ55/6)</f>
        <v>50.8</v>
      </c>
      <c r="AGA75" s="42">
        <f t="shared" ref="AGA75" si="1882">MIN($C$80,AFZ75-AGA55/6)</f>
        <v>50.8</v>
      </c>
      <c r="AGB75" s="42">
        <f t="shared" ref="AGB75" si="1883">MIN($C$80,AGA75-AGB55/6)</f>
        <v>50.8</v>
      </c>
      <c r="AGC75" s="42">
        <f t="shared" ref="AGC75" si="1884">MIN($C$80,AGB75-AGC55/6)</f>
        <v>50.8</v>
      </c>
      <c r="AGD75" s="42">
        <f t="shared" ref="AGD75" si="1885">MIN($C$80,AGC75-AGD55/6)</f>
        <v>50.8</v>
      </c>
      <c r="AGE75" s="42">
        <f t="shared" ref="AGE75" si="1886">MIN($C$80,AGD75-AGE55/6)</f>
        <v>50.8</v>
      </c>
      <c r="AGF75" s="42">
        <f t="shared" ref="AGF75" si="1887">MIN($C$80,AGE75-AGF55/6)</f>
        <v>50.8</v>
      </c>
      <c r="AGG75" s="42">
        <f t="shared" ref="AGG75" si="1888">MIN($C$80,AGF75-AGG55/6)</f>
        <v>50.8</v>
      </c>
      <c r="AGH75" s="42">
        <f t="shared" ref="AGH75" si="1889">MIN($C$80,AGG75-AGH55/6)</f>
        <v>50.8</v>
      </c>
      <c r="AGI75" s="42">
        <f t="shared" ref="AGI75" si="1890">MIN($C$80,AGH75-AGI55/6)</f>
        <v>50.8</v>
      </c>
      <c r="AGJ75" s="42">
        <f t="shared" ref="AGJ75" si="1891">MIN($C$80,AGI75-AGJ55/6)</f>
        <v>50.8</v>
      </c>
      <c r="AGK75" s="42">
        <f t="shared" ref="AGK75" si="1892">MIN($C$80,AGJ75-AGK55/6)</f>
        <v>50.8</v>
      </c>
      <c r="AGL75" s="42">
        <f t="shared" ref="AGL75" si="1893">MIN($C$80,AGK75-AGL55/6)</f>
        <v>50.8</v>
      </c>
      <c r="AGM75" s="42">
        <f t="shared" ref="AGM75" si="1894">MIN($C$80,AGL75-AGM55/6)</f>
        <v>50.8</v>
      </c>
      <c r="AGN75" s="42">
        <f t="shared" ref="AGN75" si="1895">MIN($C$80,AGM75-AGN55/6)</f>
        <v>50.8</v>
      </c>
      <c r="AGO75" s="42">
        <f t="shared" ref="AGO75" si="1896">MIN($C$80,AGN75-AGO55/6)</f>
        <v>50.8</v>
      </c>
      <c r="AGP75" s="42">
        <f t="shared" ref="AGP75" si="1897">MIN($C$80,AGO75-AGP55/6)</f>
        <v>50.8</v>
      </c>
      <c r="AGQ75" s="42">
        <f t="shared" ref="AGQ75" si="1898">MIN($C$80,AGP75-AGQ55/6)</f>
        <v>50.8</v>
      </c>
      <c r="AGR75" s="42">
        <f t="shared" ref="AGR75" si="1899">MIN($C$80,AGQ75-AGR55/6)</f>
        <v>50.8</v>
      </c>
      <c r="AGS75" s="42">
        <f t="shared" ref="AGS75" si="1900">MIN($C$80,AGR75-AGS55/6)</f>
        <v>50.8</v>
      </c>
      <c r="AGT75" s="42">
        <f t="shared" ref="AGT75" si="1901">MIN($C$80,AGS75-AGT55/6)</f>
        <v>50.8</v>
      </c>
      <c r="AGU75" s="42">
        <f t="shared" ref="AGU75" si="1902">MIN($C$80,AGT75-AGU55/6)</f>
        <v>50.8</v>
      </c>
      <c r="AGV75" s="42">
        <f t="shared" ref="AGV75" si="1903">MIN($C$80,AGU75-AGV55/6)</f>
        <v>50.8</v>
      </c>
      <c r="AGW75" s="42">
        <f t="shared" ref="AGW75" si="1904">MIN($C$80,AGV75-AGW55/6)</f>
        <v>50.8</v>
      </c>
      <c r="AGX75" s="42">
        <f t="shared" ref="AGX75" si="1905">MIN($C$80,AGW75-AGX55/6)</f>
        <v>50.8</v>
      </c>
      <c r="AGY75" s="42">
        <f t="shared" ref="AGY75" si="1906">MIN($C$80,AGX75-AGY55/6)</f>
        <v>50.8</v>
      </c>
      <c r="AGZ75" s="42">
        <f t="shared" ref="AGZ75" si="1907">MIN($C$80,AGY75-AGZ55/6)</f>
        <v>50.8</v>
      </c>
      <c r="AHA75" s="42">
        <f t="shared" ref="AHA75" si="1908">MIN($C$80,AGZ75-AHA55/6)</f>
        <v>50.8</v>
      </c>
      <c r="AHB75" s="42">
        <f t="shared" ref="AHB75" si="1909">MIN($C$80,AHA75-AHB55/6)</f>
        <v>48.910333333333334</v>
      </c>
      <c r="AHC75" s="42">
        <f t="shared" ref="AHC75" si="1910">MIN($C$80,AHB75-AHC55/6)</f>
        <v>47.020666666666671</v>
      </c>
      <c r="AHD75" s="42">
        <f t="shared" ref="AHD75" si="1911">MIN($C$80,AHC75-AHD55/6)</f>
        <v>45.131000000000007</v>
      </c>
      <c r="AHE75" s="42">
        <f t="shared" ref="AHE75" si="1912">MIN($C$80,AHD75-AHE55/6)</f>
        <v>43.241333333333344</v>
      </c>
      <c r="AHF75" s="42">
        <f t="shared" ref="AHF75" si="1913">MIN($C$80,AHE75-AHF55/6)</f>
        <v>45.231666666666676</v>
      </c>
      <c r="AHG75" s="42">
        <f t="shared" ref="AHG75" si="1914">MIN($C$80,AHF75-AHG55/6)</f>
        <v>47.222000000000008</v>
      </c>
      <c r="AHH75" s="42">
        <f t="shared" ref="AHH75" si="1915">MIN($C$80,AHG75-AHH55/6)</f>
        <v>49.212333333333341</v>
      </c>
      <c r="AHI75" s="42">
        <f t="shared" ref="AHI75" si="1916">MIN($C$80,AHH75-AHI55/6)</f>
        <v>50.8</v>
      </c>
      <c r="AHJ75" s="42">
        <f t="shared" ref="AHJ75" si="1917">MIN($C$80,AHI75-AHJ55/6)</f>
        <v>50.8</v>
      </c>
      <c r="AHK75" s="42">
        <f t="shared" ref="AHK75" si="1918">MIN($C$80,AHJ75-AHK55/6)</f>
        <v>50.8</v>
      </c>
      <c r="AHL75" s="42">
        <f t="shared" ref="AHL75" si="1919">MIN($C$80,AHK75-AHL55/6)</f>
        <v>50.8</v>
      </c>
      <c r="AHM75" s="42">
        <f t="shared" ref="AHM75" si="1920">MIN($C$80,AHL75-AHM55/6)</f>
        <v>50.8</v>
      </c>
      <c r="AHN75" s="42">
        <f t="shared" ref="AHN75" si="1921">MIN($C$80,AHM75-AHN55/6)</f>
        <v>50.8</v>
      </c>
      <c r="AHO75" s="42">
        <f t="shared" ref="AHO75" si="1922">MIN($C$80,AHN75-AHO55/6)</f>
        <v>50.8</v>
      </c>
      <c r="AHP75" s="42">
        <f t="shared" ref="AHP75" si="1923">MIN($C$80,AHO75-AHP55/6)</f>
        <v>50.8</v>
      </c>
      <c r="AHQ75" s="42">
        <f t="shared" ref="AHQ75" si="1924">MIN($C$80,AHP75-AHQ55/6)</f>
        <v>50.8</v>
      </c>
      <c r="AHR75" s="42">
        <f t="shared" ref="AHR75" si="1925">MIN($C$80,AHQ75-AHR55/6)</f>
        <v>50.8</v>
      </c>
      <c r="AHS75" s="42">
        <f t="shared" ref="AHS75" si="1926">MIN($C$80,AHR75-AHS55/6)</f>
        <v>50.8</v>
      </c>
      <c r="AHT75" s="42">
        <f t="shared" ref="AHT75" si="1927">MIN($C$80,AHS75-AHT55/6)</f>
        <v>50.8</v>
      </c>
      <c r="AHU75" s="42">
        <f t="shared" ref="AHU75" si="1928">MIN($C$80,AHT75-AHU55/6)</f>
        <v>50.8</v>
      </c>
      <c r="AHV75" s="42">
        <f t="shared" ref="AHV75" si="1929">MIN($C$80,AHU75-AHV55/6)</f>
        <v>50.8</v>
      </c>
      <c r="AHW75" s="42">
        <f t="shared" ref="AHW75" si="1930">MIN($C$80,AHV75-AHW55/6)</f>
        <v>50.8</v>
      </c>
      <c r="AHX75" s="42">
        <f t="shared" ref="AHX75" si="1931">MIN($C$80,AHW75-AHX55/6)</f>
        <v>50.8</v>
      </c>
      <c r="AHY75" s="42">
        <f t="shared" ref="AHY75" si="1932">MIN($C$80,AHX75-AHY55/6)</f>
        <v>50.8</v>
      </c>
      <c r="AHZ75" s="42">
        <f t="shared" ref="AHZ75" si="1933">MIN($C$80,AHY75-AHZ55/6)</f>
        <v>50.8</v>
      </c>
      <c r="AIA75" s="42">
        <f t="shared" ref="AIA75" si="1934">MIN($C$80,AHZ75-AIA55/6)</f>
        <v>50.8</v>
      </c>
      <c r="AIB75" s="42">
        <f t="shared" ref="AIB75" si="1935">MIN($C$80,AIA75-AIB55/6)</f>
        <v>50.8</v>
      </c>
      <c r="AIC75" s="42">
        <f t="shared" ref="AIC75" si="1936">MIN($C$80,AIB75-AIC55/6)</f>
        <v>50.8</v>
      </c>
      <c r="AID75" s="42">
        <f t="shared" ref="AID75" si="1937">MIN($C$80,AIC75-AID55/6)</f>
        <v>50.8</v>
      </c>
      <c r="AIE75" s="42">
        <f t="shared" ref="AIE75" si="1938">MIN($C$80,AID75-AIE55/6)</f>
        <v>50.8</v>
      </c>
      <c r="AIF75" s="42">
        <f t="shared" ref="AIF75" si="1939">MIN($C$80,AIE75-AIF55/6)</f>
        <v>50.8</v>
      </c>
      <c r="AIG75" s="42">
        <f t="shared" ref="AIG75" si="1940">MIN($C$80,AIF75-AIG55/6)</f>
        <v>50.8</v>
      </c>
      <c r="AIH75" s="42">
        <f t="shared" ref="AIH75" si="1941">MIN($C$80,AIG75-AIH55/6)</f>
        <v>50.8</v>
      </c>
      <c r="AII75" s="42">
        <f t="shared" ref="AII75" si="1942">MIN($C$80,AIH75-AII55/6)</f>
        <v>50.8</v>
      </c>
      <c r="AIJ75" s="42">
        <f t="shared" ref="AIJ75" si="1943">MIN($C$80,AII75-AIJ55/6)</f>
        <v>50.8</v>
      </c>
      <c r="AIK75" s="42">
        <f t="shared" ref="AIK75" si="1944">MIN($C$80,AIJ75-AIK55/6)</f>
        <v>50.8</v>
      </c>
      <c r="AIL75" s="42">
        <f t="shared" ref="AIL75" si="1945">MIN($C$80,AIK75-AIL55/6)</f>
        <v>50.8</v>
      </c>
      <c r="AIM75" s="42">
        <f t="shared" ref="AIM75" si="1946">MIN($C$80,AIL75-AIM55/6)</f>
        <v>50.8</v>
      </c>
      <c r="AIN75" s="42">
        <f t="shared" ref="AIN75" si="1947">MIN($C$80,AIM75-AIN55/6)</f>
        <v>50.8</v>
      </c>
      <c r="AIO75" s="42">
        <f t="shared" ref="AIO75" si="1948">MIN($C$80,AIN75-AIO55/6)</f>
        <v>50.8</v>
      </c>
      <c r="AIP75" s="42">
        <f t="shared" ref="AIP75" si="1949">MIN($C$80,AIO75-AIP55/6)</f>
        <v>50.8</v>
      </c>
      <c r="AIQ75" s="42">
        <f t="shared" ref="AIQ75" si="1950">MIN($C$80,AIP75-AIQ55/6)</f>
        <v>50.8</v>
      </c>
      <c r="AIR75" s="42">
        <f t="shared" ref="AIR75" si="1951">MIN($C$80,AIQ75-AIR55/6)</f>
        <v>50.8</v>
      </c>
      <c r="AIS75" s="42">
        <f t="shared" ref="AIS75" si="1952">MIN($C$80,AIR75-AIS55/6)</f>
        <v>50.8</v>
      </c>
      <c r="AIT75" s="42">
        <f t="shared" ref="AIT75" si="1953">MIN($C$80,AIS75-AIT55/6)</f>
        <v>50.8</v>
      </c>
      <c r="AIU75" s="42">
        <f t="shared" ref="AIU75" si="1954">MIN($C$80,AIT75-AIU55/6)</f>
        <v>50.8</v>
      </c>
      <c r="AIV75" s="42">
        <f t="shared" ref="AIV75" si="1955">MIN($C$80,AIU75-AIV55/6)</f>
        <v>50.8</v>
      </c>
      <c r="AIW75" s="42">
        <f t="shared" ref="AIW75" si="1956">MIN($C$80,AIV75-AIW55/6)</f>
        <v>50.8</v>
      </c>
      <c r="AIX75" s="42">
        <f t="shared" ref="AIX75" si="1957">MIN($C$80,AIW75-AIX55/6)</f>
        <v>50.8</v>
      </c>
      <c r="AIY75" s="42">
        <f t="shared" ref="AIY75" si="1958">MIN($C$80,AIX75-AIY55/6)</f>
        <v>50.8</v>
      </c>
      <c r="AIZ75" s="42">
        <f t="shared" ref="AIZ75" si="1959">MIN($C$80,AIY75-AIZ55/6)</f>
        <v>50.8</v>
      </c>
      <c r="AJA75" s="42">
        <f t="shared" ref="AJA75" si="1960">MIN($C$80,AIZ75-AJA55/6)</f>
        <v>50.8</v>
      </c>
      <c r="AJB75" s="42">
        <f t="shared" ref="AJB75" si="1961">MIN($C$80,AJA75-AJB55/6)</f>
        <v>50.8</v>
      </c>
      <c r="AJC75" s="42">
        <f t="shared" ref="AJC75" si="1962">MIN($C$80,AJB75-AJC55/6)</f>
        <v>50.8</v>
      </c>
      <c r="AJD75" s="42">
        <f t="shared" ref="AJD75" si="1963">MIN($C$80,AJC75-AJD55/6)</f>
        <v>50.8</v>
      </c>
      <c r="AJE75" s="42">
        <f t="shared" ref="AJE75" si="1964">MIN($C$80,AJD75-AJE55/6)</f>
        <v>50.8</v>
      </c>
      <c r="AJF75" s="42">
        <f t="shared" ref="AJF75" si="1965">MIN($C$80,AJE75-AJF55/6)</f>
        <v>50.8</v>
      </c>
      <c r="AJG75" s="42">
        <f t="shared" ref="AJG75" si="1966">MIN($C$80,AJF75-AJG55/6)</f>
        <v>50.8</v>
      </c>
      <c r="AJH75" s="42">
        <f t="shared" ref="AJH75" si="1967">MIN($C$80,AJG75-AJH55/6)</f>
        <v>50.8</v>
      </c>
      <c r="AJI75" s="42">
        <f t="shared" ref="AJI75" si="1968">MIN($C$80,AJH75-AJI55/6)</f>
        <v>50.8</v>
      </c>
      <c r="AJJ75" s="42">
        <f t="shared" ref="AJJ75" si="1969">MIN($C$80,AJI75-AJJ55/6)</f>
        <v>50.8</v>
      </c>
      <c r="AJK75" s="42">
        <f t="shared" ref="AJK75" si="1970">MIN($C$80,AJJ75-AJK55/6)</f>
        <v>50.8</v>
      </c>
      <c r="AJL75" s="42">
        <f t="shared" ref="AJL75" si="1971">MIN($C$80,AJK75-AJL55/6)</f>
        <v>50.8</v>
      </c>
      <c r="AJM75" s="42">
        <f t="shared" ref="AJM75" si="1972">MIN($C$80,AJL75-AJM55/6)</f>
        <v>50.8</v>
      </c>
      <c r="AJN75" s="42">
        <f t="shared" ref="AJN75" si="1973">MIN($C$80,AJM75-AJN55/6)</f>
        <v>50.8</v>
      </c>
      <c r="AJO75" s="42">
        <f t="shared" ref="AJO75" si="1974">MIN($C$80,AJN75-AJO55/6)</f>
        <v>50.8</v>
      </c>
      <c r="AJP75" s="42">
        <f t="shared" ref="AJP75" si="1975">MIN($C$80,AJO75-AJP55/6)</f>
        <v>50.8</v>
      </c>
      <c r="AJQ75" s="42">
        <f t="shared" ref="AJQ75" si="1976">MIN($C$80,AJP75-AJQ55/6)</f>
        <v>50.8</v>
      </c>
      <c r="AJR75" s="42">
        <f t="shared" ref="AJR75" si="1977">MIN($C$80,AJQ75-AJR55/6)</f>
        <v>50.8</v>
      </c>
      <c r="AJS75" s="42">
        <f t="shared" ref="AJS75" si="1978">MIN($C$80,AJR75-AJS55/6)</f>
        <v>50.8</v>
      </c>
      <c r="AJT75" s="42">
        <f t="shared" ref="AJT75" si="1979">MIN($C$80,AJS75-AJT55/6)</f>
        <v>50.8</v>
      </c>
      <c r="AJU75" s="42">
        <f t="shared" ref="AJU75" si="1980">MIN($C$80,AJT75-AJU55/6)</f>
        <v>50.8</v>
      </c>
      <c r="AJV75" s="42">
        <f t="shared" ref="AJV75" si="1981">MIN($C$80,AJU75-AJV55/6)</f>
        <v>48.893666666666661</v>
      </c>
      <c r="AJW75" s="42">
        <f t="shared" ref="AJW75" si="1982">MIN($C$80,AJV75-AJW55/6)</f>
        <v>47.003999999999998</v>
      </c>
      <c r="AJX75" s="42">
        <f t="shared" ref="AJX75" si="1983">MIN($C$80,AJW75-AJX55/6)</f>
        <v>45.114333333333335</v>
      </c>
      <c r="AJY75" s="42">
        <f t="shared" ref="AJY75" si="1984">MIN($C$80,AJX75-AJY55/6)</f>
        <v>43.224666666666671</v>
      </c>
      <c r="AJZ75" s="42">
        <f t="shared" ref="AJZ75" si="1985">MIN($C$80,AJY75-AJZ55/6)</f>
        <v>45.215000000000003</v>
      </c>
      <c r="AKA75" s="42">
        <f t="shared" ref="AKA75" si="1986">MIN($C$80,AJZ75-AKA55/6)</f>
        <v>47.205333333333336</v>
      </c>
      <c r="AKB75" s="42">
        <f t="shared" ref="AKB75" si="1987">MIN($C$80,AKA75-AKB55/6)</f>
        <v>49.195666666666668</v>
      </c>
      <c r="AKC75" s="42">
        <f t="shared" ref="AKC75" si="1988">MIN($C$80,AKB75-AKC55/6)</f>
        <v>50.8</v>
      </c>
      <c r="AKD75" s="42">
        <f t="shared" ref="AKD75" si="1989">MIN($C$80,AKC75-AKD55/6)</f>
        <v>50.8</v>
      </c>
      <c r="AKE75" s="42">
        <f t="shared" ref="AKE75" si="1990">MIN($C$80,AKD75-AKE55/6)</f>
        <v>50.8</v>
      </c>
      <c r="AKF75" s="42">
        <f t="shared" ref="AKF75" si="1991">MIN($C$80,AKE75-AKF55/6)</f>
        <v>50.8</v>
      </c>
      <c r="AKG75" s="42">
        <f t="shared" ref="AKG75" si="1992">MIN($C$80,AKF75-AKG55/6)</f>
        <v>50.8</v>
      </c>
      <c r="AKH75" s="42">
        <f t="shared" ref="AKH75" si="1993">MIN($C$80,AKG75-AKH55/6)</f>
        <v>50.8</v>
      </c>
      <c r="AKI75" s="42">
        <f t="shared" ref="AKI75" si="1994">MIN($C$80,AKH75-AKI55/6)</f>
        <v>50.8</v>
      </c>
      <c r="AKJ75" s="42">
        <f t="shared" ref="AKJ75" si="1995">MIN($C$80,AKI75-AKJ55/6)</f>
        <v>50.8</v>
      </c>
      <c r="AKK75" s="42">
        <f t="shared" ref="AKK75" si="1996">MIN($C$80,AKJ75-AKK55/6)</f>
        <v>50.8</v>
      </c>
      <c r="AKL75" s="42">
        <f t="shared" ref="AKL75" si="1997">MIN($C$80,AKK75-AKL55/6)</f>
        <v>50.8</v>
      </c>
      <c r="AKM75" s="42">
        <f t="shared" ref="AKM75" si="1998">MIN($C$80,AKL75-AKM55/6)</f>
        <v>50.8</v>
      </c>
      <c r="AKN75" s="42">
        <f t="shared" ref="AKN75" si="1999">MIN($C$80,AKM75-AKN55/6)</f>
        <v>50.8</v>
      </c>
      <c r="AKO75" s="42">
        <f t="shared" ref="AKO75" si="2000">MIN($C$80,AKN75-AKO55/6)</f>
        <v>50.8</v>
      </c>
      <c r="AKP75" s="42">
        <f t="shared" ref="AKP75" si="2001">MIN($C$80,AKO75-AKP55/6)</f>
        <v>50.8</v>
      </c>
      <c r="AKQ75" s="42">
        <f t="shared" ref="AKQ75" si="2002">MIN($C$80,AKP75-AKQ55/6)</f>
        <v>50.8</v>
      </c>
      <c r="AKR75" s="42">
        <f t="shared" ref="AKR75" si="2003">MIN($C$80,AKQ75-AKR55/6)</f>
        <v>50.8</v>
      </c>
      <c r="AKS75" s="42">
        <f t="shared" ref="AKS75" si="2004">MIN($C$80,AKR75-AKS55/6)</f>
        <v>50.8</v>
      </c>
      <c r="AKT75" s="42">
        <f t="shared" ref="AKT75" si="2005">MIN($C$80,AKS75-AKT55/6)</f>
        <v>50.8</v>
      </c>
      <c r="AKU75" s="42">
        <f t="shared" ref="AKU75" si="2006">MIN($C$80,AKT75-AKU55/6)</f>
        <v>50.8</v>
      </c>
      <c r="AKV75" s="42">
        <f t="shared" ref="AKV75" si="2007">MIN($C$80,AKU75-AKV55/6)</f>
        <v>50.8</v>
      </c>
      <c r="AKW75" s="42">
        <f t="shared" ref="AKW75" si="2008">MIN($C$80,AKV75-AKW55/6)</f>
        <v>50.8</v>
      </c>
      <c r="AKX75" s="42">
        <f t="shared" ref="AKX75" si="2009">MIN($C$80,AKW75-AKX55/6)</f>
        <v>50.8</v>
      </c>
      <c r="AKY75" s="42">
        <f t="shared" ref="AKY75" si="2010">MIN($C$80,AKX75-AKY55/6)</f>
        <v>50.8</v>
      </c>
      <c r="AKZ75" s="42">
        <f t="shared" ref="AKZ75" si="2011">MIN($C$80,AKY75-AKZ55/6)</f>
        <v>50.8</v>
      </c>
      <c r="ALA75" s="42">
        <f t="shared" ref="ALA75" si="2012">MIN($C$80,AKZ75-ALA55/6)</f>
        <v>50.8</v>
      </c>
      <c r="ALB75" s="42">
        <f t="shared" ref="ALB75" si="2013">MIN($C$80,ALA75-ALB55/6)</f>
        <v>50.8</v>
      </c>
      <c r="ALC75" s="42">
        <f t="shared" ref="ALC75" si="2014">MIN($C$80,ALB75-ALC55/6)</f>
        <v>50.8</v>
      </c>
      <c r="ALD75" s="42">
        <f t="shared" ref="ALD75" si="2015">MIN($C$80,ALC75-ALD55/6)</f>
        <v>50.8</v>
      </c>
      <c r="ALE75" s="42">
        <f t="shared" ref="ALE75" si="2016">MIN($C$80,ALD75-ALE55/6)</f>
        <v>50.8</v>
      </c>
      <c r="ALF75" s="42">
        <f t="shared" ref="ALF75" si="2017">MIN($C$80,ALE75-ALF55/6)</f>
        <v>50.8</v>
      </c>
      <c r="ALG75" s="42">
        <f t="shared" ref="ALG75" si="2018">MIN($C$80,ALF75-ALG55/6)</f>
        <v>50.8</v>
      </c>
      <c r="ALH75" s="42">
        <f t="shared" ref="ALH75" si="2019">MIN($C$80,ALG75-ALH55/6)</f>
        <v>50.8</v>
      </c>
      <c r="ALI75" s="42">
        <f t="shared" ref="ALI75" si="2020">MIN($C$80,ALH75-ALI55/6)</f>
        <v>50.8</v>
      </c>
      <c r="ALJ75" s="42">
        <f t="shared" ref="ALJ75" si="2021">MIN($C$80,ALI75-ALJ55/6)</f>
        <v>50.8</v>
      </c>
      <c r="ALK75" s="42">
        <f t="shared" ref="ALK75" si="2022">MIN($C$80,ALJ75-ALK55/6)</f>
        <v>50.8</v>
      </c>
      <c r="ALL75" s="42">
        <f t="shared" ref="ALL75" si="2023">MIN($C$80,ALK75-ALL55/6)</f>
        <v>50.8</v>
      </c>
      <c r="ALM75" s="42">
        <f t="shared" ref="ALM75" si="2024">MIN($C$80,ALL75-ALM55/6)</f>
        <v>50.8</v>
      </c>
      <c r="ALN75" s="42">
        <f t="shared" ref="ALN75" si="2025">MIN($C$80,ALM75-ALN55/6)</f>
        <v>50.8</v>
      </c>
      <c r="ALO75" s="42">
        <f t="shared" ref="ALO75" si="2026">MIN($C$80,ALN75-ALO55/6)</f>
        <v>50.8</v>
      </c>
      <c r="ALP75" s="42">
        <f t="shared" ref="ALP75" si="2027">MIN($C$80,ALO75-ALP55/6)</f>
        <v>50.8</v>
      </c>
      <c r="ALQ75" s="42">
        <f t="shared" ref="ALQ75" si="2028">MIN($C$80,ALP75-ALQ55/6)</f>
        <v>50.8</v>
      </c>
      <c r="ALR75" s="42">
        <f t="shared" ref="ALR75" si="2029">MIN($C$80,ALQ75-ALR55/6)</f>
        <v>50.8</v>
      </c>
      <c r="ALS75" s="42">
        <f t="shared" ref="ALS75" si="2030">MIN($C$80,ALR75-ALS55/6)</f>
        <v>50.8</v>
      </c>
      <c r="ALT75" s="42">
        <f t="shared" ref="ALT75" si="2031">MIN($C$80,ALS75-ALT55/6)</f>
        <v>50.8</v>
      </c>
      <c r="ALU75" s="42">
        <f t="shared" ref="ALU75" si="2032">MIN($C$80,ALT75-ALU55/6)</f>
        <v>50.8</v>
      </c>
      <c r="ALV75" s="42">
        <f t="shared" ref="ALV75" si="2033">MIN($C$80,ALU75-ALV55/6)</f>
        <v>50.8</v>
      </c>
      <c r="ALW75" s="42">
        <f t="shared" ref="ALW75" si="2034">MIN($C$80,ALV75-ALW55/6)</f>
        <v>50.8</v>
      </c>
    </row>
    <row r="76" spans="2:1011" x14ac:dyDescent="0.25">
      <c r="C76" s="5" t="s">
        <v>67</v>
      </c>
      <c r="D76" s="41">
        <f>D75/$C$80</f>
        <v>1</v>
      </c>
      <c r="E76" s="41">
        <f t="shared" ref="E76:BP76" si="2035">E75/$C$80</f>
        <v>1</v>
      </c>
      <c r="F76" s="41">
        <f t="shared" si="2035"/>
        <v>1</v>
      </c>
      <c r="G76" s="41">
        <f t="shared" si="2035"/>
        <v>1</v>
      </c>
      <c r="H76" s="41">
        <f t="shared" si="2035"/>
        <v>1</v>
      </c>
      <c r="I76" s="41">
        <f t="shared" si="2035"/>
        <v>1</v>
      </c>
      <c r="J76" s="41">
        <f t="shared" si="2035"/>
        <v>1</v>
      </c>
      <c r="K76" s="41">
        <f t="shared" si="2035"/>
        <v>1</v>
      </c>
      <c r="L76" s="41">
        <f t="shared" si="2035"/>
        <v>1</v>
      </c>
      <c r="M76" s="41">
        <f t="shared" si="2035"/>
        <v>1</v>
      </c>
      <c r="N76" s="41">
        <f t="shared" si="2035"/>
        <v>1</v>
      </c>
      <c r="O76" s="41">
        <f t="shared" si="2035"/>
        <v>1</v>
      </c>
      <c r="P76" s="41">
        <f t="shared" si="2035"/>
        <v>1</v>
      </c>
      <c r="Q76" s="41">
        <f t="shared" si="2035"/>
        <v>1</v>
      </c>
      <c r="R76" s="41">
        <f t="shared" si="2035"/>
        <v>1</v>
      </c>
      <c r="S76" s="41">
        <f t="shared" si="2035"/>
        <v>1</v>
      </c>
      <c r="T76" s="41">
        <f t="shared" si="2035"/>
        <v>1</v>
      </c>
      <c r="U76" s="41">
        <f t="shared" si="2035"/>
        <v>1</v>
      </c>
      <c r="V76" s="41">
        <f t="shared" si="2035"/>
        <v>0.9628018372703413</v>
      </c>
      <c r="W76" s="41">
        <f t="shared" si="2035"/>
        <v>0.9256036745406826</v>
      </c>
      <c r="X76" s="41">
        <f t="shared" si="2035"/>
        <v>0.88840551181102378</v>
      </c>
      <c r="Y76" s="41">
        <f t="shared" si="2035"/>
        <v>0.85120734908136508</v>
      </c>
      <c r="Z76" s="41">
        <f t="shared" si="2035"/>
        <v>0.8903871391076118</v>
      </c>
      <c r="AA76" s="41">
        <f t="shared" si="2035"/>
        <v>0.92956692913385852</v>
      </c>
      <c r="AB76" s="41">
        <f t="shared" si="2035"/>
        <v>0.96874671916010513</v>
      </c>
      <c r="AC76" s="41">
        <f t="shared" si="2035"/>
        <v>1</v>
      </c>
      <c r="AD76" s="41">
        <f t="shared" si="2035"/>
        <v>1</v>
      </c>
      <c r="AE76" s="41">
        <f t="shared" si="2035"/>
        <v>1</v>
      </c>
      <c r="AF76" s="41">
        <f t="shared" si="2035"/>
        <v>1</v>
      </c>
      <c r="AG76" s="41">
        <f t="shared" si="2035"/>
        <v>1</v>
      </c>
      <c r="AH76" s="41">
        <f t="shared" si="2035"/>
        <v>1</v>
      </c>
      <c r="AI76" s="41">
        <f t="shared" si="2035"/>
        <v>1</v>
      </c>
      <c r="AJ76" s="41">
        <f t="shared" si="2035"/>
        <v>1</v>
      </c>
      <c r="AK76" s="41">
        <f t="shared" si="2035"/>
        <v>1</v>
      </c>
      <c r="AL76" s="41">
        <f t="shared" si="2035"/>
        <v>1</v>
      </c>
      <c r="AM76" s="41">
        <f t="shared" si="2035"/>
        <v>1</v>
      </c>
      <c r="AN76" s="41">
        <f t="shared" si="2035"/>
        <v>1</v>
      </c>
      <c r="AO76" s="41">
        <f t="shared" si="2035"/>
        <v>1</v>
      </c>
      <c r="AP76" s="41">
        <f t="shared" si="2035"/>
        <v>1</v>
      </c>
      <c r="AQ76" s="41">
        <f t="shared" si="2035"/>
        <v>1</v>
      </c>
      <c r="AR76" s="41">
        <f t="shared" si="2035"/>
        <v>1</v>
      </c>
      <c r="AS76" s="41">
        <f t="shared" si="2035"/>
        <v>1</v>
      </c>
      <c r="AT76" s="41">
        <f t="shared" si="2035"/>
        <v>1</v>
      </c>
      <c r="AU76" s="41">
        <f t="shared" si="2035"/>
        <v>1</v>
      </c>
      <c r="AV76" s="41">
        <f t="shared" si="2035"/>
        <v>1</v>
      </c>
      <c r="AW76" s="41">
        <f t="shared" si="2035"/>
        <v>1</v>
      </c>
      <c r="AX76" s="41">
        <f t="shared" si="2035"/>
        <v>1</v>
      </c>
      <c r="AY76" s="41">
        <f t="shared" si="2035"/>
        <v>1</v>
      </c>
      <c r="AZ76" s="41">
        <f t="shared" si="2035"/>
        <v>1</v>
      </c>
      <c r="BA76" s="41">
        <f t="shared" si="2035"/>
        <v>1</v>
      </c>
      <c r="BB76" s="41">
        <f t="shared" si="2035"/>
        <v>1</v>
      </c>
      <c r="BC76" s="41">
        <f t="shared" si="2035"/>
        <v>1</v>
      </c>
      <c r="BD76" s="41">
        <f t="shared" si="2035"/>
        <v>1</v>
      </c>
      <c r="BE76" s="41">
        <f t="shared" si="2035"/>
        <v>1</v>
      </c>
      <c r="BF76" s="41">
        <f t="shared" si="2035"/>
        <v>1</v>
      </c>
      <c r="BG76" s="41">
        <f t="shared" si="2035"/>
        <v>1</v>
      </c>
      <c r="BH76" s="41">
        <f t="shared" si="2035"/>
        <v>1</v>
      </c>
      <c r="BI76" s="41">
        <f t="shared" si="2035"/>
        <v>1</v>
      </c>
      <c r="BJ76" s="41">
        <f t="shared" si="2035"/>
        <v>1</v>
      </c>
      <c r="BK76" s="41">
        <f t="shared" si="2035"/>
        <v>1</v>
      </c>
      <c r="BL76" s="41">
        <f t="shared" si="2035"/>
        <v>1</v>
      </c>
      <c r="BM76" s="41">
        <f t="shared" si="2035"/>
        <v>1</v>
      </c>
      <c r="BN76" s="41">
        <f t="shared" si="2035"/>
        <v>1</v>
      </c>
      <c r="BO76" s="41">
        <f t="shared" si="2035"/>
        <v>1</v>
      </c>
      <c r="BP76" s="41">
        <f t="shared" si="2035"/>
        <v>1</v>
      </c>
      <c r="BQ76" s="41">
        <f t="shared" ref="BQ76:EB76" si="2036">BQ75/$C$80</f>
        <v>1</v>
      </c>
      <c r="BR76" s="41">
        <f t="shared" si="2036"/>
        <v>1</v>
      </c>
      <c r="BS76" s="41">
        <f t="shared" si="2036"/>
        <v>1</v>
      </c>
      <c r="BT76" s="41">
        <f t="shared" si="2036"/>
        <v>1</v>
      </c>
      <c r="BU76" s="41">
        <f t="shared" si="2036"/>
        <v>1</v>
      </c>
      <c r="BV76" s="41">
        <f t="shared" si="2036"/>
        <v>1</v>
      </c>
      <c r="BW76" s="41">
        <f t="shared" si="2036"/>
        <v>1</v>
      </c>
      <c r="BX76" s="41">
        <f t="shared" si="2036"/>
        <v>1</v>
      </c>
      <c r="BY76" s="41">
        <f t="shared" si="2036"/>
        <v>1</v>
      </c>
      <c r="BZ76" s="41">
        <f t="shared" si="2036"/>
        <v>1</v>
      </c>
      <c r="CA76" s="41">
        <f t="shared" si="2036"/>
        <v>1</v>
      </c>
      <c r="CB76" s="41">
        <f t="shared" si="2036"/>
        <v>1</v>
      </c>
      <c r="CC76" s="41">
        <f t="shared" si="2036"/>
        <v>1</v>
      </c>
      <c r="CD76" s="41">
        <f t="shared" si="2036"/>
        <v>1</v>
      </c>
      <c r="CE76" s="41">
        <f t="shared" si="2036"/>
        <v>1</v>
      </c>
      <c r="CF76" s="41">
        <f t="shared" si="2036"/>
        <v>1</v>
      </c>
      <c r="CG76" s="41">
        <f t="shared" si="2036"/>
        <v>1</v>
      </c>
      <c r="CH76" s="41">
        <f t="shared" si="2036"/>
        <v>1</v>
      </c>
      <c r="CI76" s="41">
        <f t="shared" si="2036"/>
        <v>1</v>
      </c>
      <c r="CJ76" s="41">
        <f t="shared" si="2036"/>
        <v>1</v>
      </c>
      <c r="CK76" s="41">
        <f t="shared" si="2036"/>
        <v>1</v>
      </c>
      <c r="CL76" s="41">
        <f t="shared" si="2036"/>
        <v>1</v>
      </c>
      <c r="CM76" s="41">
        <f t="shared" si="2036"/>
        <v>1</v>
      </c>
      <c r="CN76" s="41">
        <f t="shared" si="2036"/>
        <v>1</v>
      </c>
      <c r="CO76" s="41">
        <f t="shared" si="2036"/>
        <v>1</v>
      </c>
      <c r="CP76" s="41">
        <f t="shared" si="2036"/>
        <v>0.96247375328083984</v>
      </c>
      <c r="CQ76" s="41">
        <f t="shared" si="2036"/>
        <v>0.92527559055118114</v>
      </c>
      <c r="CR76" s="41">
        <f t="shared" si="2036"/>
        <v>0.88807742782152244</v>
      </c>
      <c r="CS76" s="41">
        <f t="shared" si="2036"/>
        <v>0.85087926509186362</v>
      </c>
      <c r="CT76" s="41">
        <f t="shared" si="2036"/>
        <v>0.89005905511811034</v>
      </c>
      <c r="CU76" s="41">
        <f t="shared" si="2036"/>
        <v>0.92923884514435706</v>
      </c>
      <c r="CV76" s="41">
        <f t="shared" si="2036"/>
        <v>0.96841863517060378</v>
      </c>
      <c r="CW76" s="41">
        <f t="shared" si="2036"/>
        <v>1</v>
      </c>
      <c r="CX76" s="41">
        <f t="shared" si="2036"/>
        <v>1</v>
      </c>
      <c r="CY76" s="41">
        <f t="shared" si="2036"/>
        <v>1</v>
      </c>
      <c r="CZ76" s="41">
        <f t="shared" si="2036"/>
        <v>1</v>
      </c>
      <c r="DA76" s="41">
        <f t="shared" si="2036"/>
        <v>1</v>
      </c>
      <c r="DB76" s="41">
        <f t="shared" si="2036"/>
        <v>1</v>
      </c>
      <c r="DC76" s="41">
        <f t="shared" si="2036"/>
        <v>1</v>
      </c>
      <c r="DD76" s="41">
        <f t="shared" si="2036"/>
        <v>1</v>
      </c>
      <c r="DE76" s="41">
        <f t="shared" si="2036"/>
        <v>1</v>
      </c>
      <c r="DF76" s="41">
        <f t="shared" si="2036"/>
        <v>1</v>
      </c>
      <c r="DG76" s="41">
        <f t="shared" si="2036"/>
        <v>1</v>
      </c>
      <c r="DH76" s="41">
        <f t="shared" si="2036"/>
        <v>1</v>
      </c>
      <c r="DI76" s="41">
        <f t="shared" si="2036"/>
        <v>1</v>
      </c>
      <c r="DJ76" s="41">
        <f t="shared" si="2036"/>
        <v>1</v>
      </c>
      <c r="DK76" s="41">
        <f t="shared" si="2036"/>
        <v>1</v>
      </c>
      <c r="DL76" s="41">
        <f t="shared" si="2036"/>
        <v>1</v>
      </c>
      <c r="DM76" s="41">
        <f t="shared" si="2036"/>
        <v>1</v>
      </c>
      <c r="DN76" s="41">
        <f t="shared" si="2036"/>
        <v>1</v>
      </c>
      <c r="DO76" s="41">
        <f t="shared" si="2036"/>
        <v>1</v>
      </c>
      <c r="DP76" s="41">
        <f t="shared" si="2036"/>
        <v>1</v>
      </c>
      <c r="DQ76" s="41">
        <f t="shared" si="2036"/>
        <v>1</v>
      </c>
      <c r="DR76" s="41">
        <f t="shared" si="2036"/>
        <v>1</v>
      </c>
      <c r="DS76" s="41">
        <f t="shared" si="2036"/>
        <v>1</v>
      </c>
      <c r="DT76" s="41">
        <f t="shared" si="2036"/>
        <v>1</v>
      </c>
      <c r="DU76" s="41">
        <f t="shared" si="2036"/>
        <v>1</v>
      </c>
      <c r="DV76" s="41">
        <f t="shared" si="2036"/>
        <v>1</v>
      </c>
      <c r="DW76" s="41">
        <f t="shared" si="2036"/>
        <v>1</v>
      </c>
      <c r="DX76" s="41">
        <f t="shared" si="2036"/>
        <v>1</v>
      </c>
      <c r="DY76" s="41">
        <f t="shared" si="2036"/>
        <v>1</v>
      </c>
      <c r="DZ76" s="41">
        <f t="shared" si="2036"/>
        <v>1</v>
      </c>
      <c r="EA76" s="41">
        <f t="shared" si="2036"/>
        <v>1</v>
      </c>
      <c r="EB76" s="41">
        <f t="shared" si="2036"/>
        <v>1</v>
      </c>
      <c r="EC76" s="41">
        <f t="shared" ref="EC76:GN76" si="2037">EC75/$C$80</f>
        <v>1</v>
      </c>
      <c r="ED76" s="41">
        <f t="shared" si="2037"/>
        <v>1</v>
      </c>
      <c r="EE76" s="41">
        <f t="shared" si="2037"/>
        <v>1</v>
      </c>
      <c r="EF76" s="41">
        <f t="shared" si="2037"/>
        <v>1</v>
      </c>
      <c r="EG76" s="41">
        <f t="shared" si="2037"/>
        <v>1</v>
      </c>
      <c r="EH76" s="41">
        <f t="shared" si="2037"/>
        <v>1</v>
      </c>
      <c r="EI76" s="41">
        <f t="shared" si="2037"/>
        <v>1</v>
      </c>
      <c r="EJ76" s="41">
        <f t="shared" si="2037"/>
        <v>1</v>
      </c>
      <c r="EK76" s="41">
        <f t="shared" si="2037"/>
        <v>1</v>
      </c>
      <c r="EL76" s="41">
        <f t="shared" si="2037"/>
        <v>1</v>
      </c>
      <c r="EM76" s="41">
        <f t="shared" si="2037"/>
        <v>1</v>
      </c>
      <c r="EN76" s="41">
        <f t="shared" si="2037"/>
        <v>1</v>
      </c>
      <c r="EO76" s="41">
        <f t="shared" si="2037"/>
        <v>1</v>
      </c>
      <c r="EP76" s="41">
        <f t="shared" si="2037"/>
        <v>1</v>
      </c>
      <c r="EQ76" s="41">
        <f t="shared" si="2037"/>
        <v>1</v>
      </c>
      <c r="ER76" s="41">
        <f t="shared" si="2037"/>
        <v>1</v>
      </c>
      <c r="ES76" s="41">
        <f t="shared" si="2037"/>
        <v>1</v>
      </c>
      <c r="ET76" s="41">
        <f t="shared" si="2037"/>
        <v>1</v>
      </c>
      <c r="EU76" s="41">
        <f t="shared" si="2037"/>
        <v>1</v>
      </c>
      <c r="EV76" s="41">
        <f t="shared" si="2037"/>
        <v>1</v>
      </c>
      <c r="EW76" s="41">
        <f t="shared" si="2037"/>
        <v>1</v>
      </c>
      <c r="EX76" s="41">
        <f t="shared" si="2037"/>
        <v>1</v>
      </c>
      <c r="EY76" s="41">
        <f t="shared" si="2037"/>
        <v>1</v>
      </c>
      <c r="EZ76" s="41">
        <f t="shared" si="2037"/>
        <v>1</v>
      </c>
      <c r="FA76" s="41">
        <f t="shared" si="2037"/>
        <v>1</v>
      </c>
      <c r="FB76" s="41">
        <f t="shared" si="2037"/>
        <v>1</v>
      </c>
      <c r="FC76" s="41">
        <f t="shared" si="2037"/>
        <v>1</v>
      </c>
      <c r="FD76" s="41">
        <f t="shared" si="2037"/>
        <v>1</v>
      </c>
      <c r="FE76" s="41">
        <f t="shared" si="2037"/>
        <v>1</v>
      </c>
      <c r="FF76" s="41">
        <f t="shared" si="2037"/>
        <v>1</v>
      </c>
      <c r="FG76" s="41">
        <f t="shared" si="2037"/>
        <v>1</v>
      </c>
      <c r="FH76" s="41">
        <f t="shared" si="2037"/>
        <v>1</v>
      </c>
      <c r="FI76" s="41">
        <f t="shared" si="2037"/>
        <v>1</v>
      </c>
      <c r="FJ76" s="41">
        <f t="shared" si="2037"/>
        <v>0.95952099737532803</v>
      </c>
      <c r="FK76" s="41">
        <f t="shared" si="2037"/>
        <v>0.91904199475065607</v>
      </c>
      <c r="FL76" s="41">
        <f t="shared" si="2037"/>
        <v>0.87856299212598421</v>
      </c>
      <c r="FM76" s="41">
        <f t="shared" si="2037"/>
        <v>0.83808398950131224</v>
      </c>
      <c r="FN76" s="41">
        <f t="shared" si="2037"/>
        <v>0.87398293963254581</v>
      </c>
      <c r="FO76" s="41">
        <f t="shared" si="2037"/>
        <v>0.90988188976377948</v>
      </c>
      <c r="FP76" s="41">
        <f t="shared" si="2037"/>
        <v>0.94873359580052485</v>
      </c>
      <c r="FQ76" s="41">
        <f t="shared" si="2037"/>
        <v>0.98758530183727022</v>
      </c>
      <c r="FR76" s="41">
        <f t="shared" si="2037"/>
        <v>1</v>
      </c>
      <c r="FS76" s="41">
        <f t="shared" si="2037"/>
        <v>1</v>
      </c>
      <c r="FT76" s="41">
        <f t="shared" si="2037"/>
        <v>1</v>
      </c>
      <c r="FU76" s="41">
        <f t="shared" si="2037"/>
        <v>1</v>
      </c>
      <c r="FV76" s="41">
        <f t="shared" si="2037"/>
        <v>1</v>
      </c>
      <c r="FW76" s="41">
        <f t="shared" si="2037"/>
        <v>1</v>
      </c>
      <c r="FX76" s="41">
        <f t="shared" si="2037"/>
        <v>1</v>
      </c>
      <c r="FY76" s="41">
        <f t="shared" si="2037"/>
        <v>1</v>
      </c>
      <c r="FZ76" s="41">
        <f t="shared" si="2037"/>
        <v>1</v>
      </c>
      <c r="GA76" s="41">
        <f t="shared" si="2037"/>
        <v>1</v>
      </c>
      <c r="GB76" s="41">
        <f t="shared" si="2037"/>
        <v>1</v>
      </c>
      <c r="GC76" s="41">
        <f t="shared" si="2037"/>
        <v>1</v>
      </c>
      <c r="GD76" s="41">
        <f t="shared" si="2037"/>
        <v>1</v>
      </c>
      <c r="GE76" s="41">
        <f t="shared" si="2037"/>
        <v>1</v>
      </c>
      <c r="GF76" s="41">
        <f t="shared" si="2037"/>
        <v>1</v>
      </c>
      <c r="GG76" s="41">
        <f t="shared" si="2037"/>
        <v>1</v>
      </c>
      <c r="GH76" s="41">
        <f t="shared" si="2037"/>
        <v>1</v>
      </c>
      <c r="GI76" s="41">
        <f t="shared" si="2037"/>
        <v>1</v>
      </c>
      <c r="GJ76" s="41">
        <f t="shared" si="2037"/>
        <v>1</v>
      </c>
      <c r="GK76" s="41">
        <f t="shared" si="2037"/>
        <v>1</v>
      </c>
      <c r="GL76" s="41">
        <f t="shared" si="2037"/>
        <v>1</v>
      </c>
      <c r="GM76" s="41">
        <f t="shared" si="2037"/>
        <v>1</v>
      </c>
      <c r="GN76" s="41">
        <f t="shared" si="2037"/>
        <v>1</v>
      </c>
      <c r="GO76" s="41">
        <f t="shared" ref="GO76:IZ76" si="2038">GO75/$C$80</f>
        <v>1</v>
      </c>
      <c r="GP76" s="41">
        <f t="shared" si="2038"/>
        <v>1</v>
      </c>
      <c r="GQ76" s="41">
        <f t="shared" si="2038"/>
        <v>1</v>
      </c>
      <c r="GR76" s="41">
        <f t="shared" si="2038"/>
        <v>1</v>
      </c>
      <c r="GS76" s="41">
        <f t="shared" si="2038"/>
        <v>1</v>
      </c>
      <c r="GT76" s="41">
        <f t="shared" si="2038"/>
        <v>1</v>
      </c>
      <c r="GU76" s="41">
        <f t="shared" si="2038"/>
        <v>1</v>
      </c>
      <c r="GV76" s="41">
        <f t="shared" si="2038"/>
        <v>1</v>
      </c>
      <c r="GW76" s="41">
        <f t="shared" si="2038"/>
        <v>1</v>
      </c>
      <c r="GX76" s="41">
        <f t="shared" si="2038"/>
        <v>1</v>
      </c>
      <c r="GY76" s="41">
        <f t="shared" si="2038"/>
        <v>1</v>
      </c>
      <c r="GZ76" s="41">
        <f t="shared" si="2038"/>
        <v>1</v>
      </c>
      <c r="HA76" s="41">
        <f t="shared" si="2038"/>
        <v>1</v>
      </c>
      <c r="HB76" s="41">
        <f t="shared" si="2038"/>
        <v>1</v>
      </c>
      <c r="HC76" s="41">
        <f t="shared" si="2038"/>
        <v>1</v>
      </c>
      <c r="HD76" s="41">
        <f t="shared" si="2038"/>
        <v>1</v>
      </c>
      <c r="HE76" s="41">
        <f t="shared" si="2038"/>
        <v>1</v>
      </c>
      <c r="HF76" s="41">
        <f t="shared" si="2038"/>
        <v>1</v>
      </c>
      <c r="HG76" s="41">
        <f t="shared" si="2038"/>
        <v>1</v>
      </c>
      <c r="HH76" s="41">
        <f t="shared" si="2038"/>
        <v>1</v>
      </c>
      <c r="HI76" s="41">
        <f t="shared" si="2038"/>
        <v>1</v>
      </c>
      <c r="HJ76" s="41">
        <f t="shared" si="2038"/>
        <v>1</v>
      </c>
      <c r="HK76" s="41">
        <f t="shared" si="2038"/>
        <v>1</v>
      </c>
      <c r="HL76" s="41">
        <f t="shared" si="2038"/>
        <v>1</v>
      </c>
      <c r="HM76" s="41">
        <f t="shared" si="2038"/>
        <v>1</v>
      </c>
      <c r="HN76" s="41">
        <f t="shared" si="2038"/>
        <v>1</v>
      </c>
      <c r="HO76" s="41">
        <f t="shared" si="2038"/>
        <v>1</v>
      </c>
      <c r="HP76" s="41">
        <f t="shared" si="2038"/>
        <v>1</v>
      </c>
      <c r="HQ76" s="41">
        <f t="shared" si="2038"/>
        <v>1</v>
      </c>
      <c r="HR76" s="41">
        <f t="shared" si="2038"/>
        <v>1</v>
      </c>
      <c r="HS76" s="41">
        <f t="shared" si="2038"/>
        <v>1</v>
      </c>
      <c r="HT76" s="41">
        <f t="shared" si="2038"/>
        <v>1</v>
      </c>
      <c r="HU76" s="41">
        <f t="shared" si="2038"/>
        <v>1</v>
      </c>
      <c r="HV76" s="41">
        <f t="shared" si="2038"/>
        <v>1</v>
      </c>
      <c r="HW76" s="41">
        <f t="shared" si="2038"/>
        <v>1</v>
      </c>
      <c r="HX76" s="41">
        <f t="shared" si="2038"/>
        <v>1</v>
      </c>
      <c r="HY76" s="41">
        <f t="shared" si="2038"/>
        <v>1</v>
      </c>
      <c r="HZ76" s="41">
        <f t="shared" si="2038"/>
        <v>1</v>
      </c>
      <c r="IA76" s="41">
        <f t="shared" si="2038"/>
        <v>1</v>
      </c>
      <c r="IB76" s="41">
        <f t="shared" si="2038"/>
        <v>1</v>
      </c>
      <c r="IC76" s="41">
        <f t="shared" si="2038"/>
        <v>1</v>
      </c>
      <c r="ID76" s="41">
        <f t="shared" si="2038"/>
        <v>0.96247375328083984</v>
      </c>
      <c r="IE76" s="41">
        <f t="shared" si="2038"/>
        <v>0.92494750656167968</v>
      </c>
      <c r="IF76" s="41">
        <f t="shared" si="2038"/>
        <v>0.88742125984251952</v>
      </c>
      <c r="IG76" s="41">
        <f t="shared" si="2038"/>
        <v>0.84989501312335936</v>
      </c>
      <c r="IH76" s="41">
        <f t="shared" si="2038"/>
        <v>0.88874671916010473</v>
      </c>
      <c r="II76" s="41">
        <f t="shared" si="2038"/>
        <v>0.92759842519685021</v>
      </c>
      <c r="IJ76" s="41">
        <f t="shared" si="2038"/>
        <v>0.96645013123359558</v>
      </c>
      <c r="IK76" s="41">
        <f t="shared" si="2038"/>
        <v>1</v>
      </c>
      <c r="IL76" s="41">
        <f t="shared" si="2038"/>
        <v>1</v>
      </c>
      <c r="IM76" s="41">
        <f t="shared" si="2038"/>
        <v>1</v>
      </c>
      <c r="IN76" s="41">
        <f t="shared" si="2038"/>
        <v>1</v>
      </c>
      <c r="IO76" s="41">
        <f t="shared" si="2038"/>
        <v>1</v>
      </c>
      <c r="IP76" s="41">
        <f t="shared" si="2038"/>
        <v>1</v>
      </c>
      <c r="IQ76" s="41">
        <f t="shared" si="2038"/>
        <v>1</v>
      </c>
      <c r="IR76" s="41">
        <f t="shared" si="2038"/>
        <v>1</v>
      </c>
      <c r="IS76" s="41">
        <f t="shared" si="2038"/>
        <v>1</v>
      </c>
      <c r="IT76" s="41">
        <f t="shared" si="2038"/>
        <v>1</v>
      </c>
      <c r="IU76" s="41">
        <f t="shared" si="2038"/>
        <v>1</v>
      </c>
      <c r="IV76" s="41">
        <f t="shared" si="2038"/>
        <v>1</v>
      </c>
      <c r="IW76" s="41">
        <f t="shared" si="2038"/>
        <v>1</v>
      </c>
      <c r="IX76" s="41">
        <f t="shared" si="2038"/>
        <v>1</v>
      </c>
      <c r="IY76" s="41">
        <f t="shared" si="2038"/>
        <v>1</v>
      </c>
      <c r="IZ76" s="41">
        <f t="shared" si="2038"/>
        <v>1</v>
      </c>
      <c r="JA76" s="41">
        <f t="shared" ref="JA76:LL76" si="2039">JA75/$C$80</f>
        <v>1</v>
      </c>
      <c r="JB76" s="41">
        <f t="shared" si="2039"/>
        <v>1</v>
      </c>
      <c r="JC76" s="41">
        <f t="shared" si="2039"/>
        <v>1</v>
      </c>
      <c r="JD76" s="41">
        <f t="shared" si="2039"/>
        <v>1</v>
      </c>
      <c r="JE76" s="41">
        <f t="shared" si="2039"/>
        <v>1</v>
      </c>
      <c r="JF76" s="41">
        <f t="shared" si="2039"/>
        <v>1</v>
      </c>
      <c r="JG76" s="41">
        <f t="shared" si="2039"/>
        <v>1</v>
      </c>
      <c r="JH76" s="41">
        <f t="shared" si="2039"/>
        <v>1</v>
      </c>
      <c r="JI76" s="41">
        <f t="shared" si="2039"/>
        <v>1</v>
      </c>
      <c r="JJ76" s="41">
        <f t="shared" si="2039"/>
        <v>1</v>
      </c>
      <c r="JK76" s="41">
        <f t="shared" si="2039"/>
        <v>1</v>
      </c>
      <c r="JL76" s="41">
        <f t="shared" si="2039"/>
        <v>1</v>
      </c>
      <c r="JM76" s="41">
        <f t="shared" si="2039"/>
        <v>1</v>
      </c>
      <c r="JN76" s="41">
        <f t="shared" si="2039"/>
        <v>1</v>
      </c>
      <c r="JO76" s="41">
        <f t="shared" si="2039"/>
        <v>1</v>
      </c>
      <c r="JP76" s="41">
        <f t="shared" si="2039"/>
        <v>1</v>
      </c>
      <c r="JQ76" s="41">
        <f t="shared" si="2039"/>
        <v>1</v>
      </c>
      <c r="JR76" s="41">
        <f t="shared" si="2039"/>
        <v>1</v>
      </c>
      <c r="JS76" s="41">
        <f t="shared" si="2039"/>
        <v>1</v>
      </c>
      <c r="JT76" s="41">
        <f t="shared" si="2039"/>
        <v>1</v>
      </c>
      <c r="JU76" s="41">
        <f t="shared" si="2039"/>
        <v>1</v>
      </c>
      <c r="JV76" s="41">
        <f t="shared" si="2039"/>
        <v>1</v>
      </c>
      <c r="JW76" s="41">
        <f t="shared" si="2039"/>
        <v>1</v>
      </c>
      <c r="JX76" s="41">
        <f t="shared" si="2039"/>
        <v>1</v>
      </c>
      <c r="JY76" s="41">
        <f t="shared" si="2039"/>
        <v>1</v>
      </c>
      <c r="JZ76" s="41">
        <f t="shared" si="2039"/>
        <v>1</v>
      </c>
      <c r="KA76" s="41">
        <f t="shared" si="2039"/>
        <v>1</v>
      </c>
      <c r="KB76" s="41">
        <f t="shared" si="2039"/>
        <v>1</v>
      </c>
      <c r="KC76" s="41">
        <f t="shared" si="2039"/>
        <v>1</v>
      </c>
      <c r="KD76" s="41">
        <f t="shared" si="2039"/>
        <v>1</v>
      </c>
      <c r="KE76" s="41">
        <f t="shared" si="2039"/>
        <v>1</v>
      </c>
      <c r="KF76" s="41">
        <f t="shared" si="2039"/>
        <v>1</v>
      </c>
      <c r="KG76" s="41">
        <f t="shared" si="2039"/>
        <v>1</v>
      </c>
      <c r="KH76" s="41">
        <f t="shared" si="2039"/>
        <v>1</v>
      </c>
      <c r="KI76" s="41">
        <f t="shared" si="2039"/>
        <v>1</v>
      </c>
      <c r="KJ76" s="41">
        <f t="shared" si="2039"/>
        <v>1</v>
      </c>
      <c r="KK76" s="41">
        <f t="shared" si="2039"/>
        <v>1</v>
      </c>
      <c r="KL76" s="41">
        <f t="shared" si="2039"/>
        <v>1</v>
      </c>
      <c r="KM76" s="41">
        <f t="shared" si="2039"/>
        <v>1</v>
      </c>
      <c r="KN76" s="41">
        <f t="shared" si="2039"/>
        <v>1</v>
      </c>
      <c r="KO76" s="41">
        <f t="shared" si="2039"/>
        <v>1</v>
      </c>
      <c r="KP76" s="41">
        <f t="shared" si="2039"/>
        <v>1</v>
      </c>
      <c r="KQ76" s="41">
        <f t="shared" si="2039"/>
        <v>1</v>
      </c>
      <c r="KR76" s="41">
        <f t="shared" si="2039"/>
        <v>1</v>
      </c>
      <c r="KS76" s="41">
        <f t="shared" si="2039"/>
        <v>1</v>
      </c>
      <c r="KT76" s="41">
        <f t="shared" si="2039"/>
        <v>1</v>
      </c>
      <c r="KU76" s="41">
        <f t="shared" si="2039"/>
        <v>1</v>
      </c>
      <c r="KV76" s="41">
        <f t="shared" si="2039"/>
        <v>1</v>
      </c>
      <c r="KW76" s="41">
        <f t="shared" si="2039"/>
        <v>1</v>
      </c>
      <c r="KX76" s="41">
        <f t="shared" si="2039"/>
        <v>0.9628018372703413</v>
      </c>
      <c r="KY76" s="41">
        <f t="shared" si="2039"/>
        <v>0.9256036745406826</v>
      </c>
      <c r="KZ76" s="41">
        <f t="shared" si="2039"/>
        <v>0.88840551181102378</v>
      </c>
      <c r="LA76" s="41">
        <f t="shared" si="2039"/>
        <v>0.85120734908136508</v>
      </c>
      <c r="LB76" s="41">
        <f t="shared" si="2039"/>
        <v>0.8903871391076118</v>
      </c>
      <c r="LC76" s="41">
        <f t="shared" si="2039"/>
        <v>0.92956692913385852</v>
      </c>
      <c r="LD76" s="41">
        <f t="shared" si="2039"/>
        <v>0.96874671916010513</v>
      </c>
      <c r="LE76" s="41">
        <f t="shared" si="2039"/>
        <v>1</v>
      </c>
      <c r="LF76" s="41">
        <f t="shared" si="2039"/>
        <v>1</v>
      </c>
      <c r="LG76" s="41">
        <f t="shared" si="2039"/>
        <v>1</v>
      </c>
      <c r="LH76" s="41">
        <f t="shared" si="2039"/>
        <v>1</v>
      </c>
      <c r="LI76" s="41">
        <f t="shared" si="2039"/>
        <v>1</v>
      </c>
      <c r="LJ76" s="41">
        <f t="shared" si="2039"/>
        <v>1</v>
      </c>
      <c r="LK76" s="41">
        <f t="shared" si="2039"/>
        <v>1</v>
      </c>
      <c r="LL76" s="41">
        <f t="shared" si="2039"/>
        <v>1</v>
      </c>
      <c r="LM76" s="41">
        <f t="shared" ref="LM76:NX76" si="2040">LM75/$C$80</f>
        <v>1</v>
      </c>
      <c r="LN76" s="41">
        <f t="shared" si="2040"/>
        <v>1</v>
      </c>
      <c r="LO76" s="41">
        <f t="shared" si="2040"/>
        <v>1</v>
      </c>
      <c r="LP76" s="41">
        <f t="shared" si="2040"/>
        <v>1</v>
      </c>
      <c r="LQ76" s="41">
        <f t="shared" si="2040"/>
        <v>1</v>
      </c>
      <c r="LR76" s="41">
        <f t="shared" si="2040"/>
        <v>1</v>
      </c>
      <c r="LS76" s="41">
        <f t="shared" si="2040"/>
        <v>1</v>
      </c>
      <c r="LT76" s="41">
        <f t="shared" si="2040"/>
        <v>1</v>
      </c>
      <c r="LU76" s="41">
        <f t="shared" si="2040"/>
        <v>1</v>
      </c>
      <c r="LV76" s="41">
        <f t="shared" si="2040"/>
        <v>1</v>
      </c>
      <c r="LW76" s="41">
        <f t="shared" si="2040"/>
        <v>1</v>
      </c>
      <c r="LX76" s="41">
        <f t="shared" si="2040"/>
        <v>1</v>
      </c>
      <c r="LY76" s="41">
        <f t="shared" si="2040"/>
        <v>1</v>
      </c>
      <c r="LZ76" s="41">
        <f t="shared" si="2040"/>
        <v>1</v>
      </c>
      <c r="MA76" s="41">
        <f t="shared" si="2040"/>
        <v>1</v>
      </c>
      <c r="MB76" s="41">
        <f t="shared" si="2040"/>
        <v>1</v>
      </c>
      <c r="MC76" s="41">
        <f t="shared" si="2040"/>
        <v>1</v>
      </c>
      <c r="MD76" s="41">
        <f t="shared" si="2040"/>
        <v>1</v>
      </c>
      <c r="ME76" s="41">
        <f t="shared" si="2040"/>
        <v>1</v>
      </c>
      <c r="MF76" s="41">
        <f t="shared" si="2040"/>
        <v>1</v>
      </c>
      <c r="MG76" s="41">
        <f t="shared" si="2040"/>
        <v>1</v>
      </c>
      <c r="MH76" s="41">
        <f t="shared" si="2040"/>
        <v>1</v>
      </c>
      <c r="MI76" s="41">
        <f t="shared" si="2040"/>
        <v>1</v>
      </c>
      <c r="MJ76" s="41">
        <f t="shared" si="2040"/>
        <v>1</v>
      </c>
      <c r="MK76" s="41">
        <f t="shared" si="2040"/>
        <v>1</v>
      </c>
      <c r="ML76" s="41">
        <f t="shared" si="2040"/>
        <v>1</v>
      </c>
      <c r="MM76" s="41">
        <f t="shared" si="2040"/>
        <v>1</v>
      </c>
      <c r="MN76" s="41">
        <f t="shared" si="2040"/>
        <v>1</v>
      </c>
      <c r="MO76" s="41">
        <f t="shared" si="2040"/>
        <v>1</v>
      </c>
      <c r="MP76" s="41">
        <f t="shared" si="2040"/>
        <v>1</v>
      </c>
      <c r="MQ76" s="41">
        <f t="shared" si="2040"/>
        <v>1</v>
      </c>
      <c r="MR76" s="41">
        <f t="shared" si="2040"/>
        <v>1</v>
      </c>
      <c r="MS76" s="41">
        <f t="shared" si="2040"/>
        <v>1</v>
      </c>
      <c r="MT76" s="41">
        <f t="shared" si="2040"/>
        <v>1</v>
      </c>
      <c r="MU76" s="41">
        <f t="shared" si="2040"/>
        <v>1</v>
      </c>
      <c r="MV76" s="41">
        <f t="shared" si="2040"/>
        <v>1</v>
      </c>
      <c r="MW76" s="41">
        <f t="shared" si="2040"/>
        <v>1</v>
      </c>
      <c r="MX76" s="41">
        <f t="shared" si="2040"/>
        <v>1</v>
      </c>
      <c r="MY76" s="41">
        <f t="shared" si="2040"/>
        <v>1</v>
      </c>
      <c r="MZ76" s="41">
        <f t="shared" si="2040"/>
        <v>1</v>
      </c>
      <c r="NA76" s="41">
        <f t="shared" si="2040"/>
        <v>1</v>
      </c>
      <c r="NB76" s="41">
        <f t="shared" si="2040"/>
        <v>1</v>
      </c>
      <c r="NC76" s="41">
        <f t="shared" si="2040"/>
        <v>1</v>
      </c>
      <c r="ND76" s="41">
        <f t="shared" si="2040"/>
        <v>1</v>
      </c>
      <c r="NE76" s="41">
        <f t="shared" si="2040"/>
        <v>1</v>
      </c>
      <c r="NF76" s="41">
        <f t="shared" si="2040"/>
        <v>1</v>
      </c>
      <c r="NG76" s="41">
        <f t="shared" si="2040"/>
        <v>1</v>
      </c>
      <c r="NH76" s="41">
        <f t="shared" si="2040"/>
        <v>1</v>
      </c>
      <c r="NI76" s="41">
        <f t="shared" si="2040"/>
        <v>1</v>
      </c>
      <c r="NJ76" s="41">
        <f t="shared" si="2040"/>
        <v>1</v>
      </c>
      <c r="NK76" s="41">
        <f t="shared" si="2040"/>
        <v>1</v>
      </c>
      <c r="NL76" s="41">
        <f t="shared" si="2040"/>
        <v>1</v>
      </c>
      <c r="NM76" s="41">
        <f t="shared" si="2040"/>
        <v>1</v>
      </c>
      <c r="NN76" s="41">
        <f t="shared" si="2040"/>
        <v>1</v>
      </c>
      <c r="NO76" s="41">
        <f t="shared" si="2040"/>
        <v>1</v>
      </c>
      <c r="NP76" s="41">
        <f t="shared" si="2040"/>
        <v>1</v>
      </c>
      <c r="NQ76" s="41">
        <f t="shared" si="2040"/>
        <v>1</v>
      </c>
      <c r="NR76" s="41">
        <f t="shared" si="2040"/>
        <v>0.96247375328083984</v>
      </c>
      <c r="NS76" s="41">
        <f t="shared" si="2040"/>
        <v>0.92527559055118114</v>
      </c>
      <c r="NT76" s="41">
        <f t="shared" si="2040"/>
        <v>0.88807742782152244</v>
      </c>
      <c r="NU76" s="41">
        <f t="shared" si="2040"/>
        <v>0.85087926509186362</v>
      </c>
      <c r="NV76" s="41">
        <f t="shared" si="2040"/>
        <v>0.89005905511811034</v>
      </c>
      <c r="NW76" s="41">
        <f t="shared" si="2040"/>
        <v>0.92923884514435706</v>
      </c>
      <c r="NX76" s="41">
        <f t="shared" si="2040"/>
        <v>0.96841863517060378</v>
      </c>
      <c r="NY76" s="41">
        <f t="shared" ref="NY76:QJ76" si="2041">NY75/$C$80</f>
        <v>1</v>
      </c>
      <c r="NZ76" s="41">
        <f t="shared" si="2041"/>
        <v>1</v>
      </c>
      <c r="OA76" s="41">
        <f t="shared" si="2041"/>
        <v>1</v>
      </c>
      <c r="OB76" s="41">
        <f t="shared" si="2041"/>
        <v>1</v>
      </c>
      <c r="OC76" s="41">
        <f t="shared" si="2041"/>
        <v>1</v>
      </c>
      <c r="OD76" s="41">
        <f t="shared" si="2041"/>
        <v>1</v>
      </c>
      <c r="OE76" s="41">
        <f t="shared" si="2041"/>
        <v>1</v>
      </c>
      <c r="OF76" s="41">
        <f t="shared" si="2041"/>
        <v>1</v>
      </c>
      <c r="OG76" s="41">
        <f t="shared" si="2041"/>
        <v>1</v>
      </c>
      <c r="OH76" s="41">
        <f t="shared" si="2041"/>
        <v>1</v>
      </c>
      <c r="OI76" s="41">
        <f t="shared" si="2041"/>
        <v>1</v>
      </c>
      <c r="OJ76" s="41">
        <f t="shared" si="2041"/>
        <v>1</v>
      </c>
      <c r="OK76" s="41">
        <f t="shared" si="2041"/>
        <v>1</v>
      </c>
      <c r="OL76" s="41">
        <f t="shared" si="2041"/>
        <v>1</v>
      </c>
      <c r="OM76" s="41">
        <f t="shared" si="2041"/>
        <v>1</v>
      </c>
      <c r="ON76" s="41">
        <f t="shared" si="2041"/>
        <v>1</v>
      </c>
      <c r="OO76" s="41">
        <f t="shared" si="2041"/>
        <v>1</v>
      </c>
      <c r="OP76" s="41">
        <f t="shared" si="2041"/>
        <v>1</v>
      </c>
      <c r="OQ76" s="41">
        <f t="shared" si="2041"/>
        <v>1</v>
      </c>
      <c r="OR76" s="41">
        <f t="shared" si="2041"/>
        <v>1</v>
      </c>
      <c r="OS76" s="41">
        <f t="shared" si="2041"/>
        <v>1</v>
      </c>
      <c r="OT76" s="41">
        <f t="shared" si="2041"/>
        <v>1</v>
      </c>
      <c r="OU76" s="41">
        <f t="shared" si="2041"/>
        <v>1</v>
      </c>
      <c r="OV76" s="41">
        <f t="shared" si="2041"/>
        <v>1</v>
      </c>
      <c r="OW76" s="41">
        <f t="shared" si="2041"/>
        <v>1</v>
      </c>
      <c r="OX76" s="41">
        <f t="shared" si="2041"/>
        <v>1</v>
      </c>
      <c r="OY76" s="41">
        <f t="shared" si="2041"/>
        <v>1</v>
      </c>
      <c r="OZ76" s="41">
        <f t="shared" si="2041"/>
        <v>1</v>
      </c>
      <c r="PA76" s="41">
        <f t="shared" si="2041"/>
        <v>1</v>
      </c>
      <c r="PB76" s="41">
        <f t="shared" si="2041"/>
        <v>1</v>
      </c>
      <c r="PC76" s="41">
        <f t="shared" si="2041"/>
        <v>1</v>
      </c>
      <c r="PD76" s="41">
        <f t="shared" si="2041"/>
        <v>1</v>
      </c>
      <c r="PE76" s="41">
        <f t="shared" si="2041"/>
        <v>1</v>
      </c>
      <c r="PF76" s="41">
        <f t="shared" si="2041"/>
        <v>1</v>
      </c>
      <c r="PG76" s="41">
        <f t="shared" si="2041"/>
        <v>1</v>
      </c>
      <c r="PH76" s="41">
        <f t="shared" si="2041"/>
        <v>1</v>
      </c>
      <c r="PI76" s="41">
        <f t="shared" si="2041"/>
        <v>1</v>
      </c>
      <c r="PJ76" s="41">
        <f t="shared" si="2041"/>
        <v>1</v>
      </c>
      <c r="PK76" s="41">
        <f t="shared" si="2041"/>
        <v>1</v>
      </c>
      <c r="PL76" s="41">
        <f t="shared" si="2041"/>
        <v>1</v>
      </c>
      <c r="PM76" s="41">
        <f t="shared" si="2041"/>
        <v>1</v>
      </c>
      <c r="PN76" s="41">
        <f t="shared" si="2041"/>
        <v>1</v>
      </c>
      <c r="PO76" s="41">
        <f t="shared" si="2041"/>
        <v>1</v>
      </c>
      <c r="PP76" s="41">
        <f t="shared" si="2041"/>
        <v>1</v>
      </c>
      <c r="PQ76" s="41">
        <f t="shared" si="2041"/>
        <v>1</v>
      </c>
      <c r="PR76" s="41">
        <f t="shared" si="2041"/>
        <v>1</v>
      </c>
      <c r="PS76" s="41">
        <f t="shared" si="2041"/>
        <v>1</v>
      </c>
      <c r="PT76" s="41">
        <f t="shared" si="2041"/>
        <v>1</v>
      </c>
      <c r="PU76" s="41">
        <f t="shared" si="2041"/>
        <v>1</v>
      </c>
      <c r="PV76" s="41">
        <f t="shared" si="2041"/>
        <v>1</v>
      </c>
      <c r="PW76" s="41">
        <f t="shared" si="2041"/>
        <v>1</v>
      </c>
      <c r="PX76" s="41">
        <f t="shared" si="2041"/>
        <v>1</v>
      </c>
      <c r="PY76" s="41">
        <f t="shared" si="2041"/>
        <v>1</v>
      </c>
      <c r="PZ76" s="41">
        <f t="shared" si="2041"/>
        <v>1</v>
      </c>
      <c r="QA76" s="41">
        <f t="shared" si="2041"/>
        <v>1</v>
      </c>
      <c r="QB76" s="41">
        <f t="shared" si="2041"/>
        <v>1</v>
      </c>
      <c r="QC76" s="41">
        <f t="shared" si="2041"/>
        <v>1</v>
      </c>
      <c r="QD76" s="41">
        <f t="shared" si="2041"/>
        <v>1</v>
      </c>
      <c r="QE76" s="41">
        <f t="shared" si="2041"/>
        <v>1</v>
      </c>
      <c r="QF76" s="41">
        <f t="shared" si="2041"/>
        <v>1</v>
      </c>
      <c r="QG76" s="41">
        <f t="shared" si="2041"/>
        <v>1</v>
      </c>
      <c r="QH76" s="41">
        <f t="shared" si="2041"/>
        <v>1</v>
      </c>
      <c r="QI76" s="41">
        <f t="shared" si="2041"/>
        <v>1</v>
      </c>
      <c r="QJ76" s="41">
        <f t="shared" si="2041"/>
        <v>1</v>
      </c>
      <c r="QK76" s="41">
        <f t="shared" ref="QK76:SV76" si="2042">QK75/$C$80</f>
        <v>1</v>
      </c>
      <c r="QL76" s="41">
        <f t="shared" si="2042"/>
        <v>0.9628018372703413</v>
      </c>
      <c r="QM76" s="41">
        <f t="shared" si="2042"/>
        <v>0.9256036745406826</v>
      </c>
      <c r="QN76" s="41">
        <f t="shared" si="2042"/>
        <v>0.88840551181102378</v>
      </c>
      <c r="QO76" s="41">
        <f t="shared" si="2042"/>
        <v>0.85120734908136508</v>
      </c>
      <c r="QP76" s="41">
        <f t="shared" si="2042"/>
        <v>0.8903871391076118</v>
      </c>
      <c r="QQ76" s="41">
        <f t="shared" si="2042"/>
        <v>0.92956692913385852</v>
      </c>
      <c r="QR76" s="41">
        <f t="shared" si="2042"/>
        <v>0.96874671916010513</v>
      </c>
      <c r="QS76" s="41">
        <f t="shared" si="2042"/>
        <v>1</v>
      </c>
      <c r="QT76" s="41">
        <f t="shared" si="2042"/>
        <v>1</v>
      </c>
      <c r="QU76" s="41">
        <f t="shared" si="2042"/>
        <v>1</v>
      </c>
      <c r="QV76" s="41">
        <f t="shared" si="2042"/>
        <v>1</v>
      </c>
      <c r="QW76" s="41">
        <f t="shared" si="2042"/>
        <v>1</v>
      </c>
      <c r="QX76" s="41">
        <f t="shared" si="2042"/>
        <v>1</v>
      </c>
      <c r="QY76" s="41">
        <f t="shared" si="2042"/>
        <v>1</v>
      </c>
      <c r="QZ76" s="41">
        <f t="shared" si="2042"/>
        <v>1</v>
      </c>
      <c r="RA76" s="41">
        <f t="shared" si="2042"/>
        <v>1</v>
      </c>
      <c r="RB76" s="41">
        <f t="shared" si="2042"/>
        <v>1</v>
      </c>
      <c r="RC76" s="41">
        <f t="shared" si="2042"/>
        <v>1</v>
      </c>
      <c r="RD76" s="41">
        <f t="shared" si="2042"/>
        <v>1</v>
      </c>
      <c r="RE76" s="41">
        <f t="shared" si="2042"/>
        <v>1</v>
      </c>
      <c r="RF76" s="41">
        <f t="shared" si="2042"/>
        <v>1</v>
      </c>
      <c r="RG76" s="41">
        <f t="shared" si="2042"/>
        <v>1</v>
      </c>
      <c r="RH76" s="41">
        <f t="shared" si="2042"/>
        <v>1</v>
      </c>
      <c r="RI76" s="41">
        <f t="shared" si="2042"/>
        <v>1</v>
      </c>
      <c r="RJ76" s="41">
        <f t="shared" si="2042"/>
        <v>1</v>
      </c>
      <c r="RK76" s="41">
        <f t="shared" si="2042"/>
        <v>1</v>
      </c>
      <c r="RL76" s="41">
        <f t="shared" si="2042"/>
        <v>1</v>
      </c>
      <c r="RM76" s="41">
        <f t="shared" si="2042"/>
        <v>1</v>
      </c>
      <c r="RN76" s="41">
        <f t="shared" si="2042"/>
        <v>1</v>
      </c>
      <c r="RO76" s="41">
        <f t="shared" si="2042"/>
        <v>1</v>
      </c>
      <c r="RP76" s="41">
        <f t="shared" si="2042"/>
        <v>1</v>
      </c>
      <c r="RQ76" s="41">
        <f t="shared" si="2042"/>
        <v>1</v>
      </c>
      <c r="RR76" s="41">
        <f t="shared" si="2042"/>
        <v>1</v>
      </c>
      <c r="RS76" s="41">
        <f t="shared" si="2042"/>
        <v>1</v>
      </c>
      <c r="RT76" s="41">
        <f t="shared" si="2042"/>
        <v>1</v>
      </c>
      <c r="RU76" s="41">
        <f t="shared" si="2042"/>
        <v>1</v>
      </c>
      <c r="RV76" s="41">
        <f t="shared" si="2042"/>
        <v>1</v>
      </c>
      <c r="RW76" s="41">
        <f t="shared" si="2042"/>
        <v>1</v>
      </c>
      <c r="RX76" s="41">
        <f t="shared" si="2042"/>
        <v>1</v>
      </c>
      <c r="RY76" s="41">
        <f t="shared" si="2042"/>
        <v>1</v>
      </c>
      <c r="RZ76" s="41">
        <f t="shared" si="2042"/>
        <v>1</v>
      </c>
      <c r="SA76" s="41">
        <f t="shared" si="2042"/>
        <v>1</v>
      </c>
      <c r="SB76" s="41">
        <f t="shared" si="2042"/>
        <v>1</v>
      </c>
      <c r="SC76" s="41">
        <f t="shared" si="2042"/>
        <v>1</v>
      </c>
      <c r="SD76" s="41">
        <f t="shared" si="2042"/>
        <v>1</v>
      </c>
      <c r="SE76" s="41">
        <f t="shared" si="2042"/>
        <v>1</v>
      </c>
      <c r="SF76" s="41">
        <f t="shared" si="2042"/>
        <v>1</v>
      </c>
      <c r="SG76" s="41">
        <f t="shared" si="2042"/>
        <v>1</v>
      </c>
      <c r="SH76" s="41">
        <f t="shared" si="2042"/>
        <v>1</v>
      </c>
      <c r="SI76" s="41">
        <f t="shared" si="2042"/>
        <v>1</v>
      </c>
      <c r="SJ76" s="41">
        <f t="shared" si="2042"/>
        <v>1</v>
      </c>
      <c r="SK76" s="41">
        <f t="shared" si="2042"/>
        <v>1</v>
      </c>
      <c r="SL76" s="41">
        <f t="shared" si="2042"/>
        <v>1</v>
      </c>
      <c r="SM76" s="41">
        <f t="shared" si="2042"/>
        <v>1</v>
      </c>
      <c r="SN76" s="41">
        <f t="shared" si="2042"/>
        <v>1</v>
      </c>
      <c r="SO76" s="41">
        <f t="shared" si="2042"/>
        <v>1</v>
      </c>
      <c r="SP76" s="41">
        <f t="shared" si="2042"/>
        <v>1</v>
      </c>
      <c r="SQ76" s="41">
        <f t="shared" si="2042"/>
        <v>1</v>
      </c>
      <c r="SR76" s="41">
        <f t="shared" si="2042"/>
        <v>1</v>
      </c>
      <c r="SS76" s="41">
        <f t="shared" si="2042"/>
        <v>1</v>
      </c>
      <c r="ST76" s="41">
        <f t="shared" si="2042"/>
        <v>1</v>
      </c>
      <c r="SU76" s="41">
        <f t="shared" si="2042"/>
        <v>1</v>
      </c>
      <c r="SV76" s="41">
        <f t="shared" si="2042"/>
        <v>1</v>
      </c>
      <c r="SW76" s="41">
        <f t="shared" ref="SW76:VH76" si="2043">SW75/$C$80</f>
        <v>1</v>
      </c>
      <c r="SX76" s="41">
        <f t="shared" si="2043"/>
        <v>1</v>
      </c>
      <c r="SY76" s="41">
        <f t="shared" si="2043"/>
        <v>1</v>
      </c>
      <c r="SZ76" s="41">
        <f t="shared" si="2043"/>
        <v>1</v>
      </c>
      <c r="TA76" s="41">
        <f t="shared" si="2043"/>
        <v>1</v>
      </c>
      <c r="TB76" s="41">
        <f t="shared" si="2043"/>
        <v>1</v>
      </c>
      <c r="TC76" s="41">
        <f t="shared" si="2043"/>
        <v>1</v>
      </c>
      <c r="TD76" s="41">
        <f t="shared" si="2043"/>
        <v>1</v>
      </c>
      <c r="TE76" s="41">
        <f t="shared" si="2043"/>
        <v>1</v>
      </c>
      <c r="TF76" s="41">
        <f t="shared" si="2043"/>
        <v>0.96247375328083984</v>
      </c>
      <c r="TG76" s="41">
        <f t="shared" si="2043"/>
        <v>0.92527559055118114</v>
      </c>
      <c r="TH76" s="41">
        <f t="shared" si="2043"/>
        <v>0.88807742782152244</v>
      </c>
      <c r="TI76" s="41">
        <f t="shared" si="2043"/>
        <v>0.85087926509186362</v>
      </c>
      <c r="TJ76" s="41">
        <f t="shared" si="2043"/>
        <v>0.89005905511811034</v>
      </c>
      <c r="TK76" s="41">
        <f t="shared" si="2043"/>
        <v>0.92923884514435706</v>
      </c>
      <c r="TL76" s="41">
        <f t="shared" si="2043"/>
        <v>0.96841863517060378</v>
      </c>
      <c r="TM76" s="41">
        <f t="shared" si="2043"/>
        <v>1</v>
      </c>
      <c r="TN76" s="41">
        <f t="shared" si="2043"/>
        <v>1</v>
      </c>
      <c r="TO76" s="41">
        <f t="shared" si="2043"/>
        <v>1</v>
      </c>
      <c r="TP76" s="41">
        <f t="shared" si="2043"/>
        <v>1</v>
      </c>
      <c r="TQ76" s="41">
        <f t="shared" si="2043"/>
        <v>1</v>
      </c>
      <c r="TR76" s="41">
        <f t="shared" si="2043"/>
        <v>1</v>
      </c>
      <c r="TS76" s="41">
        <f t="shared" si="2043"/>
        <v>1</v>
      </c>
      <c r="TT76" s="41">
        <f t="shared" si="2043"/>
        <v>1</v>
      </c>
      <c r="TU76" s="41">
        <f t="shared" si="2043"/>
        <v>1</v>
      </c>
      <c r="TV76" s="41">
        <f t="shared" si="2043"/>
        <v>1</v>
      </c>
      <c r="TW76" s="41">
        <f t="shared" si="2043"/>
        <v>1</v>
      </c>
      <c r="TX76" s="41">
        <f t="shared" si="2043"/>
        <v>1</v>
      </c>
      <c r="TY76" s="41">
        <f t="shared" si="2043"/>
        <v>1</v>
      </c>
      <c r="TZ76" s="41">
        <f t="shared" si="2043"/>
        <v>1</v>
      </c>
      <c r="UA76" s="41">
        <f t="shared" si="2043"/>
        <v>1</v>
      </c>
      <c r="UB76" s="41">
        <f t="shared" si="2043"/>
        <v>1</v>
      </c>
      <c r="UC76" s="41">
        <f t="shared" si="2043"/>
        <v>1</v>
      </c>
      <c r="UD76" s="41">
        <f t="shared" si="2043"/>
        <v>1</v>
      </c>
      <c r="UE76" s="41">
        <f t="shared" si="2043"/>
        <v>1</v>
      </c>
      <c r="UF76" s="41">
        <f t="shared" si="2043"/>
        <v>1</v>
      </c>
      <c r="UG76" s="41">
        <f t="shared" si="2043"/>
        <v>1</v>
      </c>
      <c r="UH76" s="41">
        <f t="shared" si="2043"/>
        <v>1</v>
      </c>
      <c r="UI76" s="41">
        <f t="shared" si="2043"/>
        <v>1</v>
      </c>
      <c r="UJ76" s="41">
        <f t="shared" si="2043"/>
        <v>1</v>
      </c>
      <c r="UK76" s="41">
        <f t="shared" si="2043"/>
        <v>1</v>
      </c>
      <c r="UL76" s="41">
        <f t="shared" si="2043"/>
        <v>1</v>
      </c>
      <c r="UM76" s="41">
        <f t="shared" si="2043"/>
        <v>1</v>
      </c>
      <c r="UN76" s="41">
        <f t="shared" si="2043"/>
        <v>1</v>
      </c>
      <c r="UO76" s="41">
        <f t="shared" si="2043"/>
        <v>1</v>
      </c>
      <c r="UP76" s="41">
        <f t="shared" si="2043"/>
        <v>1</v>
      </c>
      <c r="UQ76" s="41">
        <f t="shared" si="2043"/>
        <v>1</v>
      </c>
      <c r="UR76" s="41">
        <f t="shared" si="2043"/>
        <v>1</v>
      </c>
      <c r="US76" s="41">
        <f t="shared" si="2043"/>
        <v>1</v>
      </c>
      <c r="UT76" s="41">
        <f t="shared" si="2043"/>
        <v>1</v>
      </c>
      <c r="UU76" s="41">
        <f t="shared" si="2043"/>
        <v>1</v>
      </c>
      <c r="UV76" s="41">
        <f t="shared" si="2043"/>
        <v>1</v>
      </c>
      <c r="UW76" s="41">
        <f t="shared" si="2043"/>
        <v>1</v>
      </c>
      <c r="UX76" s="41">
        <f t="shared" si="2043"/>
        <v>1</v>
      </c>
      <c r="UY76" s="41">
        <f t="shared" si="2043"/>
        <v>1</v>
      </c>
      <c r="UZ76" s="41">
        <f t="shared" si="2043"/>
        <v>1</v>
      </c>
      <c r="VA76" s="41">
        <f t="shared" si="2043"/>
        <v>1</v>
      </c>
      <c r="VB76" s="41">
        <f t="shared" si="2043"/>
        <v>1</v>
      </c>
      <c r="VC76" s="41">
        <f t="shared" si="2043"/>
        <v>1</v>
      </c>
      <c r="VD76" s="41">
        <f t="shared" si="2043"/>
        <v>1</v>
      </c>
      <c r="VE76" s="41">
        <f t="shared" si="2043"/>
        <v>1</v>
      </c>
      <c r="VF76" s="41">
        <f t="shared" si="2043"/>
        <v>1</v>
      </c>
      <c r="VG76" s="41">
        <f t="shared" si="2043"/>
        <v>1</v>
      </c>
      <c r="VH76" s="41">
        <f t="shared" si="2043"/>
        <v>1</v>
      </c>
      <c r="VI76" s="41">
        <f t="shared" ref="VI76:XT76" si="2044">VI75/$C$80</f>
        <v>1</v>
      </c>
      <c r="VJ76" s="41">
        <f t="shared" si="2044"/>
        <v>1</v>
      </c>
      <c r="VK76" s="41">
        <f t="shared" si="2044"/>
        <v>1</v>
      </c>
      <c r="VL76" s="41">
        <f t="shared" si="2044"/>
        <v>1</v>
      </c>
      <c r="VM76" s="41">
        <f t="shared" si="2044"/>
        <v>1</v>
      </c>
      <c r="VN76" s="41">
        <f t="shared" si="2044"/>
        <v>1</v>
      </c>
      <c r="VO76" s="41">
        <f t="shared" si="2044"/>
        <v>1</v>
      </c>
      <c r="VP76" s="41">
        <f t="shared" si="2044"/>
        <v>1</v>
      </c>
      <c r="VQ76" s="41">
        <f t="shared" si="2044"/>
        <v>1</v>
      </c>
      <c r="VR76" s="41">
        <f t="shared" si="2044"/>
        <v>1</v>
      </c>
      <c r="VS76" s="41">
        <f t="shared" si="2044"/>
        <v>1</v>
      </c>
      <c r="VT76" s="41">
        <f t="shared" si="2044"/>
        <v>1</v>
      </c>
      <c r="VU76" s="41">
        <f t="shared" si="2044"/>
        <v>1</v>
      </c>
      <c r="VV76" s="41">
        <f t="shared" si="2044"/>
        <v>1</v>
      </c>
      <c r="VW76" s="41">
        <f t="shared" si="2044"/>
        <v>1</v>
      </c>
      <c r="VX76" s="41">
        <f t="shared" si="2044"/>
        <v>1</v>
      </c>
      <c r="VY76" s="41">
        <f t="shared" si="2044"/>
        <v>1</v>
      </c>
      <c r="VZ76" s="41">
        <f t="shared" si="2044"/>
        <v>0.9628018372703413</v>
      </c>
      <c r="WA76" s="41">
        <f t="shared" si="2044"/>
        <v>0.9256036745406826</v>
      </c>
      <c r="WB76" s="41">
        <f t="shared" si="2044"/>
        <v>0.88840551181102378</v>
      </c>
      <c r="WC76" s="41">
        <f t="shared" si="2044"/>
        <v>0.85120734908136508</v>
      </c>
      <c r="WD76" s="41">
        <f t="shared" si="2044"/>
        <v>0.8903871391076118</v>
      </c>
      <c r="WE76" s="41">
        <f t="shared" si="2044"/>
        <v>0.92956692913385852</v>
      </c>
      <c r="WF76" s="41">
        <f t="shared" si="2044"/>
        <v>0.96874671916010513</v>
      </c>
      <c r="WG76" s="41">
        <f t="shared" si="2044"/>
        <v>1</v>
      </c>
      <c r="WH76" s="41">
        <f t="shared" si="2044"/>
        <v>1</v>
      </c>
      <c r="WI76" s="41">
        <f t="shared" si="2044"/>
        <v>1</v>
      </c>
      <c r="WJ76" s="41">
        <f t="shared" si="2044"/>
        <v>1</v>
      </c>
      <c r="WK76" s="41">
        <f t="shared" si="2044"/>
        <v>1</v>
      </c>
      <c r="WL76" s="41">
        <f t="shared" si="2044"/>
        <v>1</v>
      </c>
      <c r="WM76" s="41">
        <f t="shared" si="2044"/>
        <v>1</v>
      </c>
      <c r="WN76" s="41">
        <f t="shared" si="2044"/>
        <v>1</v>
      </c>
      <c r="WO76" s="41">
        <f t="shared" si="2044"/>
        <v>1</v>
      </c>
      <c r="WP76" s="41">
        <f t="shared" si="2044"/>
        <v>1</v>
      </c>
      <c r="WQ76" s="41">
        <f t="shared" si="2044"/>
        <v>1</v>
      </c>
      <c r="WR76" s="41">
        <f t="shared" si="2044"/>
        <v>1</v>
      </c>
      <c r="WS76" s="41">
        <f t="shared" si="2044"/>
        <v>1</v>
      </c>
      <c r="WT76" s="41">
        <f t="shared" si="2044"/>
        <v>1</v>
      </c>
      <c r="WU76" s="41">
        <f t="shared" si="2044"/>
        <v>1</v>
      </c>
      <c r="WV76" s="41">
        <f t="shared" si="2044"/>
        <v>1</v>
      </c>
      <c r="WW76" s="41">
        <f t="shared" si="2044"/>
        <v>1</v>
      </c>
      <c r="WX76" s="41">
        <f t="shared" si="2044"/>
        <v>1</v>
      </c>
      <c r="WY76" s="41">
        <f t="shared" si="2044"/>
        <v>1</v>
      </c>
      <c r="WZ76" s="41">
        <f t="shared" si="2044"/>
        <v>1</v>
      </c>
      <c r="XA76" s="41">
        <f t="shared" si="2044"/>
        <v>1</v>
      </c>
      <c r="XB76" s="41">
        <f t="shared" si="2044"/>
        <v>1</v>
      </c>
      <c r="XC76" s="41">
        <f t="shared" si="2044"/>
        <v>1</v>
      </c>
      <c r="XD76" s="41">
        <f t="shared" si="2044"/>
        <v>1</v>
      </c>
      <c r="XE76" s="41">
        <f t="shared" si="2044"/>
        <v>1</v>
      </c>
      <c r="XF76" s="41">
        <f t="shared" si="2044"/>
        <v>1</v>
      </c>
      <c r="XG76" s="41">
        <f t="shared" si="2044"/>
        <v>1</v>
      </c>
      <c r="XH76" s="41">
        <f t="shared" si="2044"/>
        <v>1</v>
      </c>
      <c r="XI76" s="41">
        <f t="shared" si="2044"/>
        <v>1</v>
      </c>
      <c r="XJ76" s="41">
        <f t="shared" si="2044"/>
        <v>1</v>
      </c>
      <c r="XK76" s="41">
        <f t="shared" si="2044"/>
        <v>1</v>
      </c>
      <c r="XL76" s="41">
        <f t="shared" si="2044"/>
        <v>1</v>
      </c>
      <c r="XM76" s="41">
        <f t="shared" si="2044"/>
        <v>1</v>
      </c>
      <c r="XN76" s="41">
        <f t="shared" si="2044"/>
        <v>1</v>
      </c>
      <c r="XO76" s="41">
        <f t="shared" si="2044"/>
        <v>1</v>
      </c>
      <c r="XP76" s="41">
        <f t="shared" si="2044"/>
        <v>1</v>
      </c>
      <c r="XQ76" s="41">
        <f t="shared" si="2044"/>
        <v>1</v>
      </c>
      <c r="XR76" s="41">
        <f t="shared" si="2044"/>
        <v>1</v>
      </c>
      <c r="XS76" s="41">
        <f t="shared" si="2044"/>
        <v>1</v>
      </c>
      <c r="XT76" s="41">
        <f t="shared" si="2044"/>
        <v>1</v>
      </c>
      <c r="XU76" s="41">
        <f t="shared" ref="XU76:AAF76" si="2045">XU75/$C$80</f>
        <v>1</v>
      </c>
      <c r="XV76" s="41">
        <f t="shared" si="2045"/>
        <v>1</v>
      </c>
      <c r="XW76" s="41">
        <f t="shared" si="2045"/>
        <v>1</v>
      </c>
      <c r="XX76" s="41">
        <f t="shared" si="2045"/>
        <v>1</v>
      </c>
      <c r="XY76" s="41">
        <f t="shared" si="2045"/>
        <v>1</v>
      </c>
      <c r="XZ76" s="41">
        <f t="shared" si="2045"/>
        <v>1</v>
      </c>
      <c r="YA76" s="41">
        <f t="shared" si="2045"/>
        <v>1</v>
      </c>
      <c r="YB76" s="41">
        <f t="shared" si="2045"/>
        <v>1</v>
      </c>
      <c r="YC76" s="41">
        <f t="shared" si="2045"/>
        <v>1</v>
      </c>
      <c r="YD76" s="41">
        <f t="shared" si="2045"/>
        <v>1</v>
      </c>
      <c r="YE76" s="41">
        <f t="shared" si="2045"/>
        <v>1</v>
      </c>
      <c r="YF76" s="41">
        <f t="shared" si="2045"/>
        <v>1</v>
      </c>
      <c r="YG76" s="41">
        <f t="shared" si="2045"/>
        <v>1</v>
      </c>
      <c r="YH76" s="41">
        <f t="shared" si="2045"/>
        <v>1</v>
      </c>
      <c r="YI76" s="41">
        <f t="shared" si="2045"/>
        <v>1</v>
      </c>
      <c r="YJ76" s="41">
        <f t="shared" si="2045"/>
        <v>1</v>
      </c>
      <c r="YK76" s="41">
        <f t="shared" si="2045"/>
        <v>1</v>
      </c>
      <c r="YL76" s="41">
        <f t="shared" si="2045"/>
        <v>1</v>
      </c>
      <c r="YM76" s="41">
        <f t="shared" si="2045"/>
        <v>1</v>
      </c>
      <c r="YN76" s="41">
        <f t="shared" si="2045"/>
        <v>1</v>
      </c>
      <c r="YO76" s="41">
        <f t="shared" si="2045"/>
        <v>1</v>
      </c>
      <c r="YP76" s="41">
        <f t="shared" si="2045"/>
        <v>1</v>
      </c>
      <c r="YQ76" s="41">
        <f t="shared" si="2045"/>
        <v>1</v>
      </c>
      <c r="YR76" s="41">
        <f t="shared" si="2045"/>
        <v>1</v>
      </c>
      <c r="YS76" s="41">
        <f t="shared" si="2045"/>
        <v>1</v>
      </c>
      <c r="YT76" s="41">
        <f t="shared" si="2045"/>
        <v>0.96247375328083984</v>
      </c>
      <c r="YU76" s="41">
        <f t="shared" si="2045"/>
        <v>0.92527559055118114</v>
      </c>
      <c r="YV76" s="41">
        <f t="shared" si="2045"/>
        <v>0.88807742782152244</v>
      </c>
      <c r="YW76" s="41">
        <f t="shared" si="2045"/>
        <v>0.85087926509186362</v>
      </c>
      <c r="YX76" s="41">
        <f t="shared" si="2045"/>
        <v>0.89005905511811034</v>
      </c>
      <c r="YY76" s="41">
        <f t="shared" si="2045"/>
        <v>0.92923884514435706</v>
      </c>
      <c r="YZ76" s="41">
        <f t="shared" si="2045"/>
        <v>0.96841863517060378</v>
      </c>
      <c r="ZA76" s="41">
        <f t="shared" si="2045"/>
        <v>1</v>
      </c>
      <c r="ZB76" s="41">
        <f t="shared" si="2045"/>
        <v>1</v>
      </c>
      <c r="ZC76" s="41">
        <f t="shared" si="2045"/>
        <v>1</v>
      </c>
      <c r="ZD76" s="41">
        <f t="shared" si="2045"/>
        <v>1</v>
      </c>
      <c r="ZE76" s="41">
        <f t="shared" si="2045"/>
        <v>1</v>
      </c>
      <c r="ZF76" s="41">
        <f t="shared" si="2045"/>
        <v>1</v>
      </c>
      <c r="ZG76" s="41">
        <f t="shared" si="2045"/>
        <v>1</v>
      </c>
      <c r="ZH76" s="41">
        <f t="shared" si="2045"/>
        <v>1</v>
      </c>
      <c r="ZI76" s="41">
        <f t="shared" si="2045"/>
        <v>1</v>
      </c>
      <c r="ZJ76" s="41">
        <f t="shared" si="2045"/>
        <v>1</v>
      </c>
      <c r="ZK76" s="41">
        <f t="shared" si="2045"/>
        <v>1</v>
      </c>
      <c r="ZL76" s="41">
        <f t="shared" si="2045"/>
        <v>1</v>
      </c>
      <c r="ZM76" s="41">
        <f t="shared" si="2045"/>
        <v>1</v>
      </c>
      <c r="ZN76" s="41">
        <f t="shared" si="2045"/>
        <v>1</v>
      </c>
      <c r="ZO76" s="41">
        <f t="shared" si="2045"/>
        <v>1</v>
      </c>
      <c r="ZP76" s="41">
        <f t="shared" si="2045"/>
        <v>1</v>
      </c>
      <c r="ZQ76" s="41">
        <f t="shared" si="2045"/>
        <v>1</v>
      </c>
      <c r="ZR76" s="41">
        <f t="shared" si="2045"/>
        <v>1</v>
      </c>
      <c r="ZS76" s="41">
        <f t="shared" si="2045"/>
        <v>1</v>
      </c>
      <c r="ZT76" s="41">
        <f t="shared" si="2045"/>
        <v>1</v>
      </c>
      <c r="ZU76" s="41">
        <f t="shared" si="2045"/>
        <v>1</v>
      </c>
      <c r="ZV76" s="41">
        <f t="shared" si="2045"/>
        <v>1</v>
      </c>
      <c r="ZW76" s="41">
        <f t="shared" si="2045"/>
        <v>1</v>
      </c>
      <c r="ZX76" s="41">
        <f t="shared" si="2045"/>
        <v>1</v>
      </c>
      <c r="ZY76" s="41">
        <f t="shared" si="2045"/>
        <v>1</v>
      </c>
      <c r="ZZ76" s="41">
        <f t="shared" si="2045"/>
        <v>1</v>
      </c>
      <c r="AAA76" s="41">
        <f t="shared" si="2045"/>
        <v>1</v>
      </c>
      <c r="AAB76" s="41">
        <f t="shared" si="2045"/>
        <v>1</v>
      </c>
      <c r="AAC76" s="41">
        <f t="shared" si="2045"/>
        <v>1</v>
      </c>
      <c r="AAD76" s="41">
        <f t="shared" si="2045"/>
        <v>1</v>
      </c>
      <c r="AAE76" s="41">
        <f t="shared" si="2045"/>
        <v>1</v>
      </c>
      <c r="AAF76" s="41">
        <f t="shared" si="2045"/>
        <v>1</v>
      </c>
      <c r="AAG76" s="41">
        <f t="shared" ref="AAG76:ACR76" si="2046">AAG75/$C$80</f>
        <v>1</v>
      </c>
      <c r="AAH76" s="41">
        <f t="shared" si="2046"/>
        <v>1</v>
      </c>
      <c r="AAI76" s="41">
        <f t="shared" si="2046"/>
        <v>1</v>
      </c>
      <c r="AAJ76" s="41">
        <f t="shared" si="2046"/>
        <v>1</v>
      </c>
      <c r="AAK76" s="41">
        <f t="shared" si="2046"/>
        <v>1</v>
      </c>
      <c r="AAL76" s="41">
        <f t="shared" si="2046"/>
        <v>1</v>
      </c>
      <c r="AAM76" s="41">
        <f t="shared" si="2046"/>
        <v>1</v>
      </c>
      <c r="AAN76" s="41">
        <f t="shared" si="2046"/>
        <v>1</v>
      </c>
      <c r="AAO76" s="41">
        <f t="shared" si="2046"/>
        <v>1</v>
      </c>
      <c r="AAP76" s="41">
        <f t="shared" si="2046"/>
        <v>1</v>
      </c>
      <c r="AAQ76" s="41">
        <f t="shared" si="2046"/>
        <v>1</v>
      </c>
      <c r="AAR76" s="41">
        <f t="shared" si="2046"/>
        <v>1</v>
      </c>
      <c r="AAS76" s="41">
        <f t="shared" si="2046"/>
        <v>1</v>
      </c>
      <c r="AAT76" s="41">
        <f t="shared" si="2046"/>
        <v>1</v>
      </c>
      <c r="AAU76" s="41">
        <f t="shared" si="2046"/>
        <v>1</v>
      </c>
      <c r="AAV76" s="41">
        <f t="shared" si="2046"/>
        <v>1</v>
      </c>
      <c r="AAW76" s="41">
        <f t="shared" si="2046"/>
        <v>1</v>
      </c>
      <c r="AAX76" s="41">
        <f t="shared" si="2046"/>
        <v>1</v>
      </c>
      <c r="AAY76" s="41">
        <f t="shared" si="2046"/>
        <v>1</v>
      </c>
      <c r="AAZ76" s="41">
        <f t="shared" si="2046"/>
        <v>1</v>
      </c>
      <c r="ABA76" s="41">
        <f t="shared" si="2046"/>
        <v>1</v>
      </c>
      <c r="ABB76" s="41">
        <f t="shared" si="2046"/>
        <v>1</v>
      </c>
      <c r="ABC76" s="41">
        <f t="shared" si="2046"/>
        <v>1</v>
      </c>
      <c r="ABD76" s="41">
        <f t="shared" si="2046"/>
        <v>1</v>
      </c>
      <c r="ABE76" s="41">
        <f t="shared" si="2046"/>
        <v>1</v>
      </c>
      <c r="ABF76" s="41">
        <f t="shared" si="2046"/>
        <v>1</v>
      </c>
      <c r="ABG76" s="41">
        <f t="shared" si="2046"/>
        <v>1</v>
      </c>
      <c r="ABH76" s="41">
        <f t="shared" si="2046"/>
        <v>1</v>
      </c>
      <c r="ABI76" s="41">
        <f t="shared" si="2046"/>
        <v>1</v>
      </c>
      <c r="ABJ76" s="41">
        <f t="shared" si="2046"/>
        <v>1</v>
      </c>
      <c r="ABK76" s="41">
        <f t="shared" si="2046"/>
        <v>1</v>
      </c>
      <c r="ABL76" s="41">
        <f t="shared" si="2046"/>
        <v>1</v>
      </c>
      <c r="ABM76" s="41">
        <f t="shared" si="2046"/>
        <v>1</v>
      </c>
      <c r="ABN76" s="41">
        <f t="shared" si="2046"/>
        <v>0.9628018372703413</v>
      </c>
      <c r="ABO76" s="41">
        <f t="shared" si="2046"/>
        <v>0.9256036745406826</v>
      </c>
      <c r="ABP76" s="41">
        <f t="shared" si="2046"/>
        <v>0.88840551181102378</v>
      </c>
      <c r="ABQ76" s="41">
        <f t="shared" si="2046"/>
        <v>0.85120734908136508</v>
      </c>
      <c r="ABR76" s="41">
        <f t="shared" si="2046"/>
        <v>0.8903871391076118</v>
      </c>
      <c r="ABS76" s="41">
        <f t="shared" si="2046"/>
        <v>0.92956692913385852</v>
      </c>
      <c r="ABT76" s="41">
        <f t="shared" si="2046"/>
        <v>0.96874671916010513</v>
      </c>
      <c r="ABU76" s="41">
        <f t="shared" si="2046"/>
        <v>1</v>
      </c>
      <c r="ABV76" s="41">
        <f t="shared" si="2046"/>
        <v>1</v>
      </c>
      <c r="ABW76" s="41">
        <f t="shared" si="2046"/>
        <v>1</v>
      </c>
      <c r="ABX76" s="41">
        <f t="shared" si="2046"/>
        <v>1</v>
      </c>
      <c r="ABY76" s="41">
        <f t="shared" si="2046"/>
        <v>1</v>
      </c>
      <c r="ABZ76" s="41">
        <f t="shared" si="2046"/>
        <v>1</v>
      </c>
      <c r="ACA76" s="41">
        <f t="shared" si="2046"/>
        <v>1</v>
      </c>
      <c r="ACB76" s="41">
        <f t="shared" si="2046"/>
        <v>1</v>
      </c>
      <c r="ACC76" s="41">
        <f t="shared" si="2046"/>
        <v>1</v>
      </c>
      <c r="ACD76" s="41">
        <f t="shared" si="2046"/>
        <v>1</v>
      </c>
      <c r="ACE76" s="41">
        <f t="shared" si="2046"/>
        <v>1</v>
      </c>
      <c r="ACF76" s="41">
        <f t="shared" si="2046"/>
        <v>1</v>
      </c>
      <c r="ACG76" s="41">
        <f t="shared" si="2046"/>
        <v>1</v>
      </c>
      <c r="ACH76" s="41">
        <f t="shared" si="2046"/>
        <v>1</v>
      </c>
      <c r="ACI76" s="41">
        <f t="shared" si="2046"/>
        <v>1</v>
      </c>
      <c r="ACJ76" s="41">
        <f t="shared" si="2046"/>
        <v>1</v>
      </c>
      <c r="ACK76" s="41">
        <f t="shared" si="2046"/>
        <v>1</v>
      </c>
      <c r="ACL76" s="41">
        <f t="shared" si="2046"/>
        <v>1</v>
      </c>
      <c r="ACM76" s="41">
        <f t="shared" si="2046"/>
        <v>1</v>
      </c>
      <c r="ACN76" s="41">
        <f t="shared" si="2046"/>
        <v>1</v>
      </c>
      <c r="ACO76" s="41">
        <f t="shared" si="2046"/>
        <v>1</v>
      </c>
      <c r="ACP76" s="41">
        <f t="shared" si="2046"/>
        <v>1</v>
      </c>
      <c r="ACQ76" s="41">
        <f t="shared" si="2046"/>
        <v>1</v>
      </c>
      <c r="ACR76" s="41">
        <f t="shared" si="2046"/>
        <v>1</v>
      </c>
      <c r="ACS76" s="41">
        <f t="shared" ref="ACS76:AFD76" si="2047">ACS75/$C$80</f>
        <v>1</v>
      </c>
      <c r="ACT76" s="41">
        <f t="shared" si="2047"/>
        <v>1</v>
      </c>
      <c r="ACU76" s="41">
        <f t="shared" si="2047"/>
        <v>1</v>
      </c>
      <c r="ACV76" s="41">
        <f t="shared" si="2047"/>
        <v>1</v>
      </c>
      <c r="ACW76" s="41">
        <f t="shared" si="2047"/>
        <v>1</v>
      </c>
      <c r="ACX76" s="41">
        <f t="shared" si="2047"/>
        <v>1</v>
      </c>
      <c r="ACY76" s="41">
        <f t="shared" si="2047"/>
        <v>1</v>
      </c>
      <c r="ACZ76" s="41">
        <f t="shared" si="2047"/>
        <v>1</v>
      </c>
      <c r="ADA76" s="41">
        <f t="shared" si="2047"/>
        <v>1</v>
      </c>
      <c r="ADB76" s="41">
        <f t="shared" si="2047"/>
        <v>1</v>
      </c>
      <c r="ADC76" s="41">
        <f t="shared" si="2047"/>
        <v>1</v>
      </c>
      <c r="ADD76" s="41">
        <f t="shared" si="2047"/>
        <v>1</v>
      </c>
      <c r="ADE76" s="41">
        <f t="shared" si="2047"/>
        <v>1</v>
      </c>
      <c r="ADF76" s="41">
        <f t="shared" si="2047"/>
        <v>1</v>
      </c>
      <c r="ADG76" s="41">
        <f t="shared" si="2047"/>
        <v>1</v>
      </c>
      <c r="ADH76" s="41">
        <f t="shared" si="2047"/>
        <v>1</v>
      </c>
      <c r="ADI76" s="41">
        <f t="shared" si="2047"/>
        <v>1</v>
      </c>
      <c r="ADJ76" s="41">
        <f t="shared" si="2047"/>
        <v>1</v>
      </c>
      <c r="ADK76" s="41">
        <f t="shared" si="2047"/>
        <v>1</v>
      </c>
      <c r="ADL76" s="41">
        <f t="shared" si="2047"/>
        <v>1</v>
      </c>
      <c r="ADM76" s="41">
        <f t="shared" si="2047"/>
        <v>1</v>
      </c>
      <c r="ADN76" s="41">
        <f t="shared" si="2047"/>
        <v>1</v>
      </c>
      <c r="ADO76" s="41">
        <f t="shared" si="2047"/>
        <v>1</v>
      </c>
      <c r="ADP76" s="41">
        <f t="shared" si="2047"/>
        <v>1</v>
      </c>
      <c r="ADQ76" s="41">
        <f t="shared" si="2047"/>
        <v>1</v>
      </c>
      <c r="ADR76" s="41">
        <f t="shared" si="2047"/>
        <v>1</v>
      </c>
      <c r="ADS76" s="41">
        <f t="shared" si="2047"/>
        <v>1</v>
      </c>
      <c r="ADT76" s="41">
        <f t="shared" si="2047"/>
        <v>1</v>
      </c>
      <c r="ADU76" s="41">
        <f t="shared" si="2047"/>
        <v>1</v>
      </c>
      <c r="ADV76" s="41">
        <f t="shared" si="2047"/>
        <v>1</v>
      </c>
      <c r="ADW76" s="41">
        <f t="shared" si="2047"/>
        <v>1</v>
      </c>
      <c r="ADX76" s="41">
        <f t="shared" si="2047"/>
        <v>1</v>
      </c>
      <c r="ADY76" s="41">
        <f t="shared" si="2047"/>
        <v>1</v>
      </c>
      <c r="ADZ76" s="41">
        <f t="shared" si="2047"/>
        <v>1</v>
      </c>
      <c r="AEA76" s="41">
        <f t="shared" si="2047"/>
        <v>1</v>
      </c>
      <c r="AEB76" s="41">
        <f t="shared" si="2047"/>
        <v>1</v>
      </c>
      <c r="AEC76" s="41">
        <f t="shared" si="2047"/>
        <v>1</v>
      </c>
      <c r="AED76" s="41">
        <f t="shared" si="2047"/>
        <v>1</v>
      </c>
      <c r="AEE76" s="41">
        <f t="shared" si="2047"/>
        <v>1</v>
      </c>
      <c r="AEF76" s="41">
        <f t="shared" si="2047"/>
        <v>1</v>
      </c>
      <c r="AEG76" s="41">
        <f t="shared" si="2047"/>
        <v>1</v>
      </c>
      <c r="AEH76" s="41">
        <f t="shared" si="2047"/>
        <v>0.96247375328083984</v>
      </c>
      <c r="AEI76" s="41">
        <f t="shared" si="2047"/>
        <v>0.92527559055118114</v>
      </c>
      <c r="AEJ76" s="41">
        <f t="shared" si="2047"/>
        <v>0.88807742782152244</v>
      </c>
      <c r="AEK76" s="41">
        <f t="shared" si="2047"/>
        <v>0.85087926509186362</v>
      </c>
      <c r="AEL76" s="41">
        <f t="shared" si="2047"/>
        <v>0.89005905511811034</v>
      </c>
      <c r="AEM76" s="41">
        <f t="shared" si="2047"/>
        <v>0.92923884514435706</v>
      </c>
      <c r="AEN76" s="41">
        <f t="shared" si="2047"/>
        <v>0.96841863517060378</v>
      </c>
      <c r="AEO76" s="41">
        <f t="shared" si="2047"/>
        <v>1</v>
      </c>
      <c r="AEP76" s="41">
        <f t="shared" si="2047"/>
        <v>1</v>
      </c>
      <c r="AEQ76" s="41">
        <f t="shared" si="2047"/>
        <v>1</v>
      </c>
      <c r="AER76" s="41">
        <f t="shared" si="2047"/>
        <v>1</v>
      </c>
      <c r="AES76" s="41">
        <f t="shared" si="2047"/>
        <v>1</v>
      </c>
      <c r="AET76" s="41">
        <f t="shared" si="2047"/>
        <v>1</v>
      </c>
      <c r="AEU76" s="41">
        <f t="shared" si="2047"/>
        <v>1</v>
      </c>
      <c r="AEV76" s="41">
        <f t="shared" si="2047"/>
        <v>1</v>
      </c>
      <c r="AEW76" s="41">
        <f t="shared" si="2047"/>
        <v>1</v>
      </c>
      <c r="AEX76" s="41">
        <f t="shared" si="2047"/>
        <v>1</v>
      </c>
      <c r="AEY76" s="41">
        <f t="shared" si="2047"/>
        <v>1</v>
      </c>
      <c r="AEZ76" s="41">
        <f t="shared" si="2047"/>
        <v>1</v>
      </c>
      <c r="AFA76" s="41">
        <f t="shared" si="2047"/>
        <v>1</v>
      </c>
      <c r="AFB76" s="41">
        <f t="shared" si="2047"/>
        <v>1</v>
      </c>
      <c r="AFC76" s="41">
        <f t="shared" si="2047"/>
        <v>1</v>
      </c>
      <c r="AFD76" s="41">
        <f t="shared" si="2047"/>
        <v>1</v>
      </c>
      <c r="AFE76" s="41">
        <f t="shared" ref="AFE76:AHP76" si="2048">AFE75/$C$80</f>
        <v>1</v>
      </c>
      <c r="AFF76" s="41">
        <f t="shared" si="2048"/>
        <v>1</v>
      </c>
      <c r="AFG76" s="41">
        <f t="shared" si="2048"/>
        <v>1</v>
      </c>
      <c r="AFH76" s="41">
        <f t="shared" si="2048"/>
        <v>1</v>
      </c>
      <c r="AFI76" s="41">
        <f t="shared" si="2048"/>
        <v>1</v>
      </c>
      <c r="AFJ76" s="41">
        <f t="shared" si="2048"/>
        <v>1</v>
      </c>
      <c r="AFK76" s="41">
        <f t="shared" si="2048"/>
        <v>1</v>
      </c>
      <c r="AFL76" s="41">
        <f t="shared" si="2048"/>
        <v>1</v>
      </c>
      <c r="AFM76" s="41">
        <f t="shared" si="2048"/>
        <v>1</v>
      </c>
      <c r="AFN76" s="41">
        <f t="shared" si="2048"/>
        <v>1</v>
      </c>
      <c r="AFO76" s="41">
        <f t="shared" si="2048"/>
        <v>1</v>
      </c>
      <c r="AFP76" s="41">
        <f t="shared" si="2048"/>
        <v>1</v>
      </c>
      <c r="AFQ76" s="41">
        <f t="shared" si="2048"/>
        <v>1</v>
      </c>
      <c r="AFR76" s="41">
        <f t="shared" si="2048"/>
        <v>1</v>
      </c>
      <c r="AFS76" s="41">
        <f t="shared" si="2048"/>
        <v>1</v>
      </c>
      <c r="AFT76" s="41">
        <f t="shared" si="2048"/>
        <v>1</v>
      </c>
      <c r="AFU76" s="41">
        <f t="shared" si="2048"/>
        <v>1</v>
      </c>
      <c r="AFV76" s="41">
        <f t="shared" si="2048"/>
        <v>1</v>
      </c>
      <c r="AFW76" s="41">
        <f t="shared" si="2048"/>
        <v>1</v>
      </c>
      <c r="AFX76" s="41">
        <f t="shared" si="2048"/>
        <v>1</v>
      </c>
      <c r="AFY76" s="41">
        <f t="shared" si="2048"/>
        <v>1</v>
      </c>
      <c r="AFZ76" s="41">
        <f t="shared" si="2048"/>
        <v>1</v>
      </c>
      <c r="AGA76" s="41">
        <f t="shared" si="2048"/>
        <v>1</v>
      </c>
      <c r="AGB76" s="41">
        <f t="shared" si="2048"/>
        <v>1</v>
      </c>
      <c r="AGC76" s="41">
        <f t="shared" si="2048"/>
        <v>1</v>
      </c>
      <c r="AGD76" s="41">
        <f t="shared" si="2048"/>
        <v>1</v>
      </c>
      <c r="AGE76" s="41">
        <f t="shared" si="2048"/>
        <v>1</v>
      </c>
      <c r="AGF76" s="41">
        <f t="shared" si="2048"/>
        <v>1</v>
      </c>
      <c r="AGG76" s="41">
        <f t="shared" si="2048"/>
        <v>1</v>
      </c>
      <c r="AGH76" s="41">
        <f t="shared" si="2048"/>
        <v>1</v>
      </c>
      <c r="AGI76" s="41">
        <f t="shared" si="2048"/>
        <v>1</v>
      </c>
      <c r="AGJ76" s="41">
        <f t="shared" si="2048"/>
        <v>1</v>
      </c>
      <c r="AGK76" s="41">
        <f t="shared" si="2048"/>
        <v>1</v>
      </c>
      <c r="AGL76" s="41">
        <f t="shared" si="2048"/>
        <v>1</v>
      </c>
      <c r="AGM76" s="41">
        <f t="shared" si="2048"/>
        <v>1</v>
      </c>
      <c r="AGN76" s="41">
        <f t="shared" si="2048"/>
        <v>1</v>
      </c>
      <c r="AGO76" s="41">
        <f t="shared" si="2048"/>
        <v>1</v>
      </c>
      <c r="AGP76" s="41">
        <f t="shared" si="2048"/>
        <v>1</v>
      </c>
      <c r="AGQ76" s="41">
        <f t="shared" si="2048"/>
        <v>1</v>
      </c>
      <c r="AGR76" s="41">
        <f t="shared" si="2048"/>
        <v>1</v>
      </c>
      <c r="AGS76" s="41">
        <f t="shared" si="2048"/>
        <v>1</v>
      </c>
      <c r="AGT76" s="41">
        <f t="shared" si="2048"/>
        <v>1</v>
      </c>
      <c r="AGU76" s="41">
        <f t="shared" si="2048"/>
        <v>1</v>
      </c>
      <c r="AGV76" s="41">
        <f t="shared" si="2048"/>
        <v>1</v>
      </c>
      <c r="AGW76" s="41">
        <f t="shared" si="2048"/>
        <v>1</v>
      </c>
      <c r="AGX76" s="41">
        <f t="shared" si="2048"/>
        <v>1</v>
      </c>
      <c r="AGY76" s="41">
        <f t="shared" si="2048"/>
        <v>1</v>
      </c>
      <c r="AGZ76" s="41">
        <f t="shared" si="2048"/>
        <v>1</v>
      </c>
      <c r="AHA76" s="41">
        <f t="shared" si="2048"/>
        <v>1</v>
      </c>
      <c r="AHB76" s="41">
        <f t="shared" si="2048"/>
        <v>0.9628018372703413</v>
      </c>
      <c r="AHC76" s="41">
        <f t="shared" si="2048"/>
        <v>0.9256036745406826</v>
      </c>
      <c r="AHD76" s="41">
        <f t="shared" si="2048"/>
        <v>0.88840551181102378</v>
      </c>
      <c r="AHE76" s="41">
        <f t="shared" si="2048"/>
        <v>0.85120734908136508</v>
      </c>
      <c r="AHF76" s="41">
        <f t="shared" si="2048"/>
        <v>0.8903871391076118</v>
      </c>
      <c r="AHG76" s="41">
        <f t="shared" si="2048"/>
        <v>0.92956692913385852</v>
      </c>
      <c r="AHH76" s="41">
        <f t="shared" si="2048"/>
        <v>0.96874671916010513</v>
      </c>
      <c r="AHI76" s="41">
        <f t="shared" si="2048"/>
        <v>1</v>
      </c>
      <c r="AHJ76" s="41">
        <f t="shared" si="2048"/>
        <v>1</v>
      </c>
      <c r="AHK76" s="41">
        <f t="shared" si="2048"/>
        <v>1</v>
      </c>
      <c r="AHL76" s="41">
        <f t="shared" si="2048"/>
        <v>1</v>
      </c>
      <c r="AHM76" s="41">
        <f t="shared" si="2048"/>
        <v>1</v>
      </c>
      <c r="AHN76" s="41">
        <f t="shared" si="2048"/>
        <v>1</v>
      </c>
      <c r="AHO76" s="41">
        <f t="shared" si="2048"/>
        <v>1</v>
      </c>
      <c r="AHP76" s="41">
        <f t="shared" si="2048"/>
        <v>1</v>
      </c>
      <c r="AHQ76" s="41">
        <f t="shared" ref="AHQ76:AKB76" si="2049">AHQ75/$C$80</f>
        <v>1</v>
      </c>
      <c r="AHR76" s="41">
        <f t="shared" si="2049"/>
        <v>1</v>
      </c>
      <c r="AHS76" s="41">
        <f t="shared" si="2049"/>
        <v>1</v>
      </c>
      <c r="AHT76" s="41">
        <f t="shared" si="2049"/>
        <v>1</v>
      </c>
      <c r="AHU76" s="41">
        <f t="shared" si="2049"/>
        <v>1</v>
      </c>
      <c r="AHV76" s="41">
        <f t="shared" si="2049"/>
        <v>1</v>
      </c>
      <c r="AHW76" s="41">
        <f t="shared" si="2049"/>
        <v>1</v>
      </c>
      <c r="AHX76" s="41">
        <f t="shared" si="2049"/>
        <v>1</v>
      </c>
      <c r="AHY76" s="41">
        <f t="shared" si="2049"/>
        <v>1</v>
      </c>
      <c r="AHZ76" s="41">
        <f t="shared" si="2049"/>
        <v>1</v>
      </c>
      <c r="AIA76" s="41">
        <f t="shared" si="2049"/>
        <v>1</v>
      </c>
      <c r="AIB76" s="41">
        <f t="shared" si="2049"/>
        <v>1</v>
      </c>
      <c r="AIC76" s="41">
        <f t="shared" si="2049"/>
        <v>1</v>
      </c>
      <c r="AID76" s="41">
        <f t="shared" si="2049"/>
        <v>1</v>
      </c>
      <c r="AIE76" s="41">
        <f t="shared" si="2049"/>
        <v>1</v>
      </c>
      <c r="AIF76" s="41">
        <f t="shared" si="2049"/>
        <v>1</v>
      </c>
      <c r="AIG76" s="41">
        <f t="shared" si="2049"/>
        <v>1</v>
      </c>
      <c r="AIH76" s="41">
        <f t="shared" si="2049"/>
        <v>1</v>
      </c>
      <c r="AII76" s="41">
        <f t="shared" si="2049"/>
        <v>1</v>
      </c>
      <c r="AIJ76" s="41">
        <f t="shared" si="2049"/>
        <v>1</v>
      </c>
      <c r="AIK76" s="41">
        <f t="shared" si="2049"/>
        <v>1</v>
      </c>
      <c r="AIL76" s="41">
        <f t="shared" si="2049"/>
        <v>1</v>
      </c>
      <c r="AIM76" s="41">
        <f t="shared" si="2049"/>
        <v>1</v>
      </c>
      <c r="AIN76" s="41">
        <f t="shared" si="2049"/>
        <v>1</v>
      </c>
      <c r="AIO76" s="41">
        <f t="shared" si="2049"/>
        <v>1</v>
      </c>
      <c r="AIP76" s="41">
        <f t="shared" si="2049"/>
        <v>1</v>
      </c>
      <c r="AIQ76" s="41">
        <f t="shared" si="2049"/>
        <v>1</v>
      </c>
      <c r="AIR76" s="41">
        <f t="shared" si="2049"/>
        <v>1</v>
      </c>
      <c r="AIS76" s="41">
        <f t="shared" si="2049"/>
        <v>1</v>
      </c>
      <c r="AIT76" s="41">
        <f t="shared" si="2049"/>
        <v>1</v>
      </c>
      <c r="AIU76" s="41">
        <f t="shared" si="2049"/>
        <v>1</v>
      </c>
      <c r="AIV76" s="41">
        <f t="shared" si="2049"/>
        <v>1</v>
      </c>
      <c r="AIW76" s="41">
        <f t="shared" si="2049"/>
        <v>1</v>
      </c>
      <c r="AIX76" s="41">
        <f t="shared" si="2049"/>
        <v>1</v>
      </c>
      <c r="AIY76" s="41">
        <f t="shared" si="2049"/>
        <v>1</v>
      </c>
      <c r="AIZ76" s="41">
        <f t="shared" si="2049"/>
        <v>1</v>
      </c>
      <c r="AJA76" s="41">
        <f t="shared" si="2049"/>
        <v>1</v>
      </c>
      <c r="AJB76" s="41">
        <f t="shared" si="2049"/>
        <v>1</v>
      </c>
      <c r="AJC76" s="41">
        <f t="shared" si="2049"/>
        <v>1</v>
      </c>
      <c r="AJD76" s="41">
        <f t="shared" si="2049"/>
        <v>1</v>
      </c>
      <c r="AJE76" s="41">
        <f t="shared" si="2049"/>
        <v>1</v>
      </c>
      <c r="AJF76" s="41">
        <f t="shared" si="2049"/>
        <v>1</v>
      </c>
      <c r="AJG76" s="41">
        <f t="shared" si="2049"/>
        <v>1</v>
      </c>
      <c r="AJH76" s="41">
        <f t="shared" si="2049"/>
        <v>1</v>
      </c>
      <c r="AJI76" s="41">
        <f t="shared" si="2049"/>
        <v>1</v>
      </c>
      <c r="AJJ76" s="41">
        <f t="shared" si="2049"/>
        <v>1</v>
      </c>
      <c r="AJK76" s="41">
        <f t="shared" si="2049"/>
        <v>1</v>
      </c>
      <c r="AJL76" s="41">
        <f t="shared" si="2049"/>
        <v>1</v>
      </c>
      <c r="AJM76" s="41">
        <f t="shared" si="2049"/>
        <v>1</v>
      </c>
      <c r="AJN76" s="41">
        <f t="shared" si="2049"/>
        <v>1</v>
      </c>
      <c r="AJO76" s="41">
        <f t="shared" si="2049"/>
        <v>1</v>
      </c>
      <c r="AJP76" s="41">
        <f t="shared" si="2049"/>
        <v>1</v>
      </c>
      <c r="AJQ76" s="41">
        <f t="shared" si="2049"/>
        <v>1</v>
      </c>
      <c r="AJR76" s="41">
        <f t="shared" si="2049"/>
        <v>1</v>
      </c>
      <c r="AJS76" s="41">
        <f t="shared" si="2049"/>
        <v>1</v>
      </c>
      <c r="AJT76" s="41">
        <f t="shared" si="2049"/>
        <v>1</v>
      </c>
      <c r="AJU76" s="41">
        <f t="shared" si="2049"/>
        <v>1</v>
      </c>
      <c r="AJV76" s="41">
        <f t="shared" si="2049"/>
        <v>0.96247375328083984</v>
      </c>
      <c r="AJW76" s="41">
        <f t="shared" si="2049"/>
        <v>0.92527559055118114</v>
      </c>
      <c r="AJX76" s="41">
        <f t="shared" si="2049"/>
        <v>0.88807742782152244</v>
      </c>
      <c r="AJY76" s="41">
        <f t="shared" si="2049"/>
        <v>0.85087926509186362</v>
      </c>
      <c r="AJZ76" s="41">
        <f t="shared" si="2049"/>
        <v>0.89005905511811034</v>
      </c>
      <c r="AKA76" s="41">
        <f t="shared" si="2049"/>
        <v>0.92923884514435706</v>
      </c>
      <c r="AKB76" s="41">
        <f t="shared" si="2049"/>
        <v>0.96841863517060378</v>
      </c>
      <c r="AKC76" s="41">
        <f t="shared" ref="AKC76:ALW76" si="2050">AKC75/$C$80</f>
        <v>1</v>
      </c>
      <c r="AKD76" s="41">
        <f t="shared" si="2050"/>
        <v>1</v>
      </c>
      <c r="AKE76" s="41">
        <f t="shared" si="2050"/>
        <v>1</v>
      </c>
      <c r="AKF76" s="41">
        <f t="shared" si="2050"/>
        <v>1</v>
      </c>
      <c r="AKG76" s="41">
        <f t="shared" si="2050"/>
        <v>1</v>
      </c>
      <c r="AKH76" s="41">
        <f t="shared" si="2050"/>
        <v>1</v>
      </c>
      <c r="AKI76" s="41">
        <f t="shared" si="2050"/>
        <v>1</v>
      </c>
      <c r="AKJ76" s="41">
        <f t="shared" si="2050"/>
        <v>1</v>
      </c>
      <c r="AKK76" s="41">
        <f t="shared" si="2050"/>
        <v>1</v>
      </c>
      <c r="AKL76" s="41">
        <f t="shared" si="2050"/>
        <v>1</v>
      </c>
      <c r="AKM76" s="41">
        <f t="shared" si="2050"/>
        <v>1</v>
      </c>
      <c r="AKN76" s="41">
        <f t="shared" si="2050"/>
        <v>1</v>
      </c>
      <c r="AKO76" s="41">
        <f t="shared" si="2050"/>
        <v>1</v>
      </c>
      <c r="AKP76" s="41">
        <f t="shared" si="2050"/>
        <v>1</v>
      </c>
      <c r="AKQ76" s="41">
        <f t="shared" si="2050"/>
        <v>1</v>
      </c>
      <c r="AKR76" s="41">
        <f t="shared" si="2050"/>
        <v>1</v>
      </c>
      <c r="AKS76" s="41">
        <f t="shared" si="2050"/>
        <v>1</v>
      </c>
      <c r="AKT76" s="41">
        <f t="shared" si="2050"/>
        <v>1</v>
      </c>
      <c r="AKU76" s="41">
        <f t="shared" si="2050"/>
        <v>1</v>
      </c>
      <c r="AKV76" s="41">
        <f t="shared" si="2050"/>
        <v>1</v>
      </c>
      <c r="AKW76" s="41">
        <f t="shared" si="2050"/>
        <v>1</v>
      </c>
      <c r="AKX76" s="41">
        <f t="shared" si="2050"/>
        <v>1</v>
      </c>
      <c r="AKY76" s="41">
        <f t="shared" si="2050"/>
        <v>1</v>
      </c>
      <c r="AKZ76" s="41">
        <f t="shared" si="2050"/>
        <v>1</v>
      </c>
      <c r="ALA76" s="41">
        <f t="shared" si="2050"/>
        <v>1</v>
      </c>
      <c r="ALB76" s="41">
        <f t="shared" si="2050"/>
        <v>1</v>
      </c>
      <c r="ALC76" s="41">
        <f t="shared" si="2050"/>
        <v>1</v>
      </c>
      <c r="ALD76" s="41">
        <f t="shared" si="2050"/>
        <v>1</v>
      </c>
      <c r="ALE76" s="41">
        <f t="shared" si="2050"/>
        <v>1</v>
      </c>
      <c r="ALF76" s="41">
        <f t="shared" si="2050"/>
        <v>1</v>
      </c>
      <c r="ALG76" s="41">
        <f t="shared" si="2050"/>
        <v>1</v>
      </c>
      <c r="ALH76" s="41">
        <f t="shared" si="2050"/>
        <v>1</v>
      </c>
      <c r="ALI76" s="41">
        <f t="shared" si="2050"/>
        <v>1</v>
      </c>
      <c r="ALJ76" s="41">
        <f t="shared" si="2050"/>
        <v>1</v>
      </c>
      <c r="ALK76" s="41">
        <f t="shared" si="2050"/>
        <v>1</v>
      </c>
      <c r="ALL76" s="41">
        <f t="shared" si="2050"/>
        <v>1</v>
      </c>
      <c r="ALM76" s="41">
        <f t="shared" si="2050"/>
        <v>1</v>
      </c>
      <c r="ALN76" s="41">
        <f t="shared" si="2050"/>
        <v>1</v>
      </c>
      <c r="ALO76" s="41">
        <f t="shared" si="2050"/>
        <v>1</v>
      </c>
      <c r="ALP76" s="41">
        <f t="shared" si="2050"/>
        <v>1</v>
      </c>
      <c r="ALQ76" s="41">
        <f t="shared" si="2050"/>
        <v>1</v>
      </c>
      <c r="ALR76" s="41">
        <f t="shared" si="2050"/>
        <v>1</v>
      </c>
      <c r="ALS76" s="41">
        <f t="shared" si="2050"/>
        <v>1</v>
      </c>
      <c r="ALT76" s="41">
        <f t="shared" si="2050"/>
        <v>1</v>
      </c>
      <c r="ALU76" s="41">
        <f t="shared" si="2050"/>
        <v>1</v>
      </c>
      <c r="ALV76" s="41">
        <f t="shared" si="2050"/>
        <v>1</v>
      </c>
      <c r="ALW76" s="41">
        <f t="shared" si="2050"/>
        <v>1</v>
      </c>
    </row>
    <row r="77" spans="2:1011" x14ac:dyDescent="0.25">
      <c r="C77" s="5" t="s">
        <v>60</v>
      </c>
      <c r="D77" s="6"/>
    </row>
    <row r="78" spans="2:1011" x14ac:dyDescent="0.25">
      <c r="B78" s="8"/>
      <c r="C78" s="5" t="s">
        <v>61</v>
      </c>
      <c r="D78" s="6"/>
    </row>
    <row r="80" spans="2:1011" x14ac:dyDescent="0.25">
      <c r="B80" t="s">
        <v>62</v>
      </c>
      <c r="C80">
        <v>50.8</v>
      </c>
    </row>
  </sheetData>
  <mergeCells count="177">
    <mergeCell ref="DH12:DM12"/>
    <mergeCell ref="DN12:DS12"/>
    <mergeCell ref="AZ12:BE12"/>
    <mergeCell ref="BF12:BK12"/>
    <mergeCell ref="AN12:AS12"/>
    <mergeCell ref="JH12:JM12"/>
    <mergeCell ref="P12:U12"/>
    <mergeCell ref="V12:AA12"/>
    <mergeCell ref="AB12:AG12"/>
    <mergeCell ref="F2:H2"/>
    <mergeCell ref="F3:H3"/>
    <mergeCell ref="JN12:JS12"/>
    <mergeCell ref="AT12:AY12"/>
    <mergeCell ref="GZ12:HE12"/>
    <mergeCell ref="HF12:HK12"/>
    <mergeCell ref="HL12:HQ12"/>
    <mergeCell ref="HR12:HW12"/>
    <mergeCell ref="HX12:IC12"/>
    <mergeCell ref="FV12:GA12"/>
    <mergeCell ref="GB12:GG12"/>
    <mergeCell ref="GH12:GM12"/>
    <mergeCell ref="GN12:GS12"/>
    <mergeCell ref="GT12:GY12"/>
    <mergeCell ref="CD12:CI12"/>
    <mergeCell ref="BX12:CC12"/>
    <mergeCell ref="BL12:BQ12"/>
    <mergeCell ref="BR12:BW12"/>
    <mergeCell ref="DB12:DG12"/>
    <mergeCell ref="JT12:JY12"/>
    <mergeCell ref="JZ12:KE12"/>
    <mergeCell ref="AH12:AM12"/>
    <mergeCell ref="ID12:II12"/>
    <mergeCell ref="IJ12:IO12"/>
    <mergeCell ref="IP12:IU12"/>
    <mergeCell ref="IV12:JA12"/>
    <mergeCell ref="JB12:JG12"/>
    <mergeCell ref="ER11:KE11"/>
    <mergeCell ref="ER12:EW12"/>
    <mergeCell ref="EX12:FC12"/>
    <mergeCell ref="FD12:FI12"/>
    <mergeCell ref="FJ12:FO12"/>
    <mergeCell ref="FP12:FU12"/>
    <mergeCell ref="D11:EQ11"/>
    <mergeCell ref="DT12:DY12"/>
    <mergeCell ref="DZ12:EE12"/>
    <mergeCell ref="EF12:EK12"/>
    <mergeCell ref="EL12:EQ12"/>
    <mergeCell ref="CJ12:CO12"/>
    <mergeCell ref="CP12:CU12"/>
    <mergeCell ref="CV12:DA12"/>
    <mergeCell ref="D12:I12"/>
    <mergeCell ref="J12:O12"/>
    <mergeCell ref="NR12:NW12"/>
    <mergeCell ref="NX12:OC12"/>
    <mergeCell ref="OD12:OI12"/>
    <mergeCell ref="OJ12:OO12"/>
    <mergeCell ref="OP12:OU12"/>
    <mergeCell ref="KF11:PS11"/>
    <mergeCell ref="KF12:KK12"/>
    <mergeCell ref="KL12:KQ12"/>
    <mergeCell ref="KR12:KW12"/>
    <mergeCell ref="KX12:LC12"/>
    <mergeCell ref="LD12:LI12"/>
    <mergeCell ref="LJ12:LO12"/>
    <mergeCell ref="LP12:LU12"/>
    <mergeCell ref="LV12:MA12"/>
    <mergeCell ref="MB12:MG12"/>
    <mergeCell ref="MH12:MM12"/>
    <mergeCell ref="MN12:MS12"/>
    <mergeCell ref="MT12:MY12"/>
    <mergeCell ref="MZ12:NE12"/>
    <mergeCell ref="NF12:NK12"/>
    <mergeCell ref="NL12:NQ12"/>
    <mergeCell ref="OV12:PA12"/>
    <mergeCell ref="PB12:PG12"/>
    <mergeCell ref="PH12:PM12"/>
    <mergeCell ref="PN12:PS12"/>
    <mergeCell ref="PT11:VG11"/>
    <mergeCell ref="PT12:PY12"/>
    <mergeCell ref="PZ12:QE12"/>
    <mergeCell ref="QF12:QK12"/>
    <mergeCell ref="QL12:QQ12"/>
    <mergeCell ref="QR12:QW12"/>
    <mergeCell ref="QX12:RC12"/>
    <mergeCell ref="RD12:RI12"/>
    <mergeCell ref="RJ12:RO12"/>
    <mergeCell ref="RP12:RU12"/>
    <mergeCell ref="RV12:SA12"/>
    <mergeCell ref="SB12:SG12"/>
    <mergeCell ref="TL12:TQ12"/>
    <mergeCell ref="TR12:TW12"/>
    <mergeCell ref="TX12:UC12"/>
    <mergeCell ref="UD12:UI12"/>
    <mergeCell ref="UJ12:UO12"/>
    <mergeCell ref="SH12:SM12"/>
    <mergeCell ref="SN12:SS12"/>
    <mergeCell ref="ST12:SY12"/>
    <mergeCell ref="SZ12:TE12"/>
    <mergeCell ref="TF12:TK12"/>
    <mergeCell ref="UP12:UU12"/>
    <mergeCell ref="UV12:VA12"/>
    <mergeCell ref="VB12:VG12"/>
    <mergeCell ref="VH11:AAU11"/>
    <mergeCell ref="VH12:VM12"/>
    <mergeCell ref="VN12:VS12"/>
    <mergeCell ref="VT12:VY12"/>
    <mergeCell ref="VZ12:WE12"/>
    <mergeCell ref="WF12:WK12"/>
    <mergeCell ref="WL12:WQ12"/>
    <mergeCell ref="WR12:WW12"/>
    <mergeCell ref="WX12:XC12"/>
    <mergeCell ref="XD12:XI12"/>
    <mergeCell ref="XJ12:XO12"/>
    <mergeCell ref="XP12:XU12"/>
    <mergeCell ref="XV12:YA12"/>
    <mergeCell ref="ZF12:ZK12"/>
    <mergeCell ref="ZL12:ZQ12"/>
    <mergeCell ref="ZR12:ZW12"/>
    <mergeCell ref="ZX12:AAC12"/>
    <mergeCell ref="AAD12:AAI12"/>
    <mergeCell ref="YB12:YG12"/>
    <mergeCell ref="YH12:YM12"/>
    <mergeCell ref="YN12:YS12"/>
    <mergeCell ref="YT12:YY12"/>
    <mergeCell ref="YZ12:ZE12"/>
    <mergeCell ref="AAJ12:AAO12"/>
    <mergeCell ref="AAP12:AAU12"/>
    <mergeCell ref="AAV11:AGI11"/>
    <mergeCell ref="AAV12:ABA12"/>
    <mergeCell ref="ABB12:ABG12"/>
    <mergeCell ref="ABH12:ABM12"/>
    <mergeCell ref="ABN12:ABS12"/>
    <mergeCell ref="ABT12:ABY12"/>
    <mergeCell ref="ABZ12:ACE12"/>
    <mergeCell ref="ACF12:ACK12"/>
    <mergeCell ref="ACL12:ACQ12"/>
    <mergeCell ref="ACR12:ACW12"/>
    <mergeCell ref="ACX12:ADC12"/>
    <mergeCell ref="ADD12:ADI12"/>
    <mergeCell ref="ADJ12:ADO12"/>
    <mergeCell ref="ADP12:ADU12"/>
    <mergeCell ref="AEZ12:AFE12"/>
    <mergeCell ref="AFF12:AFK12"/>
    <mergeCell ref="AFL12:AFQ12"/>
    <mergeCell ref="AFR12:AFW12"/>
    <mergeCell ref="AFX12:AGC12"/>
    <mergeCell ref="ADV12:AEA12"/>
    <mergeCell ref="AEB12:AEG12"/>
    <mergeCell ref="AGJ11:ALW11"/>
    <mergeCell ref="AGJ12:AGO12"/>
    <mergeCell ref="AGP12:AGU12"/>
    <mergeCell ref="AGV12:AHA12"/>
    <mergeCell ref="AHB12:AHG12"/>
    <mergeCell ref="AHH12:AHM12"/>
    <mergeCell ref="AHN12:AHS12"/>
    <mergeCell ref="AHT12:AHY12"/>
    <mergeCell ref="AHZ12:AIE12"/>
    <mergeCell ref="AIF12:AIK12"/>
    <mergeCell ref="AIL12:AIQ12"/>
    <mergeCell ref="AIR12:AIW12"/>
    <mergeCell ref="AIX12:AJC12"/>
    <mergeCell ref="AJD12:AJI12"/>
    <mergeCell ref="AJJ12:AJO12"/>
    <mergeCell ref="AKT12:AKY12"/>
    <mergeCell ref="AKZ12:ALE12"/>
    <mergeCell ref="ALF12:ALK12"/>
    <mergeCell ref="ALL12:ALQ12"/>
    <mergeCell ref="ALR12:ALW12"/>
    <mergeCell ref="AJP12:AJU12"/>
    <mergeCell ref="AJV12:AKA12"/>
    <mergeCell ref="AKB12:AKG12"/>
    <mergeCell ref="AKH12:AKM12"/>
    <mergeCell ref="AKN12:AKS12"/>
    <mergeCell ref="AEH12:AEM12"/>
    <mergeCell ref="AEN12:AES12"/>
    <mergeCell ref="AET12:AEY12"/>
    <mergeCell ref="AGD12:AGI12"/>
  </mergeCells>
  <phoneticPr fontId="25" type="noConversion"/>
  <conditionalFormatting sqref="A2:F3 A8:B8 I2 A1:XFD1 K2:XFD2 I3:XFD3 A4:XFD7 D8:XFD8 A43:XFD1048576 A42:CJ42 A9:XFD40 ALX41:XFD42 CL42:NL42 NN42:SZ42 TB42:YN42 YP42:AEB42 AED42:AJP42 AJR42:ALW42 A41:ALW41">
    <cfRule type="cellIs" dxfId="36" priority="51" operator="equal">
      <formula>"M0"</formula>
    </cfRule>
  </conditionalFormatting>
  <conditionalFormatting sqref="A33:XFD33 A26:XFD26 A43:XFD43 A48:XFD48 A18:XFD18 A15:XFD15 A22:XFD22 A39:XFD39">
    <cfRule type="containsText" dxfId="101" priority="36" operator="containsText" text="M0">
      <formula>NOT(ISERROR(SEARCH("M0",A15)))</formula>
    </cfRule>
  </conditionalFormatting>
  <conditionalFormatting sqref="A18:XFD18 A20:XFD20">
    <cfRule type="containsText" dxfId="100" priority="46" operator="containsText" text="M1">
      <formula>NOT(ISERROR(SEARCH("M1",A18)))</formula>
    </cfRule>
  </conditionalFormatting>
  <conditionalFormatting sqref="A15:XFD15 A22:XFD22 A24:XFD24 A26:XFD26 A28:XFD28 A33:XFD33 A48:XFD48 A17:XFD17 A35:XFD35 A50:XFD50">
    <cfRule type="containsText" dxfId="99" priority="44" operator="containsText" text="M1">
      <formula>NOT(ISERROR(SEARCH("M1",A15)))</formula>
    </cfRule>
  </conditionalFormatting>
  <conditionalFormatting sqref="A43:XFD43 A45:XFD45 A39:XFD39 A41:XFD41">
    <cfRule type="containsText" dxfId="98" priority="43" operator="containsText" text="M1">
      <formula>NOT(ISERROR(SEARCH("M1",A39)))</formula>
    </cfRule>
  </conditionalFormatting>
  <conditionalFormatting sqref="A33:XFD33 A48:XFD48 A51:XFD51 A36:XFD36 A46:XFD46 A43:XFD43 A42:CJ42 CK41 A39:XFD39 CL42:NL42 NM41 NN42:SZ42 TA41 TB42:YN42 YO41 YP42:AEB42 AEC41 AED42:AJP42 AJQ41 AJR42:XFD42">
    <cfRule type="containsText" dxfId="34" priority="42" operator="containsText" text="M2">
      <formula>NOT(ISERROR(SEARCH("M2",A33)))</formula>
    </cfRule>
  </conditionalFormatting>
  <conditionalFormatting sqref="A26:XFD26 A29:XFD29">
    <cfRule type="containsText" dxfId="97" priority="41" operator="containsText" text="M2">
      <formula>NOT(ISERROR(SEARCH("M2",A26)))</formula>
    </cfRule>
  </conditionalFormatting>
  <conditionalFormatting sqref="A33:XFD33 A37:XFD37">
    <cfRule type="containsText" dxfId="96" priority="40" operator="containsText" text="M3">
      <formula>NOT(ISERROR(SEARCH("M3",A33)))</formula>
    </cfRule>
  </conditionalFormatting>
  <conditionalFormatting sqref="A30:XFD30 A26:XFD26 A48:XFD48 A52:XFD52">
    <cfRule type="containsText" dxfId="95" priority="39" operator="containsText" text="M3">
      <formula>NOT(ISERROR(SEARCH("M3",A26)))</formula>
    </cfRule>
  </conditionalFormatting>
  <conditionalFormatting sqref="A31:XFD31 A26:XFD26 A53:XFD53 A48:XFD48 A33:XFD33 A38:XFD38">
    <cfRule type="containsText" dxfId="94" priority="38" operator="containsText" text="M4">
      <formula>NOT(ISERROR(SEARCH("M4",A26)))</formula>
    </cfRule>
  </conditionalFormatting>
  <conditionalFormatting sqref="A32:XFD32 A26:XFD26">
    <cfRule type="containsText" dxfId="93" priority="37" operator="containsText" text="M5">
      <formula>NOT(ISERROR(SEARCH("M5",A26)))</formula>
    </cfRule>
  </conditionalFormatting>
  <conditionalFormatting sqref="D74:ALW74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6:ALW7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1:Q41">
    <cfRule type="containsText" dxfId="92" priority="32" operator="containsText" text="M0">
      <formula>NOT(ISERROR(SEARCH("M0",K41)))</formula>
    </cfRule>
  </conditionalFormatting>
  <conditionalFormatting sqref="K41:Q41">
    <cfRule type="containsText" dxfId="91" priority="33" operator="containsText" text="M2">
      <formula>NOT(ISERROR(SEARCH("M2",K41)))</formula>
    </cfRule>
  </conditionalFormatting>
  <conditionalFormatting sqref="D41:I41">
    <cfRule type="containsText" dxfId="90" priority="30" operator="containsText" text="M0">
      <formula>NOT(ISERROR(SEARCH("M0",D41)))</formula>
    </cfRule>
  </conditionalFormatting>
  <conditionalFormatting sqref="D41:I41">
    <cfRule type="containsText" dxfId="89" priority="31" operator="containsText" text="M2">
      <formula>NOT(ISERROR(SEARCH("M2",D41)))</formula>
    </cfRule>
  </conditionalFormatting>
  <conditionalFormatting sqref="CJ38:CL38">
    <cfRule type="containsText" dxfId="88" priority="29" operator="containsText" text="M2">
      <formula>NOT(ISERROR(SEARCH("M2",CJ38)))</formula>
    </cfRule>
  </conditionalFormatting>
  <conditionalFormatting sqref="LR38:LT38">
    <cfRule type="containsText" dxfId="87" priority="28" operator="containsText" text="M2">
      <formula>NOT(ISERROR(SEARCH("M2",LR38)))</formula>
    </cfRule>
  </conditionalFormatting>
  <conditionalFormatting sqref="RF38:RH38">
    <cfRule type="containsText" dxfId="86" priority="27" operator="containsText" text="M2">
      <formula>NOT(ISERROR(SEARCH("M2",RF38)))</formula>
    </cfRule>
  </conditionalFormatting>
  <conditionalFormatting sqref="WT38:WV38">
    <cfRule type="containsText" dxfId="85" priority="26" operator="containsText" text="M2">
      <formula>NOT(ISERROR(SEARCH("M2",WT38)))</formula>
    </cfRule>
  </conditionalFormatting>
  <conditionalFormatting sqref="NL38:NN38">
    <cfRule type="containsText" dxfId="84" priority="25" operator="containsText" text="M2">
      <formula>NOT(ISERROR(SEARCH("M2",NL38)))</formula>
    </cfRule>
  </conditionalFormatting>
  <conditionalFormatting sqref="SZ38:TB38">
    <cfRule type="containsText" dxfId="83" priority="24" operator="containsText" text="M2">
      <formula>NOT(ISERROR(SEARCH("M2",SZ38)))</formula>
    </cfRule>
  </conditionalFormatting>
  <conditionalFormatting sqref="YN38:YP38">
    <cfRule type="containsText" dxfId="82" priority="23" operator="containsText" text="M2">
      <formula>NOT(ISERROR(SEARCH("M2",YN38)))</formula>
    </cfRule>
  </conditionalFormatting>
  <conditionalFormatting sqref="AEB38:AED38">
    <cfRule type="containsText" dxfId="81" priority="22" operator="containsText" text="M2">
      <formula>NOT(ISERROR(SEARCH("M2",AEB38)))</formula>
    </cfRule>
  </conditionalFormatting>
  <conditionalFormatting sqref="AJP38:AJR38">
    <cfRule type="containsText" dxfId="80" priority="21" operator="containsText" text="M2">
      <formula>NOT(ISERROR(SEARCH("M2",AJP38)))</formula>
    </cfRule>
  </conditionalFormatting>
  <conditionalFormatting sqref="KM41:KS41">
    <cfRule type="containsText" dxfId="19" priority="19" operator="containsText" text="M0">
      <formula>NOT(ISERROR(SEARCH("M0",KM41)))</formula>
    </cfRule>
  </conditionalFormatting>
  <conditionalFormatting sqref="KM41:KS41">
    <cfRule type="containsText" dxfId="18" priority="20" operator="containsText" text="M2">
      <formula>NOT(ISERROR(SEARCH("M2",KM41)))</formula>
    </cfRule>
  </conditionalFormatting>
  <conditionalFormatting sqref="KF41:KK41">
    <cfRule type="containsText" dxfId="17" priority="17" operator="containsText" text="M0">
      <formula>NOT(ISERROR(SEARCH("M0",KF41)))</formula>
    </cfRule>
  </conditionalFormatting>
  <conditionalFormatting sqref="KF41:KK41">
    <cfRule type="containsText" dxfId="16" priority="18" operator="containsText" text="M2">
      <formula>NOT(ISERROR(SEARCH("M2",KF41)))</formula>
    </cfRule>
  </conditionalFormatting>
  <conditionalFormatting sqref="QA41:QG41">
    <cfRule type="containsText" dxfId="15" priority="15" operator="containsText" text="M0">
      <formula>NOT(ISERROR(SEARCH("M0",QA41)))</formula>
    </cfRule>
  </conditionalFormatting>
  <conditionalFormatting sqref="QA41:QG41">
    <cfRule type="containsText" dxfId="14" priority="16" operator="containsText" text="M2">
      <formula>NOT(ISERROR(SEARCH("M2",QA41)))</formula>
    </cfRule>
  </conditionalFormatting>
  <conditionalFormatting sqref="PT41:PY41">
    <cfRule type="containsText" dxfId="13" priority="13" operator="containsText" text="M0">
      <formula>NOT(ISERROR(SEARCH("M0",PT41)))</formula>
    </cfRule>
  </conditionalFormatting>
  <conditionalFormatting sqref="PT41:PY41">
    <cfRule type="containsText" dxfId="12" priority="14" operator="containsText" text="M2">
      <formula>NOT(ISERROR(SEARCH("M2",PT41)))</formula>
    </cfRule>
  </conditionalFormatting>
  <conditionalFormatting sqref="VO41:VU41">
    <cfRule type="containsText" dxfId="11" priority="11" operator="containsText" text="M0">
      <formula>NOT(ISERROR(SEARCH("M0",VO41)))</formula>
    </cfRule>
  </conditionalFormatting>
  <conditionalFormatting sqref="VO41:VU41">
    <cfRule type="containsText" dxfId="10" priority="12" operator="containsText" text="M2">
      <formula>NOT(ISERROR(SEARCH("M2",VO41)))</formula>
    </cfRule>
  </conditionalFormatting>
  <conditionalFormatting sqref="VH41:VM41">
    <cfRule type="containsText" dxfId="9" priority="9" operator="containsText" text="M0">
      <formula>NOT(ISERROR(SEARCH("M0",VH41)))</formula>
    </cfRule>
  </conditionalFormatting>
  <conditionalFormatting sqref="VH41:VM41">
    <cfRule type="containsText" dxfId="8" priority="10" operator="containsText" text="M2">
      <formula>NOT(ISERROR(SEARCH("M2",VH41)))</formula>
    </cfRule>
  </conditionalFormatting>
  <conditionalFormatting sqref="ABC41:ABI41">
    <cfRule type="containsText" dxfId="7" priority="7" operator="containsText" text="M0">
      <formula>NOT(ISERROR(SEARCH("M0",ABC41)))</formula>
    </cfRule>
  </conditionalFormatting>
  <conditionalFormatting sqref="ABC41:ABI41">
    <cfRule type="containsText" dxfId="6" priority="8" operator="containsText" text="M2">
      <formula>NOT(ISERROR(SEARCH("M2",ABC41)))</formula>
    </cfRule>
  </conditionalFormatting>
  <conditionalFormatting sqref="AAV41:ABA41">
    <cfRule type="containsText" dxfId="5" priority="5" operator="containsText" text="M0">
      <formula>NOT(ISERROR(SEARCH("M0",AAV41)))</formula>
    </cfRule>
  </conditionalFormatting>
  <conditionalFormatting sqref="AAV41:ABA41">
    <cfRule type="containsText" dxfId="4" priority="6" operator="containsText" text="M2">
      <formula>NOT(ISERROR(SEARCH("M2",AAV41)))</formula>
    </cfRule>
  </conditionalFormatting>
  <conditionalFormatting sqref="AGQ41:AGW41">
    <cfRule type="containsText" dxfId="3" priority="3" operator="containsText" text="M0">
      <formula>NOT(ISERROR(SEARCH("M0",AGQ41)))</formula>
    </cfRule>
  </conditionalFormatting>
  <conditionalFormatting sqref="AGQ41:AGW41">
    <cfRule type="containsText" dxfId="2" priority="4" operator="containsText" text="M2">
      <formula>NOT(ISERROR(SEARCH("M2",AGQ41)))</formula>
    </cfRule>
  </conditionalFormatting>
  <conditionalFormatting sqref="AGJ41:AGO41">
    <cfRule type="containsText" dxfId="1" priority="1" operator="containsText" text="M0">
      <formula>NOT(ISERROR(SEARCH("M0",AGJ41)))</formula>
    </cfRule>
  </conditionalFormatting>
  <conditionalFormatting sqref="AGJ41:AGO41">
    <cfRule type="containsText" dxfId="0" priority="2" operator="containsText" text="M2">
      <formula>NOT(ISERROR(SEARCH("M2",AGJ41)))</formula>
    </cfRule>
  </conditionalFormatting>
  <pageMargins left="0.19685039370078741" right="0.19685039370078741" top="0.19685039370078741" bottom="0.19685039370078741" header="0" footer="0"/>
  <pageSetup paperSize="9" scale="52" fitToWidth="0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P48"/>
  <sheetViews>
    <sheetView showGridLines="0" topLeftCell="B1" zoomScaleNormal="100" workbookViewId="0">
      <selection activeCell="I4" sqref="I4"/>
    </sheetView>
  </sheetViews>
  <sheetFormatPr baseColWidth="10" defaultRowHeight="15" x14ac:dyDescent="0.25"/>
  <cols>
    <col min="1" max="1" width="10.85546875" customWidth="1"/>
    <col min="2" max="3" width="25.5703125" customWidth="1"/>
    <col min="4" max="5" width="24.5703125" customWidth="1"/>
    <col min="6" max="6" width="6.5703125" customWidth="1"/>
    <col min="7" max="7" width="10.5703125" customWidth="1"/>
    <col min="8" max="8" width="20.5703125" customWidth="1"/>
    <col min="9" max="9" width="26.5703125" customWidth="1"/>
    <col min="10" max="10" width="19.140625" customWidth="1"/>
    <col min="11" max="11" width="17.7109375" customWidth="1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2" t="s">
        <v>0</v>
      </c>
      <c r="C2" s="27">
        <f>PLANNING!C2</f>
        <v>45921</v>
      </c>
      <c r="D2" s="3"/>
      <c r="E2" s="1"/>
      <c r="F2" s="1"/>
      <c r="G2" s="34" t="s">
        <v>27</v>
      </c>
      <c r="H2" s="34" t="s">
        <v>28</v>
      </c>
      <c r="I2" s="34" t="s">
        <v>29</v>
      </c>
      <c r="J2" s="34" t="s">
        <v>30</v>
      </c>
      <c r="K2" s="1"/>
      <c r="L2" s="1"/>
      <c r="M2" s="1"/>
      <c r="N2" s="1"/>
      <c r="O2" s="1"/>
      <c r="P2" s="1"/>
    </row>
    <row r="3" spans="1:16" x14ac:dyDescent="0.25">
      <c r="A3" s="1"/>
      <c r="B3" s="1"/>
      <c r="C3" s="1"/>
      <c r="D3" s="1"/>
      <c r="E3" s="1"/>
      <c r="F3" s="1"/>
      <c r="G3" s="35" t="s">
        <v>6</v>
      </c>
      <c r="H3" s="35" t="s">
        <v>43</v>
      </c>
      <c r="I3" s="35">
        <v>-23.28</v>
      </c>
      <c r="J3" s="35"/>
      <c r="K3" s="1"/>
      <c r="L3" s="1"/>
      <c r="M3" s="1"/>
      <c r="N3" s="1"/>
      <c r="O3" s="1"/>
      <c r="P3" s="1"/>
    </row>
    <row r="4" spans="1:16" x14ac:dyDescent="0.25">
      <c r="A4" s="1"/>
      <c r="B4" s="2" t="s">
        <v>7</v>
      </c>
      <c r="C4" s="27">
        <f>PLANNING!C4</f>
        <v>45927</v>
      </c>
      <c r="D4" s="2"/>
      <c r="E4" s="1"/>
      <c r="F4" s="1"/>
      <c r="G4" s="35" t="s">
        <v>4</v>
      </c>
      <c r="H4" s="35" t="s">
        <v>44</v>
      </c>
      <c r="I4" s="35">
        <v>0</v>
      </c>
      <c r="J4" s="35"/>
      <c r="K4" s="1"/>
      <c r="L4" s="1"/>
      <c r="M4" s="1"/>
      <c r="N4" s="1"/>
      <c r="O4" s="1"/>
      <c r="P4" s="1"/>
    </row>
    <row r="5" spans="1:16" x14ac:dyDescent="0.25">
      <c r="A5" s="1"/>
      <c r="B5" s="1"/>
      <c r="C5" s="1"/>
      <c r="D5" s="16"/>
      <c r="E5" s="1"/>
      <c r="F5" s="1"/>
      <c r="G5" s="35"/>
      <c r="H5" s="35"/>
      <c r="I5" s="35"/>
      <c r="J5" s="35"/>
      <c r="K5" s="1"/>
      <c r="L5" s="1"/>
      <c r="M5" s="1"/>
      <c r="N5" s="1"/>
      <c r="O5" s="1"/>
      <c r="P5" s="1"/>
    </row>
    <row r="6" spans="1:16" x14ac:dyDescent="0.25">
      <c r="A6" s="1"/>
      <c r="B6" s="2" t="s">
        <v>8</v>
      </c>
      <c r="C6" s="2" t="str">
        <f>TEXT(C4-C2+1,"j"" jours""")</f>
        <v>7 jours</v>
      </c>
      <c r="D6" s="16"/>
      <c r="E6" s="1"/>
      <c r="F6" s="1"/>
      <c r="G6" s="35"/>
      <c r="H6" s="35"/>
      <c r="I6" s="35"/>
      <c r="J6" s="35"/>
      <c r="K6" s="1"/>
      <c r="L6" s="1"/>
      <c r="M6" s="1"/>
      <c r="N6" s="1"/>
      <c r="O6" s="1"/>
      <c r="P6" s="1"/>
    </row>
    <row r="7" spans="1:16" x14ac:dyDescent="0.25">
      <c r="A7" s="1"/>
      <c r="B7" s="1"/>
      <c r="C7" s="1"/>
      <c r="D7" s="1"/>
      <c r="E7" s="1"/>
      <c r="F7" s="1"/>
      <c r="G7" s="35"/>
      <c r="H7" s="35"/>
      <c r="I7" s="35"/>
      <c r="J7" s="35"/>
      <c r="K7" s="1"/>
      <c r="L7" s="1"/>
      <c r="M7" s="1"/>
      <c r="N7" s="1"/>
      <c r="O7" s="1"/>
      <c r="P7" s="1"/>
    </row>
    <row r="8" spans="1:16" x14ac:dyDescent="0.25">
      <c r="A8" s="1"/>
      <c r="B8" s="2" t="s">
        <v>45</v>
      </c>
      <c r="C8" s="2">
        <f>COUNTA(B15:B43)</f>
        <v>14</v>
      </c>
      <c r="D8" s="1"/>
      <c r="E8" s="1"/>
      <c r="F8" s="1"/>
      <c r="G8" s="35"/>
      <c r="H8" s="35"/>
      <c r="I8" s="35"/>
      <c r="J8" s="35"/>
      <c r="K8" s="1"/>
      <c r="L8" s="1"/>
      <c r="M8" s="1"/>
      <c r="N8" s="1"/>
      <c r="O8" s="1"/>
      <c r="P8" s="1"/>
    </row>
    <row r="9" spans="1:1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B10" s="7"/>
      <c r="C10" s="7"/>
    </row>
    <row r="11" spans="1:16" x14ac:dyDescent="0.25">
      <c r="B11" s="7"/>
      <c r="C11" s="7"/>
    </row>
    <row r="12" spans="1:16" x14ac:dyDescent="0.25">
      <c r="B12" s="45" t="s">
        <v>39</v>
      </c>
      <c r="C12" s="45"/>
      <c r="D12" s="45"/>
      <c r="E12" s="45"/>
      <c r="G12" s="46" t="s">
        <v>38</v>
      </c>
      <c r="H12" s="46"/>
      <c r="I12" s="46"/>
    </row>
    <row r="14" spans="1:16" x14ac:dyDescent="0.25">
      <c r="B14" s="25" t="s">
        <v>40</v>
      </c>
      <c r="C14" s="25" t="s">
        <v>22</v>
      </c>
      <c r="D14" s="25" t="s">
        <v>23</v>
      </c>
      <c r="E14" s="25" t="s">
        <v>25</v>
      </c>
      <c r="G14" s="31" t="s">
        <v>40</v>
      </c>
      <c r="H14" s="2" t="s">
        <v>20</v>
      </c>
      <c r="I14" s="2" t="s">
        <v>21</v>
      </c>
    </row>
    <row r="15" spans="1:16" x14ac:dyDescent="0.25">
      <c r="B15" s="26" t="s">
        <v>4</v>
      </c>
      <c r="C15" s="21">
        <v>45921</v>
      </c>
      <c r="D15" s="22">
        <v>0.125</v>
      </c>
      <c r="E15" s="28">
        <v>2.4305555555555556E-2</v>
      </c>
      <c r="G15" s="1" t="str">
        <f>IF($B15 &lt;&gt; "", $B15, "")</f>
        <v>M1</v>
      </c>
      <c r="H15" s="20">
        <f>IF(AND($C15 &lt;&gt; "", $D15 &lt;&gt; ""), $C15+ $D15, "")</f>
        <v>45921.125</v>
      </c>
      <c r="I15" s="20">
        <f>IF($H15 &lt;&gt; "", $H15 + $E15, "")</f>
        <v>45921.149305555555</v>
      </c>
    </row>
    <row r="16" spans="1:16" x14ac:dyDescent="0.25">
      <c r="B16" s="26" t="s">
        <v>4</v>
      </c>
      <c r="C16" s="21">
        <v>45921</v>
      </c>
      <c r="D16" s="22">
        <v>0.625</v>
      </c>
      <c r="E16" s="28">
        <v>2.4305555555555556E-2</v>
      </c>
      <c r="G16" s="1" t="str">
        <f t="shared" ref="G16:G46" si="0">IF($B16 &lt;&gt; "", $B16, "")</f>
        <v>M1</v>
      </c>
      <c r="H16" s="20">
        <f t="shared" ref="H16:H46" si="1">IF(AND($C16 &lt;&gt; "", $D16 &lt;&gt; ""), $C16+ $D16, "")</f>
        <v>45921.625</v>
      </c>
      <c r="I16" s="20">
        <f t="shared" ref="I16:I46" si="2">IF($H16 &lt;&gt; "", $H16 + $E16, "")</f>
        <v>45921.649305555555</v>
      </c>
    </row>
    <row r="17" spans="2:9" x14ac:dyDescent="0.25">
      <c r="B17" s="26" t="s">
        <v>4</v>
      </c>
      <c r="C17" s="21">
        <v>45922</v>
      </c>
      <c r="D17" s="22">
        <v>1.125</v>
      </c>
      <c r="E17" s="28">
        <v>2.4305555555555601E-2</v>
      </c>
      <c r="G17" s="1" t="str">
        <f t="shared" si="0"/>
        <v>M1</v>
      </c>
      <c r="H17" s="20">
        <f t="shared" si="1"/>
        <v>45923.125</v>
      </c>
      <c r="I17" s="20">
        <f t="shared" si="2"/>
        <v>45923.149305555555</v>
      </c>
    </row>
    <row r="18" spans="2:9" x14ac:dyDescent="0.25">
      <c r="B18" s="26" t="s">
        <v>4</v>
      </c>
      <c r="C18" s="21">
        <v>45922</v>
      </c>
      <c r="D18" s="22">
        <v>1.625</v>
      </c>
      <c r="E18" s="28">
        <v>2.4305555555555601E-2</v>
      </c>
      <c r="G18" s="1" t="str">
        <f t="shared" si="0"/>
        <v>M1</v>
      </c>
      <c r="H18" s="20">
        <f t="shared" si="1"/>
        <v>45923.625</v>
      </c>
      <c r="I18" s="20">
        <f t="shared" si="2"/>
        <v>45923.649305555555</v>
      </c>
    </row>
    <row r="19" spans="2:9" x14ac:dyDescent="0.25">
      <c r="B19" s="26" t="s">
        <v>4</v>
      </c>
      <c r="C19" s="21">
        <v>45923</v>
      </c>
      <c r="D19" s="22">
        <v>2.125</v>
      </c>
      <c r="E19" s="28">
        <v>2.4305555555555601E-2</v>
      </c>
      <c r="G19" s="1" t="str">
        <f t="shared" si="0"/>
        <v>M1</v>
      </c>
      <c r="H19" s="20">
        <f t="shared" si="1"/>
        <v>45925.125</v>
      </c>
      <c r="I19" s="20">
        <f t="shared" si="2"/>
        <v>45925.149305555555</v>
      </c>
    </row>
    <row r="20" spans="2:9" x14ac:dyDescent="0.25">
      <c r="B20" s="26" t="s">
        <v>4</v>
      </c>
      <c r="C20" s="21">
        <v>45923</v>
      </c>
      <c r="D20" s="22">
        <v>2.625</v>
      </c>
      <c r="E20" s="28">
        <v>2.4305555555555601E-2</v>
      </c>
      <c r="G20" s="1" t="str">
        <f t="shared" si="0"/>
        <v>M1</v>
      </c>
      <c r="H20" s="20">
        <f t="shared" si="1"/>
        <v>45925.625</v>
      </c>
      <c r="I20" s="20">
        <f t="shared" si="2"/>
        <v>45925.649305555555</v>
      </c>
    </row>
    <row r="21" spans="2:9" x14ac:dyDescent="0.25">
      <c r="B21" s="26" t="s">
        <v>4</v>
      </c>
      <c r="C21" s="21">
        <v>45924</v>
      </c>
      <c r="D21" s="22">
        <v>3.125</v>
      </c>
      <c r="E21" s="28">
        <v>2.4305555555555601E-2</v>
      </c>
      <c r="G21" s="1" t="str">
        <f t="shared" si="0"/>
        <v>M1</v>
      </c>
      <c r="H21" s="20">
        <f t="shared" si="1"/>
        <v>45927.125</v>
      </c>
      <c r="I21" s="20">
        <f t="shared" si="2"/>
        <v>45927.149305555555</v>
      </c>
    </row>
    <row r="22" spans="2:9" x14ac:dyDescent="0.25">
      <c r="B22" s="26" t="s">
        <v>4</v>
      </c>
      <c r="C22" s="21">
        <v>45924</v>
      </c>
      <c r="D22" s="22">
        <v>3.625</v>
      </c>
      <c r="E22" s="28">
        <v>2.4305555555555601E-2</v>
      </c>
      <c r="G22" s="1" t="str">
        <f t="shared" si="0"/>
        <v>M1</v>
      </c>
      <c r="H22" s="20">
        <f t="shared" si="1"/>
        <v>45927.625</v>
      </c>
      <c r="I22" s="20">
        <f t="shared" si="2"/>
        <v>45927.649305555555</v>
      </c>
    </row>
    <row r="23" spans="2:9" x14ac:dyDescent="0.25">
      <c r="B23" s="26" t="s">
        <v>4</v>
      </c>
      <c r="C23" s="21">
        <v>45925</v>
      </c>
      <c r="D23" s="22">
        <v>4.125</v>
      </c>
      <c r="E23" s="28">
        <v>2.4305555555555601E-2</v>
      </c>
      <c r="G23" s="1" t="str">
        <f t="shared" si="0"/>
        <v>M1</v>
      </c>
      <c r="H23" s="20">
        <f t="shared" si="1"/>
        <v>45929.125</v>
      </c>
      <c r="I23" s="20">
        <f t="shared" si="2"/>
        <v>45929.149305555555</v>
      </c>
    </row>
    <row r="24" spans="2:9" x14ac:dyDescent="0.25">
      <c r="B24" s="26" t="s">
        <v>4</v>
      </c>
      <c r="C24" s="21">
        <v>45925</v>
      </c>
      <c r="D24" s="22">
        <v>3.625</v>
      </c>
      <c r="E24" s="28">
        <v>2.4305555555555601E-2</v>
      </c>
      <c r="G24" s="1" t="str">
        <f t="shared" si="0"/>
        <v>M1</v>
      </c>
      <c r="H24" s="20">
        <f t="shared" si="1"/>
        <v>45928.625</v>
      </c>
      <c r="I24" s="20">
        <f t="shared" si="2"/>
        <v>45928.649305555555</v>
      </c>
    </row>
    <row r="25" spans="2:9" x14ac:dyDescent="0.25">
      <c r="B25" s="26" t="s">
        <v>4</v>
      </c>
      <c r="C25" s="21">
        <v>45926</v>
      </c>
      <c r="D25" s="22">
        <v>3.125</v>
      </c>
      <c r="E25" s="28">
        <v>2.4305555555555601E-2</v>
      </c>
      <c r="G25" s="1" t="str">
        <f t="shared" si="0"/>
        <v>M1</v>
      </c>
      <c r="H25" s="20">
        <f t="shared" si="1"/>
        <v>45929.125</v>
      </c>
      <c r="I25" s="20">
        <f t="shared" si="2"/>
        <v>45929.149305555555</v>
      </c>
    </row>
    <row r="26" spans="2:9" x14ac:dyDescent="0.25">
      <c r="B26" s="26" t="s">
        <v>4</v>
      </c>
      <c r="C26" s="21">
        <v>45926</v>
      </c>
      <c r="D26" s="22">
        <v>2.625</v>
      </c>
      <c r="E26" s="28">
        <v>2.4305555555555601E-2</v>
      </c>
      <c r="G26" s="1" t="str">
        <f t="shared" si="0"/>
        <v>M1</v>
      </c>
      <c r="H26" s="20">
        <f t="shared" si="1"/>
        <v>45928.625</v>
      </c>
      <c r="I26" s="20">
        <f t="shared" si="2"/>
        <v>45928.649305555555</v>
      </c>
    </row>
    <row r="27" spans="2:9" x14ac:dyDescent="0.25">
      <c r="B27" s="26" t="s">
        <v>4</v>
      </c>
      <c r="C27" s="21">
        <v>45927</v>
      </c>
      <c r="D27" s="22">
        <v>3.125</v>
      </c>
      <c r="E27" s="28">
        <v>2.4305555555555601E-2</v>
      </c>
      <c r="G27" s="1" t="str">
        <f t="shared" si="0"/>
        <v>M1</v>
      </c>
      <c r="H27" s="20">
        <f t="shared" si="1"/>
        <v>45930.125</v>
      </c>
      <c r="I27" s="20">
        <f t="shared" si="2"/>
        <v>45930.149305555555</v>
      </c>
    </row>
    <row r="28" spans="2:9" x14ac:dyDescent="0.25">
      <c r="B28" s="26" t="s">
        <v>4</v>
      </c>
      <c r="C28" s="21">
        <v>45927</v>
      </c>
      <c r="D28" s="22">
        <v>2.625</v>
      </c>
      <c r="E28" s="28">
        <v>2.4305555555555601E-2</v>
      </c>
      <c r="G28" s="1" t="str">
        <f t="shared" si="0"/>
        <v>M1</v>
      </c>
      <c r="H28" s="20">
        <f t="shared" si="1"/>
        <v>45929.625</v>
      </c>
      <c r="I28" s="20">
        <f t="shared" si="2"/>
        <v>45929.649305555555</v>
      </c>
    </row>
    <row r="29" spans="2:9" x14ac:dyDescent="0.25">
      <c r="B29" s="26"/>
      <c r="C29" s="21"/>
      <c r="D29" s="22"/>
      <c r="E29" s="28"/>
      <c r="G29" s="1" t="str">
        <f t="shared" si="0"/>
        <v/>
      </c>
      <c r="H29" s="20" t="str">
        <f t="shared" si="1"/>
        <v/>
      </c>
      <c r="I29" s="20" t="str">
        <f t="shared" si="2"/>
        <v/>
      </c>
    </row>
    <row r="30" spans="2:9" x14ac:dyDescent="0.25">
      <c r="B30" s="26"/>
      <c r="C30" s="21"/>
      <c r="D30" s="22"/>
      <c r="E30" s="28"/>
      <c r="G30" s="1" t="str">
        <f t="shared" si="0"/>
        <v/>
      </c>
      <c r="H30" s="20" t="str">
        <f t="shared" si="1"/>
        <v/>
      </c>
      <c r="I30" s="20" t="str">
        <f t="shared" si="2"/>
        <v/>
      </c>
    </row>
    <row r="31" spans="2:9" x14ac:dyDescent="0.25">
      <c r="B31" s="26"/>
      <c r="C31" s="21"/>
      <c r="D31" s="22"/>
      <c r="E31" s="28"/>
      <c r="G31" s="1" t="str">
        <f t="shared" si="0"/>
        <v/>
      </c>
      <c r="H31" s="20" t="str">
        <f t="shared" si="1"/>
        <v/>
      </c>
      <c r="I31" s="20" t="str">
        <f t="shared" si="2"/>
        <v/>
      </c>
    </row>
    <row r="32" spans="2:9" x14ac:dyDescent="0.25">
      <c r="B32" s="26"/>
      <c r="C32" s="21"/>
      <c r="D32" s="22"/>
      <c r="E32" s="28"/>
      <c r="G32" s="1" t="str">
        <f t="shared" si="0"/>
        <v/>
      </c>
      <c r="H32" s="20" t="str">
        <f t="shared" si="1"/>
        <v/>
      </c>
      <c r="I32" s="20" t="str">
        <f t="shared" si="2"/>
        <v/>
      </c>
    </row>
    <row r="33" spans="2:9" x14ac:dyDescent="0.25">
      <c r="B33" s="26"/>
      <c r="C33" s="21"/>
      <c r="D33" s="22"/>
      <c r="E33" s="28"/>
      <c r="G33" s="1" t="str">
        <f t="shared" si="0"/>
        <v/>
      </c>
      <c r="H33" s="20" t="str">
        <f t="shared" si="1"/>
        <v/>
      </c>
      <c r="I33" s="20" t="str">
        <f t="shared" si="2"/>
        <v/>
      </c>
    </row>
    <row r="34" spans="2:9" x14ac:dyDescent="0.25">
      <c r="B34" s="26"/>
      <c r="C34" s="21"/>
      <c r="D34" s="22"/>
      <c r="E34" s="28"/>
      <c r="G34" s="1" t="str">
        <f t="shared" si="0"/>
        <v/>
      </c>
      <c r="H34" s="20" t="str">
        <f t="shared" si="1"/>
        <v/>
      </c>
      <c r="I34" s="20" t="str">
        <f t="shared" si="2"/>
        <v/>
      </c>
    </row>
    <row r="35" spans="2:9" x14ac:dyDescent="0.25">
      <c r="B35" s="26"/>
      <c r="C35" s="21"/>
      <c r="D35" s="22"/>
      <c r="E35" s="28"/>
      <c r="G35" s="1" t="str">
        <f t="shared" si="0"/>
        <v/>
      </c>
      <c r="H35" s="20" t="str">
        <f t="shared" si="1"/>
        <v/>
      </c>
      <c r="I35" s="20" t="str">
        <f t="shared" si="2"/>
        <v/>
      </c>
    </row>
    <row r="36" spans="2:9" x14ac:dyDescent="0.25">
      <c r="B36" s="26"/>
      <c r="C36" s="21"/>
      <c r="D36" s="22"/>
      <c r="E36" s="28"/>
      <c r="G36" s="1" t="str">
        <f t="shared" si="0"/>
        <v/>
      </c>
      <c r="H36" s="20" t="str">
        <f t="shared" si="1"/>
        <v/>
      </c>
      <c r="I36" s="20" t="str">
        <f t="shared" si="2"/>
        <v/>
      </c>
    </row>
    <row r="37" spans="2:9" x14ac:dyDescent="0.25">
      <c r="B37" s="26"/>
      <c r="C37" s="21"/>
      <c r="D37" s="24"/>
      <c r="E37" s="28"/>
      <c r="G37" s="1" t="str">
        <f t="shared" si="0"/>
        <v/>
      </c>
      <c r="H37" s="20" t="str">
        <f t="shared" si="1"/>
        <v/>
      </c>
      <c r="I37" s="20" t="str">
        <f t="shared" si="2"/>
        <v/>
      </c>
    </row>
    <row r="38" spans="2:9" x14ac:dyDescent="0.25">
      <c r="B38" s="26"/>
      <c r="C38" s="21"/>
      <c r="D38" s="22"/>
      <c r="E38" s="28"/>
      <c r="G38" s="1" t="str">
        <f t="shared" si="0"/>
        <v/>
      </c>
      <c r="H38" s="20" t="str">
        <f t="shared" si="1"/>
        <v/>
      </c>
      <c r="I38" s="20" t="str">
        <f t="shared" si="2"/>
        <v/>
      </c>
    </row>
    <row r="39" spans="2:9" x14ac:dyDescent="0.25">
      <c r="B39" s="26"/>
      <c r="C39" s="21"/>
      <c r="D39" s="22"/>
      <c r="E39" s="28"/>
      <c r="G39" s="1" t="str">
        <f t="shared" si="0"/>
        <v/>
      </c>
      <c r="H39" s="20" t="str">
        <f t="shared" si="1"/>
        <v/>
      </c>
      <c r="I39" s="20" t="str">
        <f t="shared" si="2"/>
        <v/>
      </c>
    </row>
    <row r="40" spans="2:9" x14ac:dyDescent="0.25">
      <c r="B40" s="26"/>
      <c r="C40" s="21"/>
      <c r="D40" s="22"/>
      <c r="E40" s="28"/>
      <c r="G40" s="1" t="str">
        <f t="shared" si="0"/>
        <v/>
      </c>
      <c r="H40" s="20" t="str">
        <f t="shared" si="1"/>
        <v/>
      </c>
      <c r="I40" s="20" t="str">
        <f t="shared" si="2"/>
        <v/>
      </c>
    </row>
    <row r="41" spans="2:9" x14ac:dyDescent="0.25">
      <c r="B41" s="26"/>
      <c r="C41" s="21"/>
      <c r="D41" s="22"/>
      <c r="E41" s="28"/>
      <c r="G41" s="1" t="str">
        <f t="shared" si="0"/>
        <v/>
      </c>
      <c r="H41" s="20" t="str">
        <f t="shared" si="1"/>
        <v/>
      </c>
      <c r="I41" s="20" t="str">
        <f t="shared" si="2"/>
        <v/>
      </c>
    </row>
    <row r="42" spans="2:9" x14ac:dyDescent="0.25">
      <c r="B42" s="26"/>
      <c r="C42" s="21"/>
      <c r="D42" s="22"/>
      <c r="E42" s="28"/>
      <c r="G42" s="1" t="str">
        <f t="shared" si="0"/>
        <v/>
      </c>
      <c r="H42" s="20" t="str">
        <f t="shared" si="1"/>
        <v/>
      </c>
      <c r="I42" s="20" t="str">
        <f t="shared" si="2"/>
        <v/>
      </c>
    </row>
    <row r="43" spans="2:9" x14ac:dyDescent="0.25">
      <c r="B43" s="26"/>
      <c r="C43" s="21"/>
      <c r="D43" s="22"/>
      <c r="E43" s="28"/>
      <c r="G43" s="1" t="str">
        <f t="shared" si="0"/>
        <v/>
      </c>
      <c r="H43" s="20" t="str">
        <f t="shared" si="1"/>
        <v/>
      </c>
      <c r="I43" s="20" t="str">
        <f t="shared" si="2"/>
        <v/>
      </c>
    </row>
    <row r="44" spans="2:9" x14ac:dyDescent="0.25">
      <c r="B44" s="26"/>
      <c r="C44" s="21"/>
      <c r="D44" s="22"/>
      <c r="E44" s="28"/>
      <c r="G44" s="1" t="str">
        <f t="shared" si="0"/>
        <v/>
      </c>
      <c r="H44" s="20" t="str">
        <f t="shared" si="1"/>
        <v/>
      </c>
      <c r="I44" s="20" t="str">
        <f t="shared" si="2"/>
        <v/>
      </c>
    </row>
    <row r="45" spans="2:9" x14ac:dyDescent="0.25">
      <c r="B45" s="26"/>
      <c r="C45" s="21"/>
      <c r="D45" s="22"/>
      <c r="E45" s="28"/>
      <c r="G45" s="1" t="str">
        <f t="shared" si="0"/>
        <v/>
      </c>
      <c r="H45" s="20" t="str">
        <f t="shared" si="1"/>
        <v/>
      </c>
      <c r="I45" s="20" t="str">
        <f t="shared" si="2"/>
        <v/>
      </c>
    </row>
    <row r="46" spans="2:9" x14ac:dyDescent="0.25">
      <c r="B46" s="26"/>
      <c r="C46" s="21"/>
      <c r="D46" s="22"/>
      <c r="E46" s="28"/>
      <c r="G46" s="1" t="str">
        <f t="shared" si="0"/>
        <v/>
      </c>
      <c r="H46" s="20" t="str">
        <f t="shared" si="1"/>
        <v/>
      </c>
      <c r="I46" s="20" t="str">
        <f t="shared" si="2"/>
        <v/>
      </c>
    </row>
    <row r="47" spans="2:9" x14ac:dyDescent="0.25">
      <c r="B47" s="30"/>
      <c r="C47" s="30"/>
    </row>
    <row r="48" spans="2:9" x14ac:dyDescent="0.25">
      <c r="B48" s="30"/>
      <c r="C48" s="30"/>
    </row>
  </sheetData>
  <mergeCells count="2">
    <mergeCell ref="B12:E12"/>
    <mergeCell ref="G12:I12"/>
  </mergeCells>
  <phoneticPr fontId="25" type="noConversion"/>
  <conditionalFormatting sqref="B4">
    <cfRule type="cellIs" dxfId="79" priority="8" operator="equal">
      <formula>"M0"</formula>
    </cfRule>
  </conditionalFormatting>
  <conditionalFormatting sqref="B6">
    <cfRule type="cellIs" dxfId="78" priority="6" operator="equal">
      <formula>"M0"</formula>
    </cfRule>
  </conditionalFormatting>
  <conditionalFormatting sqref="C4">
    <cfRule type="cellIs" dxfId="77" priority="4" operator="equal">
      <formula>"M0"</formula>
    </cfRule>
  </conditionalFormatting>
  <conditionalFormatting sqref="C6">
    <cfRule type="cellIs" dxfId="76" priority="2" operator="equal">
      <formula>"M0"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text="ON" id="{5885CF23-7AEA-4235-BC64-1C1EF382FE3B}">
            <xm:f>NOT(ISERROR(SEARCH("ON",SCOOP!B4)))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B4:C4 B6:C6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9"/>
  <dimension ref="A1:P48"/>
  <sheetViews>
    <sheetView showGridLines="0" zoomScale="70" zoomScaleNormal="70" workbookViewId="0">
      <selection activeCell="C18" sqref="C18"/>
    </sheetView>
  </sheetViews>
  <sheetFormatPr baseColWidth="10" defaultRowHeight="15" x14ac:dyDescent="0.25"/>
  <cols>
    <col min="1" max="1" width="10.85546875" customWidth="1"/>
    <col min="2" max="3" width="25.5703125" customWidth="1"/>
    <col min="4" max="5" width="24.5703125" customWidth="1"/>
    <col min="6" max="6" width="6.5703125" customWidth="1"/>
    <col min="7" max="7" width="10.5703125" customWidth="1"/>
    <col min="8" max="8" width="20.5703125" customWidth="1"/>
    <col min="9" max="9" width="26.5703125" customWidth="1"/>
    <col min="10" max="10" width="19.140625" customWidth="1"/>
    <col min="11" max="11" width="17.7109375" customWidth="1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2" t="s">
        <v>0</v>
      </c>
      <c r="C2" s="27">
        <f>PLANNING!C2</f>
        <v>45921</v>
      </c>
      <c r="D2" s="3"/>
      <c r="E2" s="1"/>
      <c r="F2" s="1"/>
      <c r="G2" s="34" t="s">
        <v>27</v>
      </c>
      <c r="H2" s="34" t="s">
        <v>28</v>
      </c>
      <c r="I2" s="34" t="s">
        <v>29</v>
      </c>
      <c r="J2" s="34" t="s">
        <v>49</v>
      </c>
      <c r="K2" s="1"/>
      <c r="L2" s="1"/>
      <c r="M2" s="1"/>
      <c r="N2" s="1"/>
      <c r="O2" s="1"/>
      <c r="P2" s="1"/>
    </row>
    <row r="3" spans="1:16" x14ac:dyDescent="0.25">
      <c r="A3" s="1"/>
      <c r="B3" s="1"/>
      <c r="C3" s="1"/>
      <c r="D3" s="1"/>
      <c r="E3" s="1"/>
      <c r="F3" s="1"/>
      <c r="G3" s="35" t="s">
        <v>6</v>
      </c>
      <c r="H3" s="35" t="s">
        <v>31</v>
      </c>
      <c r="I3" s="35">
        <v>1.1379999999999999</v>
      </c>
      <c r="J3" s="35"/>
      <c r="K3" s="1"/>
      <c r="L3" s="1"/>
      <c r="M3" s="1"/>
      <c r="N3" s="1"/>
      <c r="O3" s="1"/>
      <c r="P3" s="1"/>
    </row>
    <row r="4" spans="1:16" x14ac:dyDescent="0.25">
      <c r="A4" s="1"/>
      <c r="B4" s="2" t="s">
        <v>7</v>
      </c>
      <c r="C4" s="27">
        <f>PLANNING!C4</f>
        <v>45927</v>
      </c>
      <c r="D4" s="2"/>
      <c r="E4" s="1"/>
      <c r="F4" s="1"/>
      <c r="G4" s="35" t="s">
        <v>4</v>
      </c>
      <c r="H4" s="35" t="s">
        <v>56</v>
      </c>
      <c r="I4" s="35">
        <v>10.157999999999999</v>
      </c>
      <c r="J4" s="35"/>
      <c r="K4" s="1"/>
      <c r="L4" s="1"/>
      <c r="M4" s="1"/>
      <c r="N4" s="1"/>
      <c r="O4" s="1"/>
      <c r="P4" s="1"/>
    </row>
    <row r="5" spans="1:16" x14ac:dyDescent="0.25">
      <c r="A5" s="1"/>
      <c r="B5" s="1"/>
      <c r="C5" s="1"/>
      <c r="D5" s="16"/>
      <c r="E5" s="1"/>
      <c r="F5" s="1"/>
      <c r="G5" s="35"/>
      <c r="H5" s="35"/>
      <c r="I5" s="35"/>
      <c r="J5" s="35"/>
      <c r="K5" s="1"/>
      <c r="L5" s="1"/>
      <c r="M5" s="1"/>
      <c r="N5" s="1"/>
      <c r="O5" s="1"/>
      <c r="P5" s="1"/>
    </row>
    <row r="6" spans="1:16" x14ac:dyDescent="0.25">
      <c r="A6" s="1"/>
      <c r="B6" s="2" t="s">
        <v>8</v>
      </c>
      <c r="C6" s="2" t="str">
        <f>TEXT(C4-C2+1,"j"" jours""")</f>
        <v>7 jours</v>
      </c>
      <c r="D6" s="16"/>
      <c r="E6" s="1"/>
      <c r="F6" s="1"/>
      <c r="G6" s="35"/>
      <c r="H6" s="35"/>
      <c r="I6" s="35"/>
      <c r="J6" s="35"/>
      <c r="K6" s="1"/>
      <c r="L6" s="1"/>
      <c r="M6" s="1"/>
      <c r="N6" s="1"/>
      <c r="O6" s="1"/>
      <c r="P6" s="1"/>
    </row>
    <row r="7" spans="1:16" x14ac:dyDescent="0.25">
      <c r="A7" s="1"/>
      <c r="B7" s="1"/>
      <c r="C7" s="1"/>
      <c r="D7" s="1"/>
      <c r="E7" s="1"/>
      <c r="F7" s="1"/>
      <c r="G7" s="35"/>
      <c r="H7" s="35"/>
      <c r="I7" s="35"/>
      <c r="J7" s="35"/>
      <c r="K7" s="1"/>
      <c r="L7" s="1"/>
      <c r="M7" s="1"/>
      <c r="N7" s="1"/>
      <c r="O7" s="1"/>
      <c r="P7" s="1"/>
    </row>
    <row r="8" spans="1:16" x14ac:dyDescent="0.25">
      <c r="A8" s="1"/>
      <c r="B8" s="2" t="s">
        <v>37</v>
      </c>
      <c r="C8" s="2">
        <f>PASSAGES!C8</f>
        <v>14</v>
      </c>
      <c r="D8" s="1"/>
      <c r="E8" s="1"/>
      <c r="F8" s="1"/>
      <c r="G8" s="35"/>
      <c r="H8" s="35"/>
      <c r="I8" s="35"/>
      <c r="J8" s="35"/>
      <c r="K8" s="1"/>
      <c r="L8" s="1"/>
      <c r="M8" s="1"/>
      <c r="N8" s="1"/>
      <c r="O8" s="1"/>
      <c r="P8" s="1"/>
    </row>
    <row r="9" spans="1:1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B10" s="7"/>
      <c r="C10" s="7"/>
    </row>
    <row r="11" spans="1:16" x14ac:dyDescent="0.25">
      <c r="B11" s="7"/>
      <c r="C11" s="7"/>
    </row>
    <row r="12" spans="1:16" x14ac:dyDescent="0.25">
      <c r="B12" s="45" t="s">
        <v>39</v>
      </c>
      <c r="C12" s="45"/>
      <c r="D12" s="45"/>
      <c r="E12" s="45"/>
      <c r="G12" s="46" t="s">
        <v>38</v>
      </c>
      <c r="H12" s="46"/>
      <c r="I12" s="46"/>
    </row>
    <row r="14" spans="1:16" x14ac:dyDescent="0.25">
      <c r="B14" s="25" t="s">
        <v>40</v>
      </c>
      <c r="C14" s="25" t="s">
        <v>22</v>
      </c>
      <c r="D14" s="25" t="s">
        <v>23</v>
      </c>
      <c r="E14" s="25" t="s">
        <v>25</v>
      </c>
      <c r="G14" s="31" t="s">
        <v>40</v>
      </c>
      <c r="H14" s="2" t="s">
        <v>20</v>
      </c>
      <c r="I14" s="2" t="s">
        <v>21</v>
      </c>
    </row>
    <row r="15" spans="1:16" x14ac:dyDescent="0.25">
      <c r="B15" s="26" t="str">
        <f>IF(PASSAGES!B15 &lt;&gt; "", "M1", "")</f>
        <v>M1</v>
      </c>
      <c r="C15" s="21">
        <f>IF(PASSAGES!$C15 &lt;&gt; "", PASSAGES!$C15, "")</f>
        <v>45921</v>
      </c>
      <c r="D15" s="22">
        <f>IF(PASSAGES!$D15 &lt;&gt; "", PASSAGES!$D15 - TIME(0,10,0), "")</f>
        <v>2.777777777777778E-2</v>
      </c>
      <c r="E15" s="28">
        <f>IF(PASSAGES!$E15 &lt;&gt; "", PASSAGES!$E15 + TIME(0,20,0), "")</f>
        <v>2.7777777777777776E-2</v>
      </c>
      <c r="G15" s="1" t="str">
        <f>IF($B15 &lt;&gt; "", $B15, "")</f>
        <v>M1</v>
      </c>
      <c r="H15" s="20">
        <f>IF(AND($C15 &lt;&gt; "", $D15 &lt;&gt; ""), $C15+ $D15, "")</f>
        <v>45921.027777777781</v>
      </c>
      <c r="I15" s="20">
        <f>IF($H15 &lt;&gt; "", $H15 + $E15, "")</f>
        <v>45921.055555555562</v>
      </c>
    </row>
    <row r="16" spans="1:16" x14ac:dyDescent="0.25">
      <c r="B16" s="26" t="str">
        <f>IF(PASSAGES!B16 &lt;&gt; "", "M1", "")</f>
        <v>M1</v>
      </c>
      <c r="C16" s="21">
        <f>IF(PASSAGES!$C16 &lt;&gt; "", PASSAGES!$C16, "")</f>
        <v>45921</v>
      </c>
      <c r="D16" s="22">
        <f>IF(PASSAGES!$D16 &lt;&gt; "", PASSAGES!$D16 - TIME(0,10,0), "")</f>
        <v>0.56944444444444442</v>
      </c>
      <c r="E16" s="28">
        <f>IF(PASSAGES!$E16 &lt;&gt; "", PASSAGES!$E16 + TIME(0,20,0), "")</f>
        <v>2.7777777777777776E-2</v>
      </c>
      <c r="G16" s="1" t="str">
        <f t="shared" ref="G16:G43" si="0">IF($B16 &lt;&gt; "", $B16, "")</f>
        <v>M1</v>
      </c>
      <c r="H16" s="20">
        <f t="shared" ref="H16:H43" si="1">IF(AND($C16 &lt;&gt; "", $D16 &lt;&gt; ""), $C16+ $D16, "")</f>
        <v>45921.569444444445</v>
      </c>
      <c r="I16" s="20">
        <f t="shared" ref="I16:I43" si="2">IF($H16 &lt;&gt; "", $H16 + $E16, "")</f>
        <v>45921.597222222226</v>
      </c>
    </row>
    <row r="17" spans="2:9" x14ac:dyDescent="0.25">
      <c r="B17" s="26" t="str">
        <f>IF(PASSAGES!B17 &lt;&gt; "", "M1", "")</f>
        <v>M1</v>
      </c>
      <c r="C17" s="21">
        <f>IF(PASSAGES!$C17 &lt;&gt; "", PASSAGES!$C17, "")</f>
        <v>45922</v>
      </c>
      <c r="D17" s="22">
        <f>IF(PASSAGES!$D17 &lt;&gt; "", PASSAGES!$D17 - TIME(0,10,0), "")</f>
        <v>2.777777777777778E-2</v>
      </c>
      <c r="E17" s="28">
        <f>IF(PASSAGES!$E17 &lt;&gt; "", PASSAGES!$E17 + TIME(0,20,0), "")</f>
        <v>2.7777777777777776E-2</v>
      </c>
      <c r="G17" s="1" t="str">
        <f t="shared" si="0"/>
        <v>M1</v>
      </c>
      <c r="H17" s="20">
        <f t="shared" si="1"/>
        <v>45922.027777777781</v>
      </c>
      <c r="I17" s="20">
        <f t="shared" si="2"/>
        <v>45922.055555555562</v>
      </c>
    </row>
    <row r="18" spans="2:9" x14ac:dyDescent="0.25">
      <c r="B18" s="26" t="str">
        <f>IF(PASSAGES!B18 &lt;&gt; "", "M1", "")</f>
        <v>M1</v>
      </c>
      <c r="C18" s="21">
        <f>IF(PASSAGES!$C18 &lt;&gt; "", PASSAGES!$C18, "")</f>
        <v>45922</v>
      </c>
      <c r="D18" s="22">
        <f>IF(PASSAGES!$D18 &lt;&gt; "", PASSAGES!$D18 - TIME(0,10,0), "")</f>
        <v>0.56944444444444442</v>
      </c>
      <c r="E18" s="28">
        <f>IF(PASSAGES!$E18 &lt;&gt; "", PASSAGES!$E18 + TIME(0,20,0), "")</f>
        <v>2.7777777777777776E-2</v>
      </c>
      <c r="G18" s="1" t="str">
        <f t="shared" si="0"/>
        <v>M1</v>
      </c>
      <c r="H18" s="20">
        <f t="shared" si="1"/>
        <v>45922.569444444445</v>
      </c>
      <c r="I18" s="20">
        <f t="shared" si="2"/>
        <v>45922.597222222226</v>
      </c>
    </row>
    <row r="19" spans="2:9" x14ac:dyDescent="0.25">
      <c r="B19" s="26" t="str">
        <f>IF(PASSAGES!B19 &lt;&gt; "", "M1", "")</f>
        <v>M1</v>
      </c>
      <c r="C19" s="21">
        <f>IF(PASSAGES!$C19 &lt;&gt; "", PASSAGES!$C19, "")</f>
        <v>45923</v>
      </c>
      <c r="D19" s="22">
        <f>IF(PASSAGES!$D19 &lt;&gt; "", PASSAGES!$D19 - TIME(0,10,0), "")</f>
        <v>2.777777777777778E-2</v>
      </c>
      <c r="E19" s="28">
        <f>IF(PASSAGES!$E19 &lt;&gt; "", PASSAGES!$E19 + TIME(0,20,0), "")</f>
        <v>2.7777777777777776E-2</v>
      </c>
      <c r="G19" s="1" t="str">
        <f t="shared" si="0"/>
        <v>M1</v>
      </c>
      <c r="H19" s="20">
        <f t="shared" si="1"/>
        <v>45923.027777777781</v>
      </c>
      <c r="I19" s="20">
        <f t="shared" si="2"/>
        <v>45923.055555555562</v>
      </c>
    </row>
    <row r="20" spans="2:9" x14ac:dyDescent="0.25">
      <c r="B20" s="26" t="str">
        <f>IF(PASSAGES!B20 &lt;&gt; "", "M1", "")</f>
        <v>M1</v>
      </c>
      <c r="C20" s="21">
        <f>IF(PASSAGES!$C20 &lt;&gt; "", PASSAGES!$C20, "")</f>
        <v>45923</v>
      </c>
      <c r="D20" s="22">
        <f>IF(PASSAGES!$D20 &lt;&gt; "", PASSAGES!$D20 - TIME(0,10,0), "")</f>
        <v>0.56944444444444442</v>
      </c>
      <c r="E20" s="28">
        <f>IF(PASSAGES!$E20 &lt;&gt; "", PASSAGES!$E20 + TIME(0,20,0), "")</f>
        <v>2.7777777777777776E-2</v>
      </c>
      <c r="G20" s="1" t="str">
        <f t="shared" si="0"/>
        <v>M1</v>
      </c>
      <c r="H20" s="20">
        <f t="shared" si="1"/>
        <v>45923.569444444445</v>
      </c>
      <c r="I20" s="20">
        <f t="shared" si="2"/>
        <v>45923.597222222226</v>
      </c>
    </row>
    <row r="21" spans="2:9" x14ac:dyDescent="0.25">
      <c r="B21" s="26" t="str">
        <f>IF(PASSAGES!B21 &lt;&gt; "", "M1", "")</f>
        <v>M1</v>
      </c>
      <c r="C21" s="21">
        <f>IF(PASSAGES!$C21 &lt;&gt; "", PASSAGES!$C21, "")</f>
        <v>45925</v>
      </c>
      <c r="D21" s="22">
        <f>IF(PASSAGES!$D21 &lt;&gt; "", PASSAGES!$D21 - TIME(0,10,0), "")</f>
        <v>2.777777777777778E-2</v>
      </c>
      <c r="E21" s="28">
        <f>IF(PASSAGES!$E21 &lt;&gt; "", PASSAGES!$E21 + TIME(0,20,0), "")</f>
        <v>2.7777777777777776E-2</v>
      </c>
      <c r="G21" s="1" t="str">
        <f t="shared" si="0"/>
        <v>M1</v>
      </c>
      <c r="H21" s="20">
        <f t="shared" si="1"/>
        <v>45925.027777777781</v>
      </c>
      <c r="I21" s="20">
        <f t="shared" si="2"/>
        <v>45925.055555555562</v>
      </c>
    </row>
    <row r="22" spans="2:9" x14ac:dyDescent="0.25">
      <c r="B22" s="26" t="str">
        <f>IF(PASSAGES!B22 &lt;&gt; "", "M1", "")</f>
        <v>M1</v>
      </c>
      <c r="C22" s="21">
        <f>IF(PASSAGES!$C22 &lt;&gt; "", PASSAGES!$C22, "")</f>
        <v>45925</v>
      </c>
      <c r="D22" s="22">
        <f>IF(PASSAGES!$D22 &lt;&gt; "", PASSAGES!$D22 - TIME(0,10,0), "")</f>
        <v>0.28472222222222227</v>
      </c>
      <c r="E22" s="28">
        <f>IF(PASSAGES!$E22 &lt;&gt; "", PASSAGES!$E22 + TIME(0,20,0), "")</f>
        <v>2.7777777777777776E-2</v>
      </c>
      <c r="G22" s="1" t="str">
        <f t="shared" si="0"/>
        <v>M1</v>
      </c>
      <c r="H22" s="20">
        <f t="shared" si="1"/>
        <v>45925.284722222219</v>
      </c>
      <c r="I22" s="20">
        <f t="shared" si="2"/>
        <v>45925.3125</v>
      </c>
    </row>
    <row r="23" spans="2:9" x14ac:dyDescent="0.25">
      <c r="B23" s="26" t="str">
        <f>IF(PASSAGES!B23 &lt;&gt; "", "M1", "")</f>
        <v>M1</v>
      </c>
      <c r="C23" s="21">
        <f>IF(PASSAGES!$C23 &lt;&gt; "", PASSAGES!$C23, "")</f>
        <v>45925</v>
      </c>
      <c r="D23" s="22">
        <f>IF(PASSAGES!$D23 &lt;&gt; "", PASSAGES!$D23 - TIME(0,10,0), "")</f>
        <v>0.56944444444444442</v>
      </c>
      <c r="E23" s="28">
        <f>IF(PASSAGES!$E23 &lt;&gt; "", PASSAGES!$E23 + TIME(0,20,0), "")</f>
        <v>2.7777777777777776E-2</v>
      </c>
      <c r="G23" s="1" t="str">
        <f t="shared" si="0"/>
        <v>M1</v>
      </c>
      <c r="H23" s="20">
        <f t="shared" si="1"/>
        <v>45925.569444444445</v>
      </c>
      <c r="I23" s="20">
        <f t="shared" si="2"/>
        <v>45925.597222222226</v>
      </c>
    </row>
    <row r="24" spans="2:9" x14ac:dyDescent="0.25">
      <c r="B24" s="26" t="str">
        <f>IF(PASSAGES!B24 &lt;&gt; "", "M1", "")</f>
        <v>M1</v>
      </c>
      <c r="C24" s="21">
        <f>IF(PASSAGES!$C24 &lt;&gt; "", PASSAGES!$C24, "")</f>
        <v>45925</v>
      </c>
      <c r="D24" s="22">
        <f>IF(PASSAGES!$D24 &lt;&gt; "", PASSAGES!$D24 - TIME(0,10,0), "")</f>
        <v>0.70138888888888895</v>
      </c>
      <c r="E24" s="28">
        <f>IF(PASSAGES!$E24 &lt;&gt; "", PASSAGES!$E24 + TIME(0,20,0), "")</f>
        <v>2.7777777777777776E-2</v>
      </c>
      <c r="G24" s="1" t="str">
        <f t="shared" si="0"/>
        <v>M1</v>
      </c>
      <c r="H24" s="20">
        <f t="shared" si="1"/>
        <v>45925.701388888891</v>
      </c>
      <c r="I24" s="20">
        <f t="shared" si="2"/>
        <v>45925.729166666672</v>
      </c>
    </row>
    <row r="25" spans="2:9" x14ac:dyDescent="0.25">
      <c r="B25" s="26" t="str">
        <f>IF(PASSAGES!B25 &lt;&gt; "", "M1", "")</f>
        <v>M1</v>
      </c>
      <c r="C25" s="21">
        <f>IF(PASSAGES!$C25 &lt;&gt; "", PASSAGES!$C25, "")</f>
        <v>45926</v>
      </c>
      <c r="D25" s="22">
        <f>IF(PASSAGES!$D25 &lt;&gt; "", PASSAGES!$D25 - TIME(0,10,0), "")</f>
        <v>2.777777777777778E-2</v>
      </c>
      <c r="E25" s="28">
        <f>IF(PASSAGES!$E25 &lt;&gt; "", PASSAGES!$E25 + TIME(0,20,0), "")</f>
        <v>2.7777777777777776E-2</v>
      </c>
      <c r="G25" s="1" t="str">
        <f t="shared" si="0"/>
        <v>M1</v>
      </c>
      <c r="H25" s="20">
        <f t="shared" si="1"/>
        <v>45926.027777777781</v>
      </c>
      <c r="I25" s="20">
        <f t="shared" si="2"/>
        <v>45926.055555555562</v>
      </c>
    </row>
    <row r="26" spans="2:9" x14ac:dyDescent="0.25">
      <c r="B26" s="26" t="str">
        <f>IF(PASSAGES!B26 &lt;&gt; "", "M1", "")</f>
        <v>M1</v>
      </c>
      <c r="C26" s="21">
        <f>IF(PASSAGES!$C26 &lt;&gt; "", PASSAGES!$C26, "")</f>
        <v>45926</v>
      </c>
      <c r="D26" s="22">
        <f>IF(PASSAGES!$D26 &lt;&gt; "", PASSAGES!$D26 - TIME(0,10,0), "")</f>
        <v>0.56944444444444442</v>
      </c>
      <c r="E26" s="28">
        <f>IF(PASSAGES!$E26 &lt;&gt; "", PASSAGES!$E26 + TIME(0,20,0), "")</f>
        <v>2.7777777777777776E-2</v>
      </c>
      <c r="G26" s="1" t="str">
        <f t="shared" si="0"/>
        <v>M1</v>
      </c>
      <c r="H26" s="20">
        <f t="shared" si="1"/>
        <v>45926.569444444445</v>
      </c>
      <c r="I26" s="20">
        <f t="shared" si="2"/>
        <v>45926.597222222226</v>
      </c>
    </row>
    <row r="27" spans="2:9" x14ac:dyDescent="0.25">
      <c r="B27" s="26" t="str">
        <f>IF(PASSAGES!B27 &lt;&gt; "", "M1", "")</f>
        <v>M1</v>
      </c>
      <c r="C27" s="21">
        <f>IF(PASSAGES!$C27 &lt;&gt; "", PASSAGES!$C27, "")</f>
        <v>45927</v>
      </c>
      <c r="D27" s="22">
        <f>IF(PASSAGES!$D27 &lt;&gt; "", PASSAGES!$D27 - TIME(0,10,0), "")</f>
        <v>2.777777777777778E-2</v>
      </c>
      <c r="E27" s="28">
        <f>IF(PASSAGES!$E27 &lt;&gt; "", PASSAGES!$E27 + TIME(0,20,0), "")</f>
        <v>2.7777777777777776E-2</v>
      </c>
      <c r="G27" s="1" t="str">
        <f t="shared" si="0"/>
        <v>M1</v>
      </c>
      <c r="H27" s="20">
        <f t="shared" si="1"/>
        <v>45927.027777777781</v>
      </c>
      <c r="I27" s="20">
        <f t="shared" si="2"/>
        <v>45927.055555555562</v>
      </c>
    </row>
    <row r="28" spans="2:9" x14ac:dyDescent="0.25">
      <c r="B28" s="26" t="str">
        <f>IF(PASSAGES!B28 &lt;&gt; "", "M1", "")</f>
        <v>M1</v>
      </c>
      <c r="C28" s="21">
        <f>IF(PASSAGES!$C28 &lt;&gt; "", PASSAGES!$C28, "")</f>
        <v>45927</v>
      </c>
      <c r="D28" s="22">
        <f>IF(PASSAGES!$D28 &lt;&gt; "", PASSAGES!$D28 - TIME(0,10,0), "")</f>
        <v>0.56944444444444442</v>
      </c>
      <c r="E28" s="28">
        <f>IF(PASSAGES!$E28 &lt;&gt; "", PASSAGES!$E28 + TIME(0,20,0), "")</f>
        <v>2.7777777777777776E-2</v>
      </c>
      <c r="G28" s="1" t="str">
        <f t="shared" si="0"/>
        <v>M1</v>
      </c>
      <c r="H28" s="20">
        <f t="shared" si="1"/>
        <v>45927.569444444445</v>
      </c>
      <c r="I28" s="20">
        <f t="shared" si="2"/>
        <v>45927.597222222226</v>
      </c>
    </row>
    <row r="29" spans="2:9" x14ac:dyDescent="0.25">
      <c r="B29" s="26" t="str">
        <f>IF(PASSAGES!B29 &lt;&gt; "", "M1", "")</f>
        <v/>
      </c>
      <c r="C29" s="21" t="str">
        <f>IF(PASSAGES!$C29 &lt;&gt; "", PASSAGES!$C29, "")</f>
        <v/>
      </c>
      <c r="D29" s="22" t="str">
        <f>IF(PASSAGES!$D29 &lt;&gt; "", PASSAGES!$D29 - TIME(0,10,0), "")</f>
        <v/>
      </c>
      <c r="E29" s="28" t="str">
        <f>IF(PASSAGES!$E29 &lt;&gt; "", PASSAGES!$E29 + TIME(0,20,0), "")</f>
        <v/>
      </c>
      <c r="G29" s="1" t="str">
        <f t="shared" si="0"/>
        <v/>
      </c>
      <c r="H29" s="20" t="str">
        <f t="shared" si="1"/>
        <v/>
      </c>
      <c r="I29" s="20" t="str">
        <f t="shared" si="2"/>
        <v/>
      </c>
    </row>
    <row r="30" spans="2:9" x14ac:dyDescent="0.25">
      <c r="B30" s="26" t="str">
        <f>IF(PASSAGES!B30 &lt;&gt; "", "M1", "")</f>
        <v/>
      </c>
      <c r="C30" s="21" t="str">
        <f>IF(PASSAGES!$C30 &lt;&gt; "", PASSAGES!$C30, "")</f>
        <v/>
      </c>
      <c r="D30" s="22" t="str">
        <f>IF(PASSAGES!$D30 &lt;&gt; "", PASSAGES!$D30 - TIME(0,10,0), "")</f>
        <v/>
      </c>
      <c r="E30" s="28" t="str">
        <f>IF(PASSAGES!$E30 &lt;&gt; "", PASSAGES!$E30 + TIME(0,20,0), "")</f>
        <v/>
      </c>
      <c r="G30" s="1" t="str">
        <f t="shared" si="0"/>
        <v/>
      </c>
      <c r="H30" s="20" t="str">
        <f t="shared" si="1"/>
        <v/>
      </c>
      <c r="I30" s="20" t="str">
        <f t="shared" si="2"/>
        <v/>
      </c>
    </row>
    <row r="31" spans="2:9" x14ac:dyDescent="0.25">
      <c r="B31" s="26" t="str">
        <f>IF(PASSAGES!B31 &lt;&gt; "", "M1", "")</f>
        <v/>
      </c>
      <c r="C31" s="21" t="str">
        <f>IF(PASSAGES!$C31 &lt;&gt; "", PASSAGES!$C31, "")</f>
        <v/>
      </c>
      <c r="D31" s="22" t="str">
        <f>IF(PASSAGES!$D31 &lt;&gt; "", PASSAGES!$D31 - TIME(0,10,0), "")</f>
        <v/>
      </c>
      <c r="E31" s="28" t="str">
        <f>IF(PASSAGES!$E31 &lt;&gt; "", PASSAGES!$E31 + TIME(0,20,0), "")</f>
        <v/>
      </c>
      <c r="G31" s="1" t="str">
        <f t="shared" si="0"/>
        <v/>
      </c>
      <c r="H31" s="20" t="str">
        <f t="shared" si="1"/>
        <v/>
      </c>
      <c r="I31" s="20" t="str">
        <f t="shared" si="2"/>
        <v/>
      </c>
    </row>
    <row r="32" spans="2:9" x14ac:dyDescent="0.25">
      <c r="B32" s="26" t="str">
        <f>IF(PASSAGES!B32 &lt;&gt; "", "M1", "")</f>
        <v/>
      </c>
      <c r="C32" s="21" t="str">
        <f>IF(PASSAGES!$C32 &lt;&gt; "", PASSAGES!$C32, "")</f>
        <v/>
      </c>
      <c r="D32" s="22" t="str">
        <f>IF(PASSAGES!$D32 &lt;&gt; "", PASSAGES!$D32 - TIME(0,10,0), "")</f>
        <v/>
      </c>
      <c r="E32" s="28" t="str">
        <f>IF(PASSAGES!$E32 &lt;&gt; "", PASSAGES!$E32 + TIME(0,20,0), "")</f>
        <v/>
      </c>
      <c r="G32" s="1" t="str">
        <f t="shared" si="0"/>
        <v/>
      </c>
      <c r="H32" s="20" t="str">
        <f t="shared" si="1"/>
        <v/>
      </c>
      <c r="I32" s="20" t="str">
        <f t="shared" si="2"/>
        <v/>
      </c>
    </row>
    <row r="33" spans="2:9" x14ac:dyDescent="0.25">
      <c r="B33" s="26" t="str">
        <f>IF(PASSAGES!B33 &lt;&gt; "", "M1", "")</f>
        <v/>
      </c>
      <c r="C33" s="21" t="str">
        <f>IF(PASSAGES!$C33 &lt;&gt; "", PASSAGES!$C33, "")</f>
        <v/>
      </c>
      <c r="D33" s="22" t="str">
        <f>IF(PASSAGES!$D33 &lt;&gt; "", PASSAGES!$D33 - TIME(0,10,0), "")</f>
        <v/>
      </c>
      <c r="E33" s="28" t="str">
        <f>IF(PASSAGES!$E33 &lt;&gt; "", PASSAGES!$E33 + TIME(0,20,0), "")</f>
        <v/>
      </c>
      <c r="G33" s="1" t="str">
        <f t="shared" si="0"/>
        <v/>
      </c>
      <c r="H33" s="20" t="str">
        <f t="shared" si="1"/>
        <v/>
      </c>
      <c r="I33" s="20" t="str">
        <f t="shared" si="2"/>
        <v/>
      </c>
    </row>
    <row r="34" spans="2:9" x14ac:dyDescent="0.25">
      <c r="B34" s="26" t="str">
        <f>IF(PASSAGES!B34 &lt;&gt; "", "M1", "")</f>
        <v/>
      </c>
      <c r="C34" s="21" t="str">
        <f>IF(PASSAGES!$C34 &lt;&gt; "", PASSAGES!$C34, "")</f>
        <v/>
      </c>
      <c r="D34" s="22" t="str">
        <f>IF(PASSAGES!$D34 &lt;&gt; "", PASSAGES!$D34 - TIME(0,10,0), "")</f>
        <v/>
      </c>
      <c r="E34" s="28" t="str">
        <f>IF(PASSAGES!$E34 &lt;&gt; "", PASSAGES!$E34 + TIME(0,20,0), "")</f>
        <v/>
      </c>
      <c r="G34" s="1" t="str">
        <f t="shared" si="0"/>
        <v/>
      </c>
      <c r="H34" s="20" t="str">
        <f t="shared" si="1"/>
        <v/>
      </c>
      <c r="I34" s="20" t="str">
        <f t="shared" si="2"/>
        <v/>
      </c>
    </row>
    <row r="35" spans="2:9" x14ac:dyDescent="0.25">
      <c r="B35" s="26" t="str">
        <f>IF(PASSAGES!B35 &lt;&gt; "", "M1", "")</f>
        <v/>
      </c>
      <c r="C35" s="21" t="str">
        <f>IF(PASSAGES!$C35 &lt;&gt; "", PASSAGES!$C35, "")</f>
        <v/>
      </c>
      <c r="D35" s="22" t="str">
        <f>IF(PASSAGES!$D35 &lt;&gt; "", PASSAGES!$D35 - TIME(0,10,0), "")</f>
        <v/>
      </c>
      <c r="E35" s="28" t="str">
        <f>IF(PASSAGES!$E35 &lt;&gt; "", PASSAGES!$E35 + TIME(0,20,0), "")</f>
        <v/>
      </c>
      <c r="G35" s="1" t="str">
        <f t="shared" si="0"/>
        <v/>
      </c>
      <c r="H35" s="20" t="str">
        <f t="shared" si="1"/>
        <v/>
      </c>
      <c r="I35" s="20" t="str">
        <f t="shared" si="2"/>
        <v/>
      </c>
    </row>
    <row r="36" spans="2:9" x14ac:dyDescent="0.25">
      <c r="B36" s="26" t="str">
        <f>IF(PASSAGES!B36 &lt;&gt; "", "M1", "")</f>
        <v/>
      </c>
      <c r="C36" s="21" t="str">
        <f>IF(PASSAGES!$C36 &lt;&gt; "", PASSAGES!$C36, "")</f>
        <v/>
      </c>
      <c r="D36" s="22" t="str">
        <f>IF(PASSAGES!$D36 &lt;&gt; "", PASSAGES!$D36 - TIME(0,10,0), "")</f>
        <v/>
      </c>
      <c r="E36" s="28" t="str">
        <f>IF(PASSAGES!$E36 &lt;&gt; "", PASSAGES!$E36 + TIME(0,20,0), "")</f>
        <v/>
      </c>
      <c r="G36" s="1" t="str">
        <f t="shared" si="0"/>
        <v/>
      </c>
      <c r="H36" s="20" t="str">
        <f t="shared" si="1"/>
        <v/>
      </c>
      <c r="I36" s="20" t="str">
        <f t="shared" si="2"/>
        <v/>
      </c>
    </row>
    <row r="37" spans="2:9" x14ac:dyDescent="0.25">
      <c r="B37" s="26" t="str">
        <f>IF(PASSAGES!B37 &lt;&gt; "", "M1", "")</f>
        <v/>
      </c>
      <c r="C37" s="21" t="str">
        <f>IF(PASSAGES!$C37 &lt;&gt; "", PASSAGES!$C37, "")</f>
        <v/>
      </c>
      <c r="D37" s="22" t="str">
        <f>IF(PASSAGES!$D37 &lt;&gt; "", PASSAGES!$D37 - TIME(0,10,0), "")</f>
        <v/>
      </c>
      <c r="E37" s="28" t="str">
        <f>IF(PASSAGES!$E37 &lt;&gt; "", PASSAGES!$E37 + TIME(0,20,0), "")</f>
        <v/>
      </c>
      <c r="G37" s="1" t="str">
        <f t="shared" si="0"/>
        <v/>
      </c>
      <c r="H37" s="20" t="str">
        <f t="shared" si="1"/>
        <v/>
      </c>
      <c r="I37" s="20" t="str">
        <f t="shared" si="2"/>
        <v/>
      </c>
    </row>
    <row r="38" spans="2:9" x14ac:dyDescent="0.25">
      <c r="B38" s="26" t="str">
        <f>IF(PASSAGES!B38 &lt;&gt; "", "M1", "")</f>
        <v/>
      </c>
      <c r="C38" s="21" t="str">
        <f>IF(PASSAGES!$C38 &lt;&gt; "", PASSAGES!$C38, "")</f>
        <v/>
      </c>
      <c r="D38" s="22" t="str">
        <f>IF(PASSAGES!$D38 &lt;&gt; "", PASSAGES!$D38 - TIME(0,10,0), "")</f>
        <v/>
      </c>
      <c r="E38" s="28" t="str">
        <f>IF(PASSAGES!$E38 &lt;&gt; "", PASSAGES!$E38 + TIME(0,20,0), "")</f>
        <v/>
      </c>
      <c r="G38" s="1" t="str">
        <f t="shared" si="0"/>
        <v/>
      </c>
      <c r="H38" s="20" t="str">
        <f t="shared" si="1"/>
        <v/>
      </c>
      <c r="I38" s="20" t="str">
        <f t="shared" si="2"/>
        <v/>
      </c>
    </row>
    <row r="39" spans="2:9" x14ac:dyDescent="0.25">
      <c r="B39" s="26" t="str">
        <f>IF(PASSAGES!B39 &lt;&gt; "", "M1", "")</f>
        <v/>
      </c>
      <c r="C39" s="21" t="str">
        <f>IF(PASSAGES!$C39 &lt;&gt; "", PASSAGES!$C39, "")</f>
        <v/>
      </c>
      <c r="D39" s="22" t="str">
        <f>IF(PASSAGES!$D39 &lt;&gt; "", PASSAGES!$D39 - TIME(0,10,0), "")</f>
        <v/>
      </c>
      <c r="E39" s="28" t="str">
        <f>IF(PASSAGES!$E39 &lt;&gt; "", PASSAGES!$E39 + TIME(0,20,0), "")</f>
        <v/>
      </c>
      <c r="G39" s="1" t="str">
        <f t="shared" si="0"/>
        <v/>
      </c>
      <c r="H39" s="20" t="str">
        <f t="shared" si="1"/>
        <v/>
      </c>
      <c r="I39" s="20" t="str">
        <f t="shared" si="2"/>
        <v/>
      </c>
    </row>
    <row r="40" spans="2:9" x14ac:dyDescent="0.25">
      <c r="B40" s="26" t="str">
        <f>IF(PASSAGES!B40 &lt;&gt; "", "M1", "")</f>
        <v/>
      </c>
      <c r="C40" s="21" t="str">
        <f>IF(PASSAGES!$C40 &lt;&gt; "", PASSAGES!$C40, "")</f>
        <v/>
      </c>
      <c r="D40" s="22" t="str">
        <f>IF(PASSAGES!$D40 &lt;&gt; "", PASSAGES!$D40 - TIME(0,10,0), "")</f>
        <v/>
      </c>
      <c r="E40" s="28" t="str">
        <f>IF(PASSAGES!$E40 &lt;&gt; "", PASSAGES!$E40 + TIME(0,20,0), "")</f>
        <v/>
      </c>
      <c r="G40" s="1" t="str">
        <f t="shared" si="0"/>
        <v/>
      </c>
      <c r="H40" s="20" t="str">
        <f t="shared" si="1"/>
        <v/>
      </c>
      <c r="I40" s="20" t="str">
        <f t="shared" si="2"/>
        <v/>
      </c>
    </row>
    <row r="41" spans="2:9" x14ac:dyDescent="0.25">
      <c r="B41" s="26" t="str">
        <f>IF(PASSAGES!B41 &lt;&gt; "", "M1", "")</f>
        <v/>
      </c>
      <c r="C41" s="21" t="str">
        <f>IF(PASSAGES!$C41 &lt;&gt; "", PASSAGES!$C41, "")</f>
        <v/>
      </c>
      <c r="D41" s="22" t="str">
        <f>IF(PASSAGES!$D41 &lt;&gt; "", PASSAGES!$D41 - TIME(0,10,0), "")</f>
        <v/>
      </c>
      <c r="E41" s="28" t="str">
        <f>IF(PASSAGES!$E41 &lt;&gt; "", PASSAGES!$E41 + TIME(0,20,0), "")</f>
        <v/>
      </c>
      <c r="G41" s="1" t="str">
        <f t="shared" si="0"/>
        <v/>
      </c>
      <c r="H41" s="20" t="str">
        <f t="shared" si="1"/>
        <v/>
      </c>
      <c r="I41" s="20" t="str">
        <f t="shared" si="2"/>
        <v/>
      </c>
    </row>
    <row r="42" spans="2:9" x14ac:dyDescent="0.25">
      <c r="B42" s="26" t="str">
        <f>IF(PASSAGES!B42 &lt;&gt; "", "M1", "")</f>
        <v/>
      </c>
      <c r="C42" s="21" t="str">
        <f>IF(PASSAGES!$C42 &lt;&gt; "", PASSAGES!$C42, "")</f>
        <v/>
      </c>
      <c r="D42" s="22" t="str">
        <f>IF(PASSAGES!$D42 &lt;&gt; "", PASSAGES!$D42 - TIME(0,10,0), "")</f>
        <v/>
      </c>
      <c r="E42" s="28" t="str">
        <f>IF(PASSAGES!$E42 &lt;&gt; "", PASSAGES!$E42 + TIME(0,20,0), "")</f>
        <v/>
      </c>
      <c r="G42" s="1" t="str">
        <f t="shared" si="0"/>
        <v/>
      </c>
      <c r="H42" s="20" t="str">
        <f t="shared" si="1"/>
        <v/>
      </c>
      <c r="I42" s="20" t="str">
        <f t="shared" si="2"/>
        <v/>
      </c>
    </row>
    <row r="43" spans="2:9" x14ac:dyDescent="0.25">
      <c r="B43" s="26" t="str">
        <f>IF(PASSAGES!B43 &lt;&gt; "", "M1", "")</f>
        <v/>
      </c>
      <c r="C43" s="21" t="str">
        <f>IF(PASSAGES!$C43 &lt;&gt; "", PASSAGES!$C43, "")</f>
        <v/>
      </c>
      <c r="D43" s="22" t="str">
        <f>IF(PASSAGES!$D43 &lt;&gt; "", PASSAGES!$D43 - TIME(0,10,0), "")</f>
        <v/>
      </c>
      <c r="E43" s="28" t="str">
        <f>IF(PASSAGES!$E43 &lt;&gt; "", PASSAGES!$E43 + TIME(0,20,0), "")</f>
        <v/>
      </c>
      <c r="G43" s="1" t="str">
        <f t="shared" si="0"/>
        <v/>
      </c>
      <c r="H43" s="20" t="str">
        <f t="shared" si="1"/>
        <v/>
      </c>
      <c r="I43" s="20" t="str">
        <f t="shared" si="2"/>
        <v/>
      </c>
    </row>
    <row r="44" spans="2:9" x14ac:dyDescent="0.25">
      <c r="B44" s="30"/>
      <c r="C44" s="30"/>
    </row>
    <row r="45" spans="2:9" x14ac:dyDescent="0.25">
      <c r="B45" s="30"/>
      <c r="C45" s="30"/>
    </row>
    <row r="46" spans="2:9" x14ac:dyDescent="0.25">
      <c r="B46" s="30"/>
      <c r="C46" s="30"/>
    </row>
    <row r="47" spans="2:9" x14ac:dyDescent="0.25">
      <c r="B47" s="30"/>
      <c r="C47" s="30"/>
    </row>
    <row r="48" spans="2:9" x14ac:dyDescent="0.25">
      <c r="B48" s="30"/>
      <c r="C48" s="30"/>
    </row>
  </sheetData>
  <mergeCells count="2">
    <mergeCell ref="B12:E12"/>
    <mergeCell ref="G12:I12"/>
  </mergeCells>
  <conditionalFormatting sqref="B4">
    <cfRule type="cellIs" dxfId="74" priority="5" operator="equal">
      <formula>"M0"</formula>
    </cfRule>
  </conditionalFormatting>
  <conditionalFormatting sqref="B6">
    <cfRule type="cellIs" dxfId="73" priority="3" operator="equal">
      <formula>"M0"</formula>
    </cfRule>
  </conditionalFormatting>
  <conditionalFormatting sqref="C4">
    <cfRule type="cellIs" dxfId="72" priority="2" operator="equal">
      <formula>"M0"</formula>
    </cfRule>
  </conditionalFormatting>
  <conditionalFormatting sqref="C6">
    <cfRule type="cellIs" dxfId="71" priority="1" operator="equal">
      <formula>"M0"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text="ON" id="{292DE468-66B0-4451-8901-0003EABC9C06}">
            <xm:f>NOT(ISERROR(SEARCH("ON",SCOOP!B4)))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B4:C4 B6:C6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P52"/>
  <sheetViews>
    <sheetView showGridLines="0" zoomScale="85" zoomScaleNormal="85" workbookViewId="0">
      <selection activeCell="D27" sqref="D27"/>
    </sheetView>
  </sheetViews>
  <sheetFormatPr baseColWidth="10" defaultRowHeight="15" x14ac:dyDescent="0.25"/>
  <cols>
    <col min="1" max="1" width="10.85546875" customWidth="1"/>
    <col min="2" max="3" width="25.5703125" customWidth="1"/>
    <col min="4" max="5" width="24.5703125" customWidth="1"/>
    <col min="6" max="6" width="6.5703125" customWidth="1"/>
    <col min="7" max="7" width="10.5703125" customWidth="1"/>
    <col min="8" max="8" width="20.5703125" customWidth="1"/>
    <col min="9" max="9" width="26.5703125" customWidth="1"/>
    <col min="10" max="10" width="19.140625" customWidth="1"/>
    <col min="11" max="11" width="17.7109375" customWidth="1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.45" customHeight="1" x14ac:dyDescent="0.25">
      <c r="A2" s="1"/>
      <c r="B2" s="2" t="s">
        <v>0</v>
      </c>
      <c r="C2" s="27">
        <f>PLANNING!C2</f>
        <v>45921</v>
      </c>
      <c r="D2" s="3"/>
      <c r="E2" s="1"/>
      <c r="F2" s="1"/>
      <c r="G2" s="34" t="s">
        <v>27</v>
      </c>
      <c r="H2" s="34" t="s">
        <v>28</v>
      </c>
      <c r="I2" s="34" t="s">
        <v>29</v>
      </c>
      <c r="J2" s="34" t="s">
        <v>65</v>
      </c>
      <c r="K2" s="1"/>
      <c r="L2" s="1"/>
      <c r="M2" s="1"/>
      <c r="N2" s="1"/>
      <c r="O2" s="1"/>
      <c r="P2" s="1"/>
    </row>
    <row r="3" spans="1:16" x14ac:dyDescent="0.25">
      <c r="A3" s="1"/>
      <c r="B3" s="1"/>
      <c r="C3" s="1"/>
      <c r="D3" s="1"/>
      <c r="E3" s="1"/>
      <c r="F3" s="1"/>
      <c r="G3" s="35" t="s">
        <v>6</v>
      </c>
      <c r="H3" s="35" t="s">
        <v>31</v>
      </c>
      <c r="I3" s="35">
        <v>0</v>
      </c>
      <c r="J3" s="35">
        <v>0</v>
      </c>
      <c r="K3" s="1"/>
      <c r="L3" s="1"/>
      <c r="M3" s="1"/>
      <c r="N3" s="1"/>
      <c r="O3" s="1"/>
      <c r="P3" s="1"/>
    </row>
    <row r="4" spans="1:16" x14ac:dyDescent="0.25">
      <c r="A4" s="1"/>
      <c r="B4" s="2" t="s">
        <v>7</v>
      </c>
      <c r="C4" s="27">
        <f>PLANNING!C4</f>
        <v>45927</v>
      </c>
      <c r="D4" s="2"/>
      <c r="E4" s="1"/>
      <c r="F4" s="1"/>
      <c r="G4" s="35" t="s">
        <v>4</v>
      </c>
      <c r="H4" s="35" t="s">
        <v>32</v>
      </c>
      <c r="I4" s="35"/>
      <c r="J4" s="35"/>
      <c r="K4" s="1"/>
      <c r="L4" s="1"/>
      <c r="M4" s="1"/>
      <c r="N4" s="1"/>
      <c r="O4" s="1"/>
      <c r="P4" s="1"/>
    </row>
    <row r="5" spans="1:16" x14ac:dyDescent="0.25">
      <c r="A5" s="1"/>
      <c r="B5" s="1"/>
      <c r="C5" s="1"/>
      <c r="D5" s="16"/>
      <c r="E5" s="1"/>
      <c r="F5" s="1"/>
      <c r="G5" s="35" t="s">
        <v>12</v>
      </c>
      <c r="H5" s="35" t="s">
        <v>33</v>
      </c>
      <c r="I5" s="35">
        <v>0.1</v>
      </c>
      <c r="J5" s="35"/>
      <c r="K5" s="1"/>
      <c r="L5" s="1"/>
      <c r="M5" s="1"/>
      <c r="N5" s="1"/>
      <c r="O5" s="1"/>
      <c r="P5" s="1"/>
    </row>
    <row r="6" spans="1:16" x14ac:dyDescent="0.25">
      <c r="A6" s="1"/>
      <c r="B6" s="2" t="s">
        <v>8</v>
      </c>
      <c r="C6" s="2" t="str">
        <f>TEXT(C4-C2+1,"j"" jours""")</f>
        <v>7 jours</v>
      </c>
      <c r="D6" s="16"/>
      <c r="E6" s="1"/>
      <c r="F6" s="1"/>
      <c r="G6" s="35" t="s">
        <v>13</v>
      </c>
      <c r="H6" s="35" t="s">
        <v>34</v>
      </c>
      <c r="I6" s="35">
        <v>10</v>
      </c>
      <c r="J6" s="35"/>
      <c r="K6" s="1"/>
      <c r="L6" s="1"/>
      <c r="M6" s="1"/>
      <c r="N6" s="1"/>
      <c r="O6" s="1"/>
      <c r="P6" s="1"/>
    </row>
    <row r="7" spans="1:16" x14ac:dyDescent="0.25">
      <c r="A7" s="1"/>
      <c r="B7" s="1"/>
      <c r="C7" s="1"/>
      <c r="D7" s="1"/>
      <c r="E7" s="1"/>
      <c r="F7" s="1"/>
      <c r="G7" s="35" t="s">
        <v>14</v>
      </c>
      <c r="H7" s="35" t="s">
        <v>35</v>
      </c>
      <c r="I7" s="35">
        <v>1.2</v>
      </c>
      <c r="J7" s="35"/>
      <c r="K7" s="1"/>
      <c r="L7" s="1"/>
      <c r="M7" s="1"/>
      <c r="N7" s="1"/>
      <c r="O7" s="1"/>
      <c r="P7" s="1"/>
    </row>
    <row r="8" spans="1:16" x14ac:dyDescent="0.25">
      <c r="A8" s="1"/>
      <c r="B8" s="2" t="s">
        <v>37</v>
      </c>
      <c r="C8" s="2">
        <f>COUNTA(B15:B43)</f>
        <v>4</v>
      </c>
      <c r="D8" s="1"/>
      <c r="E8" s="1"/>
      <c r="F8" s="1"/>
      <c r="G8" s="35" t="s">
        <v>15</v>
      </c>
      <c r="H8" s="35" t="s">
        <v>36</v>
      </c>
      <c r="I8" s="35">
        <v>0.3</v>
      </c>
      <c r="J8" s="35"/>
      <c r="K8" s="1"/>
      <c r="L8" s="1"/>
      <c r="M8" s="1"/>
      <c r="N8" s="1"/>
      <c r="O8" s="1"/>
      <c r="P8" s="1"/>
    </row>
    <row r="9" spans="1:1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B10" s="7"/>
      <c r="C10" s="7"/>
    </row>
    <row r="11" spans="1:16" x14ac:dyDescent="0.25">
      <c r="B11" s="7"/>
      <c r="C11" s="7"/>
    </row>
    <row r="12" spans="1:16" x14ac:dyDescent="0.25">
      <c r="B12" s="45" t="s">
        <v>39</v>
      </c>
      <c r="C12" s="45"/>
      <c r="D12" s="45"/>
      <c r="E12" s="45"/>
      <c r="G12" s="46" t="s">
        <v>38</v>
      </c>
      <c r="H12" s="46"/>
      <c r="I12" s="46"/>
    </row>
    <row r="14" spans="1:16" x14ac:dyDescent="0.25">
      <c r="B14" s="25" t="s">
        <v>40</v>
      </c>
      <c r="C14" s="25" t="s">
        <v>22</v>
      </c>
      <c r="D14" s="25" t="s">
        <v>23</v>
      </c>
      <c r="E14" s="25" t="s">
        <v>25</v>
      </c>
      <c r="G14" s="31" t="s">
        <v>40</v>
      </c>
      <c r="H14" s="2" t="s">
        <v>20</v>
      </c>
      <c r="I14" s="2" t="s">
        <v>21</v>
      </c>
    </row>
    <row r="15" spans="1:16" x14ac:dyDescent="0.25">
      <c r="B15" s="26" t="s">
        <v>12</v>
      </c>
      <c r="C15" s="21">
        <v>45921</v>
      </c>
      <c r="D15" s="22">
        <v>0</v>
      </c>
      <c r="E15" s="28">
        <v>4.1666666666666664E-2</v>
      </c>
      <c r="G15" s="1" t="str">
        <f>IF($B15 &lt;&gt; "", $B15, "")</f>
        <v>M2</v>
      </c>
      <c r="H15" s="20">
        <f>IF(AND($C15 &lt;&gt; "", $D15 &lt;&gt; ""), $C15+ $D15, "")</f>
        <v>45921</v>
      </c>
      <c r="I15" s="20">
        <f>IF($H15 &lt;&gt; "", $H15 + $E15, "")</f>
        <v>45921.041666666664</v>
      </c>
    </row>
    <row r="16" spans="1:16" x14ac:dyDescent="0.25">
      <c r="B16" s="26" t="s">
        <v>13</v>
      </c>
      <c r="C16" s="21">
        <v>45921</v>
      </c>
      <c r="D16" s="22">
        <v>4.1666666666666664E-2</v>
      </c>
      <c r="E16" s="28">
        <v>7.6388888888888895E-2</v>
      </c>
      <c r="G16" s="1" t="str">
        <f t="shared" ref="G16:G43" si="0">IF($B16 &lt;&gt; "", $B16, "")</f>
        <v>M3</v>
      </c>
      <c r="H16" s="20">
        <f t="shared" ref="H16:H43" si="1">IF(AND($C16 &lt;&gt; "", $D16 &lt;&gt; ""), $C16+ $D16, "")</f>
        <v>45921.041666666664</v>
      </c>
      <c r="I16" s="20">
        <f t="shared" ref="I16:I43" si="2">IF($H16 &lt;&gt; "", $H16 + $E16, "")</f>
        <v>45921.118055555555</v>
      </c>
    </row>
    <row r="17" spans="2:9" x14ac:dyDescent="0.25">
      <c r="B17" s="26" t="s">
        <v>14</v>
      </c>
      <c r="C17" s="21">
        <v>45921</v>
      </c>
      <c r="D17" s="22">
        <v>0.11805555555555555</v>
      </c>
      <c r="E17" s="28">
        <v>4.1666666666666664E-2</v>
      </c>
      <c r="G17" s="1" t="str">
        <f t="shared" si="0"/>
        <v>M4</v>
      </c>
      <c r="H17" s="20">
        <f t="shared" si="1"/>
        <v>45921.118055555555</v>
      </c>
      <c r="I17" s="20">
        <f t="shared" si="2"/>
        <v>45921.159722222219</v>
      </c>
    </row>
    <row r="18" spans="2:9" x14ac:dyDescent="0.25">
      <c r="B18" s="26" t="s">
        <v>15</v>
      </c>
      <c r="C18" s="21">
        <v>45921</v>
      </c>
      <c r="D18" s="22">
        <v>0.15972222222222221</v>
      </c>
      <c r="E18" s="28">
        <v>0.84027777777777779</v>
      </c>
      <c r="G18" s="1" t="str">
        <f t="shared" si="0"/>
        <v>M5</v>
      </c>
      <c r="H18" s="20">
        <f t="shared" si="1"/>
        <v>45921.159722222219</v>
      </c>
      <c r="I18" s="20">
        <f t="shared" si="2"/>
        <v>45922</v>
      </c>
    </row>
    <row r="19" spans="2:9" x14ac:dyDescent="0.25">
      <c r="B19" s="26"/>
      <c r="C19" s="21"/>
      <c r="D19" s="22"/>
      <c r="E19" s="28"/>
      <c r="G19" s="1" t="str">
        <f t="shared" si="0"/>
        <v/>
      </c>
      <c r="H19" s="20" t="str">
        <f t="shared" si="1"/>
        <v/>
      </c>
      <c r="I19" s="20" t="str">
        <f t="shared" si="2"/>
        <v/>
      </c>
    </row>
    <row r="20" spans="2:9" x14ac:dyDescent="0.25">
      <c r="B20" s="26"/>
      <c r="C20" s="21"/>
      <c r="D20" s="22"/>
      <c r="E20" s="28"/>
      <c r="G20" s="1" t="str">
        <f t="shared" si="0"/>
        <v/>
      </c>
      <c r="H20" s="20" t="str">
        <f t="shared" si="1"/>
        <v/>
      </c>
      <c r="I20" s="20" t="str">
        <f t="shared" si="2"/>
        <v/>
      </c>
    </row>
    <row r="21" spans="2:9" x14ac:dyDescent="0.25">
      <c r="B21" s="26"/>
      <c r="C21" s="21"/>
      <c r="D21" s="24"/>
      <c r="E21" s="28"/>
      <c r="G21" s="1" t="str">
        <f t="shared" si="0"/>
        <v/>
      </c>
      <c r="H21" s="20" t="str">
        <f t="shared" si="1"/>
        <v/>
      </c>
      <c r="I21" s="20" t="str">
        <f t="shared" si="2"/>
        <v/>
      </c>
    </row>
    <row r="22" spans="2:9" x14ac:dyDescent="0.25">
      <c r="B22" s="26"/>
      <c r="C22" s="21"/>
      <c r="D22" s="22"/>
      <c r="E22" s="28"/>
      <c r="G22" s="1" t="str">
        <f t="shared" si="0"/>
        <v/>
      </c>
      <c r="H22" s="20" t="str">
        <f t="shared" si="1"/>
        <v/>
      </c>
      <c r="I22" s="20" t="str">
        <f t="shared" si="2"/>
        <v/>
      </c>
    </row>
    <row r="23" spans="2:9" x14ac:dyDescent="0.25">
      <c r="B23" s="26"/>
      <c r="C23" s="21"/>
      <c r="D23" s="22"/>
      <c r="E23" s="28"/>
      <c r="G23" s="1" t="str">
        <f t="shared" si="0"/>
        <v/>
      </c>
      <c r="H23" s="20" t="str">
        <f t="shared" si="1"/>
        <v/>
      </c>
      <c r="I23" s="20" t="str">
        <f t="shared" si="2"/>
        <v/>
      </c>
    </row>
    <row r="24" spans="2:9" x14ac:dyDescent="0.25">
      <c r="B24" s="26"/>
      <c r="C24" s="21"/>
      <c r="D24" s="22"/>
      <c r="E24" s="28"/>
      <c r="G24" s="1" t="str">
        <f t="shared" si="0"/>
        <v/>
      </c>
      <c r="H24" s="20" t="str">
        <f t="shared" si="1"/>
        <v/>
      </c>
      <c r="I24" s="20" t="str">
        <f t="shared" si="2"/>
        <v/>
      </c>
    </row>
    <row r="25" spans="2:9" x14ac:dyDescent="0.25">
      <c r="B25" s="26"/>
      <c r="C25" s="21"/>
      <c r="D25" s="22"/>
      <c r="E25" s="28"/>
      <c r="G25" s="1" t="str">
        <f t="shared" si="0"/>
        <v/>
      </c>
      <c r="H25" s="20" t="str">
        <f t="shared" si="1"/>
        <v/>
      </c>
      <c r="I25" s="20" t="str">
        <f t="shared" si="2"/>
        <v/>
      </c>
    </row>
    <row r="26" spans="2:9" x14ac:dyDescent="0.25">
      <c r="B26" s="26"/>
      <c r="C26" s="21"/>
      <c r="D26" s="22"/>
      <c r="E26" s="28"/>
      <c r="G26" s="1" t="str">
        <f t="shared" si="0"/>
        <v/>
      </c>
      <c r="H26" s="20" t="str">
        <f t="shared" si="1"/>
        <v/>
      </c>
      <c r="I26" s="20" t="str">
        <f t="shared" si="2"/>
        <v/>
      </c>
    </row>
    <row r="27" spans="2:9" x14ac:dyDescent="0.25">
      <c r="B27" s="26"/>
      <c r="C27" s="21"/>
      <c r="D27" s="22"/>
      <c r="E27" s="28"/>
      <c r="G27" s="1" t="str">
        <f t="shared" si="0"/>
        <v/>
      </c>
      <c r="H27" s="20" t="str">
        <f t="shared" si="1"/>
        <v/>
      </c>
      <c r="I27" s="20" t="str">
        <f t="shared" si="2"/>
        <v/>
      </c>
    </row>
    <row r="28" spans="2:9" x14ac:dyDescent="0.25">
      <c r="B28" s="26"/>
      <c r="C28" s="21"/>
      <c r="D28" s="22"/>
      <c r="E28" s="28"/>
      <c r="G28" s="1" t="str">
        <f t="shared" si="0"/>
        <v/>
      </c>
      <c r="H28" s="20" t="str">
        <f t="shared" si="1"/>
        <v/>
      </c>
      <c r="I28" s="20" t="str">
        <f t="shared" si="2"/>
        <v/>
      </c>
    </row>
    <row r="29" spans="2:9" x14ac:dyDescent="0.25">
      <c r="B29" s="26"/>
      <c r="C29" s="21"/>
      <c r="D29" s="22"/>
      <c r="E29" s="28"/>
      <c r="G29" s="1" t="str">
        <f t="shared" si="0"/>
        <v/>
      </c>
      <c r="H29" s="20" t="str">
        <f t="shared" si="1"/>
        <v/>
      </c>
      <c r="I29" s="20" t="str">
        <f t="shared" si="2"/>
        <v/>
      </c>
    </row>
    <row r="30" spans="2:9" x14ac:dyDescent="0.25">
      <c r="B30" s="26"/>
      <c r="C30" s="21"/>
      <c r="D30" s="22"/>
      <c r="E30" s="28"/>
      <c r="G30" s="1" t="str">
        <f t="shared" si="0"/>
        <v/>
      </c>
      <c r="H30" s="20" t="str">
        <f t="shared" si="1"/>
        <v/>
      </c>
      <c r="I30" s="20" t="str">
        <f t="shared" si="2"/>
        <v/>
      </c>
    </row>
    <row r="31" spans="2:9" x14ac:dyDescent="0.25">
      <c r="B31" s="26"/>
      <c r="C31" s="21"/>
      <c r="D31" s="22"/>
      <c r="E31" s="28"/>
      <c r="G31" s="1" t="str">
        <f t="shared" si="0"/>
        <v/>
      </c>
      <c r="H31" s="20" t="str">
        <f t="shared" si="1"/>
        <v/>
      </c>
      <c r="I31" s="20" t="str">
        <f t="shared" si="2"/>
        <v/>
      </c>
    </row>
    <row r="32" spans="2:9" x14ac:dyDescent="0.25">
      <c r="B32" s="26"/>
      <c r="C32" s="21"/>
      <c r="D32" s="22"/>
      <c r="E32" s="28"/>
      <c r="G32" s="1" t="str">
        <f t="shared" si="0"/>
        <v/>
      </c>
      <c r="H32" s="20" t="str">
        <f t="shared" si="1"/>
        <v/>
      </c>
      <c r="I32" s="20" t="str">
        <f t="shared" si="2"/>
        <v/>
      </c>
    </row>
    <row r="33" spans="2:9" x14ac:dyDescent="0.25">
      <c r="B33" s="26"/>
      <c r="C33" s="21"/>
      <c r="D33" s="22"/>
      <c r="E33" s="28"/>
      <c r="G33" s="1" t="str">
        <f t="shared" si="0"/>
        <v/>
      </c>
      <c r="H33" s="20" t="str">
        <f t="shared" si="1"/>
        <v/>
      </c>
      <c r="I33" s="20" t="str">
        <f t="shared" si="2"/>
        <v/>
      </c>
    </row>
    <row r="34" spans="2:9" x14ac:dyDescent="0.25">
      <c r="B34" s="26"/>
      <c r="C34" s="21"/>
      <c r="D34" s="22"/>
      <c r="E34" s="28"/>
      <c r="G34" s="1" t="str">
        <f t="shared" si="0"/>
        <v/>
      </c>
      <c r="H34" s="20" t="str">
        <f t="shared" si="1"/>
        <v/>
      </c>
      <c r="I34" s="20" t="str">
        <f t="shared" si="2"/>
        <v/>
      </c>
    </row>
    <row r="35" spans="2:9" x14ac:dyDescent="0.25">
      <c r="B35" s="26"/>
      <c r="C35" s="21"/>
      <c r="D35" s="22"/>
      <c r="E35" s="28"/>
      <c r="G35" s="1" t="str">
        <f t="shared" si="0"/>
        <v/>
      </c>
      <c r="H35" s="20" t="str">
        <f t="shared" si="1"/>
        <v/>
      </c>
      <c r="I35" s="20" t="str">
        <f t="shared" si="2"/>
        <v/>
      </c>
    </row>
    <row r="36" spans="2:9" x14ac:dyDescent="0.25">
      <c r="B36" s="26"/>
      <c r="C36" s="21"/>
      <c r="D36" s="22"/>
      <c r="E36" s="28"/>
      <c r="G36" s="1" t="str">
        <f t="shared" si="0"/>
        <v/>
      </c>
      <c r="H36" s="20" t="str">
        <f t="shared" si="1"/>
        <v/>
      </c>
      <c r="I36" s="20" t="str">
        <f t="shared" si="2"/>
        <v/>
      </c>
    </row>
    <row r="37" spans="2:9" x14ac:dyDescent="0.25">
      <c r="B37" s="26"/>
      <c r="C37" s="21"/>
      <c r="D37" s="24"/>
      <c r="E37" s="28"/>
      <c r="G37" s="1" t="str">
        <f t="shared" si="0"/>
        <v/>
      </c>
      <c r="H37" s="20" t="str">
        <f t="shared" si="1"/>
        <v/>
      </c>
      <c r="I37" s="20" t="str">
        <f t="shared" si="2"/>
        <v/>
      </c>
    </row>
    <row r="38" spans="2:9" x14ac:dyDescent="0.25">
      <c r="B38" s="26"/>
      <c r="C38" s="21"/>
      <c r="D38" s="22"/>
      <c r="E38" s="28"/>
      <c r="G38" s="1" t="str">
        <f t="shared" si="0"/>
        <v/>
      </c>
      <c r="H38" s="20" t="str">
        <f t="shared" si="1"/>
        <v/>
      </c>
      <c r="I38" s="20" t="str">
        <f t="shared" si="2"/>
        <v/>
      </c>
    </row>
    <row r="39" spans="2:9" x14ac:dyDescent="0.25">
      <c r="B39" s="26"/>
      <c r="C39" s="21"/>
      <c r="D39" s="22"/>
      <c r="E39" s="28"/>
      <c r="G39" s="1" t="str">
        <f t="shared" si="0"/>
        <v/>
      </c>
      <c r="H39" s="20" t="str">
        <f t="shared" si="1"/>
        <v/>
      </c>
      <c r="I39" s="20" t="str">
        <f t="shared" si="2"/>
        <v/>
      </c>
    </row>
    <row r="40" spans="2:9" x14ac:dyDescent="0.25">
      <c r="B40" s="26"/>
      <c r="C40" s="21"/>
      <c r="D40" s="22"/>
      <c r="E40" s="28"/>
      <c r="G40" s="1" t="str">
        <f t="shared" si="0"/>
        <v/>
      </c>
      <c r="H40" s="20" t="str">
        <f t="shared" si="1"/>
        <v/>
      </c>
      <c r="I40" s="20" t="str">
        <f t="shared" si="2"/>
        <v/>
      </c>
    </row>
    <row r="41" spans="2:9" x14ac:dyDescent="0.25">
      <c r="B41" s="26"/>
      <c r="C41" s="21"/>
      <c r="D41" s="22"/>
      <c r="E41" s="28"/>
      <c r="G41" s="1" t="str">
        <f t="shared" si="0"/>
        <v/>
      </c>
      <c r="H41" s="20" t="str">
        <f t="shared" si="1"/>
        <v/>
      </c>
      <c r="I41" s="20" t="str">
        <f t="shared" si="2"/>
        <v/>
      </c>
    </row>
    <row r="42" spans="2:9" x14ac:dyDescent="0.25">
      <c r="B42" s="26"/>
      <c r="C42" s="23"/>
      <c r="D42" s="23"/>
      <c r="E42" s="28"/>
      <c r="G42" s="1" t="str">
        <f t="shared" si="0"/>
        <v/>
      </c>
      <c r="H42" s="20" t="str">
        <f t="shared" si="1"/>
        <v/>
      </c>
      <c r="I42" s="20" t="str">
        <f t="shared" si="2"/>
        <v/>
      </c>
    </row>
    <row r="43" spans="2:9" x14ac:dyDescent="0.25">
      <c r="B43" s="26"/>
      <c r="C43" s="23"/>
      <c r="D43" s="23"/>
      <c r="E43" s="28"/>
      <c r="G43" s="1" t="str">
        <f t="shared" si="0"/>
        <v/>
      </c>
      <c r="H43" s="20" t="str">
        <f t="shared" si="1"/>
        <v/>
      </c>
      <c r="I43" s="20" t="str">
        <f t="shared" si="2"/>
        <v/>
      </c>
    </row>
    <row r="44" spans="2:9" x14ac:dyDescent="0.25">
      <c r="B44" s="30"/>
      <c r="C44" s="30"/>
    </row>
    <row r="45" spans="2:9" x14ac:dyDescent="0.25">
      <c r="B45" s="30"/>
      <c r="C45" s="30"/>
    </row>
    <row r="46" spans="2:9" x14ac:dyDescent="0.25">
      <c r="B46" s="30"/>
      <c r="C46" s="30"/>
    </row>
    <row r="47" spans="2:9" x14ac:dyDescent="0.25">
      <c r="B47" s="30"/>
      <c r="C47" s="30"/>
    </row>
    <row r="48" spans="2:9" x14ac:dyDescent="0.25">
      <c r="B48" s="30"/>
      <c r="C48" s="30"/>
    </row>
    <row r="49" spans="2:3" x14ac:dyDescent="0.25">
      <c r="B49" s="30"/>
      <c r="C49" s="30"/>
    </row>
    <row r="50" spans="2:3" x14ac:dyDescent="0.25">
      <c r="B50" s="30"/>
      <c r="C50" s="30"/>
    </row>
    <row r="51" spans="2:3" x14ac:dyDescent="0.25">
      <c r="B51" s="30"/>
      <c r="C51" s="30"/>
    </row>
    <row r="52" spans="2:3" x14ac:dyDescent="0.25">
      <c r="B52" s="30"/>
      <c r="C52" s="30"/>
    </row>
  </sheetData>
  <mergeCells count="2">
    <mergeCell ref="G12:I12"/>
    <mergeCell ref="B12:E12"/>
  </mergeCells>
  <phoneticPr fontId="25" type="noConversion"/>
  <conditionalFormatting sqref="B4">
    <cfRule type="containsText" dxfId="69" priority="7" operator="containsText" text="ON">
      <formula>NOT(ISERROR(SEARCH("ON",B4)))</formula>
    </cfRule>
    <cfRule type="cellIs" dxfId="68" priority="8" operator="equal">
      <formula>"M0"</formula>
    </cfRule>
  </conditionalFormatting>
  <conditionalFormatting sqref="B6">
    <cfRule type="containsText" dxfId="67" priority="5" operator="containsText" text="ON">
      <formula>NOT(ISERROR(SEARCH("ON",B6)))</formula>
    </cfRule>
    <cfRule type="cellIs" dxfId="66" priority="6" operator="equal">
      <formula>"M0"</formula>
    </cfRule>
  </conditionalFormatting>
  <conditionalFormatting sqref="C4">
    <cfRule type="containsText" dxfId="65" priority="3" operator="containsText" text="ON">
      <formula>NOT(ISERROR(SEARCH("ON",C4)))</formula>
    </cfRule>
    <cfRule type="cellIs" dxfId="64" priority="4" operator="equal">
      <formula>"M0"</formula>
    </cfRule>
  </conditionalFormatting>
  <conditionalFormatting sqref="C6">
    <cfRule type="containsText" dxfId="63" priority="1" operator="containsText" text="ON">
      <formula>NOT(ISERROR(SEARCH("ON",C6)))</formula>
    </cfRule>
    <cfRule type="cellIs" dxfId="62" priority="2" operator="equal">
      <formula>"M0"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P43"/>
  <sheetViews>
    <sheetView showGridLines="0" zoomScale="60" zoomScaleNormal="60" workbookViewId="0">
      <selection activeCell="I16" sqref="I16"/>
    </sheetView>
  </sheetViews>
  <sheetFormatPr baseColWidth="10" defaultRowHeight="15" x14ac:dyDescent="0.25"/>
  <cols>
    <col min="1" max="1" width="10.85546875" customWidth="1"/>
    <col min="2" max="3" width="25.5703125" customWidth="1"/>
    <col min="4" max="5" width="24.5703125" customWidth="1"/>
    <col min="6" max="6" width="6.5703125" customWidth="1"/>
    <col min="7" max="7" width="10.5703125" customWidth="1"/>
    <col min="8" max="8" width="20.5703125" customWidth="1"/>
    <col min="9" max="9" width="26.5703125" customWidth="1"/>
    <col min="10" max="10" width="19.140625" customWidth="1"/>
    <col min="11" max="11" width="17.7109375" customWidth="1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2" t="s">
        <v>0</v>
      </c>
      <c r="C2" s="27">
        <f>PLANNING!C2</f>
        <v>45921</v>
      </c>
      <c r="D2" s="3"/>
      <c r="E2" s="1"/>
      <c r="F2" s="1"/>
      <c r="G2" s="34" t="s">
        <v>27</v>
      </c>
      <c r="H2" s="34" t="s">
        <v>28</v>
      </c>
      <c r="I2" s="34" t="s">
        <v>29</v>
      </c>
      <c r="J2" s="34" t="s">
        <v>65</v>
      </c>
      <c r="K2" s="1"/>
      <c r="L2" s="1"/>
      <c r="M2" s="1"/>
      <c r="N2" s="1"/>
      <c r="O2" s="1"/>
      <c r="P2" s="1"/>
    </row>
    <row r="3" spans="1:16" x14ac:dyDescent="0.25">
      <c r="A3" s="1"/>
      <c r="B3" s="1"/>
      <c r="C3" s="1"/>
      <c r="D3" s="1"/>
      <c r="E3" s="1"/>
      <c r="F3" s="1"/>
      <c r="G3" s="35" t="s">
        <v>6</v>
      </c>
      <c r="H3" s="35" t="s">
        <v>31</v>
      </c>
      <c r="I3" s="35">
        <v>0</v>
      </c>
      <c r="J3" s="35">
        <v>0</v>
      </c>
      <c r="K3" s="1"/>
      <c r="L3" s="1"/>
      <c r="M3" s="1"/>
      <c r="N3" s="1"/>
      <c r="O3" s="1"/>
      <c r="P3" s="1"/>
    </row>
    <row r="4" spans="1:16" x14ac:dyDescent="0.25">
      <c r="A4" s="1"/>
      <c r="B4" s="2" t="s">
        <v>7</v>
      </c>
      <c r="C4" s="27">
        <f>PLANNING!C4</f>
        <v>45927</v>
      </c>
      <c r="D4" s="2"/>
      <c r="E4" s="1"/>
      <c r="F4" s="1"/>
      <c r="G4" s="35" t="s">
        <v>4</v>
      </c>
      <c r="H4" s="35" t="s">
        <v>46</v>
      </c>
      <c r="I4" s="35">
        <v>2.2000000000000002</v>
      </c>
      <c r="J4" s="40">
        <v>9.6000000000000002E-2</v>
      </c>
      <c r="K4" s="1"/>
      <c r="L4" s="1"/>
      <c r="M4" s="1"/>
      <c r="N4" s="1"/>
      <c r="O4" s="1"/>
      <c r="P4" s="1"/>
    </row>
    <row r="5" spans="1:16" x14ac:dyDescent="0.25">
      <c r="A5" s="1"/>
      <c r="B5" s="1"/>
      <c r="C5" s="1"/>
      <c r="D5" s="16"/>
      <c r="E5" s="1"/>
      <c r="F5" s="1"/>
      <c r="G5" s="35" t="s">
        <v>12</v>
      </c>
      <c r="H5" s="35" t="s">
        <v>47</v>
      </c>
      <c r="I5" s="35">
        <v>2.2000000000000002</v>
      </c>
      <c r="J5" s="40">
        <v>9.6000000000000002E-2</v>
      </c>
      <c r="K5" s="1"/>
      <c r="L5" s="1"/>
      <c r="M5" s="1"/>
      <c r="N5" s="1"/>
      <c r="O5" s="1"/>
      <c r="P5" s="1"/>
    </row>
    <row r="6" spans="1:16" x14ac:dyDescent="0.25">
      <c r="A6" s="1"/>
      <c r="B6" s="2" t="s">
        <v>8</v>
      </c>
      <c r="C6" s="2" t="str">
        <f>TEXT(C4-C2+1,"j"" jours""")</f>
        <v>7 jours</v>
      </c>
      <c r="D6" s="16"/>
      <c r="E6" s="1"/>
      <c r="F6" s="1"/>
      <c r="G6" s="35" t="s">
        <v>13</v>
      </c>
      <c r="H6" s="35" t="s">
        <v>33</v>
      </c>
      <c r="I6" s="35">
        <v>0.1</v>
      </c>
      <c r="J6" s="40">
        <v>1.5999999999999999E-5</v>
      </c>
      <c r="K6" s="1"/>
      <c r="L6" s="1"/>
      <c r="M6" s="1"/>
      <c r="N6" s="1"/>
      <c r="O6" s="1"/>
      <c r="P6" s="1"/>
    </row>
    <row r="7" spans="1:16" x14ac:dyDescent="0.25">
      <c r="A7" s="1"/>
      <c r="B7" s="1"/>
      <c r="C7" s="1"/>
      <c r="D7" s="1"/>
      <c r="E7" s="1"/>
      <c r="F7" s="1"/>
      <c r="G7" s="35" t="s">
        <v>14</v>
      </c>
      <c r="H7" s="35" t="s">
        <v>48</v>
      </c>
      <c r="I7" s="35">
        <v>2.2000000000000002</v>
      </c>
      <c r="J7" s="40">
        <v>9.6000000000000002E-2</v>
      </c>
      <c r="K7" s="1"/>
      <c r="L7" s="1"/>
      <c r="M7" s="1"/>
      <c r="N7" s="1"/>
      <c r="O7" s="1"/>
      <c r="P7" s="1"/>
    </row>
    <row r="8" spans="1:16" x14ac:dyDescent="0.25">
      <c r="A8" s="1"/>
      <c r="B8" s="2" t="s">
        <v>37</v>
      </c>
      <c r="C8" s="2">
        <f>COUNTA(B15:B43)</f>
        <v>0</v>
      </c>
      <c r="D8" s="1"/>
      <c r="E8" s="1"/>
      <c r="F8" s="1"/>
      <c r="G8" s="35"/>
      <c r="H8" s="35"/>
      <c r="I8" s="35"/>
      <c r="J8" s="35"/>
      <c r="K8" s="1"/>
      <c r="L8" s="1"/>
      <c r="M8" s="1"/>
      <c r="N8" s="1"/>
      <c r="O8" s="1"/>
      <c r="P8" s="1"/>
    </row>
    <row r="9" spans="1:1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B10" s="7"/>
      <c r="C10" s="7"/>
    </row>
    <row r="11" spans="1:16" x14ac:dyDescent="0.25">
      <c r="B11" s="7"/>
      <c r="C11" s="7"/>
    </row>
    <row r="12" spans="1:16" x14ac:dyDescent="0.25">
      <c r="B12" s="45" t="s">
        <v>39</v>
      </c>
      <c r="C12" s="45"/>
      <c r="D12" s="45"/>
      <c r="E12" s="45"/>
      <c r="G12" s="46" t="s">
        <v>38</v>
      </c>
      <c r="H12" s="46"/>
      <c r="I12" s="46"/>
    </row>
    <row r="14" spans="1:16" x14ac:dyDescent="0.25">
      <c r="B14" s="25" t="s">
        <v>40</v>
      </c>
      <c r="C14" s="25" t="s">
        <v>22</v>
      </c>
      <c r="D14" s="25" t="s">
        <v>23</v>
      </c>
      <c r="E14" s="25" t="s">
        <v>25</v>
      </c>
      <c r="G14" s="31" t="s">
        <v>40</v>
      </c>
      <c r="H14" s="2" t="s">
        <v>20</v>
      </c>
      <c r="I14" s="2" t="s">
        <v>21</v>
      </c>
    </row>
    <row r="15" spans="1:16" x14ac:dyDescent="0.25">
      <c r="B15" s="26"/>
      <c r="C15" s="21"/>
      <c r="D15" s="22"/>
      <c r="E15" s="28"/>
      <c r="G15" s="1" t="str">
        <f>IF($B15 &lt;&gt; "", $B15, "")</f>
        <v/>
      </c>
      <c r="H15" s="20" t="str">
        <f>IF(AND($C15 &lt;&gt; "", $D15 &lt;&gt; ""), $C15+ $D15, "")</f>
        <v/>
      </c>
      <c r="I15" s="20" t="str">
        <f>IF($H15 &lt;&gt; "", $H15 + $E15, "")</f>
        <v/>
      </c>
    </row>
    <row r="16" spans="1:16" x14ac:dyDescent="0.25">
      <c r="B16" s="26"/>
      <c r="C16" s="21"/>
      <c r="D16" s="22"/>
      <c r="E16" s="28"/>
      <c r="G16" s="1" t="str">
        <f t="shared" ref="G16:G43" si="0">IF($B16 &lt;&gt; "", $B16, "")</f>
        <v/>
      </c>
      <c r="H16" s="20" t="str">
        <f t="shared" ref="H16:H43" si="1">IF(AND($C16 &lt;&gt; "", $D16 &lt;&gt; ""), $C16+ $D16, "")</f>
        <v/>
      </c>
      <c r="I16" s="20" t="str">
        <f t="shared" ref="I16:I43" si="2">IF($H16 &lt;&gt; "", $H16 + $E16, "")</f>
        <v/>
      </c>
    </row>
    <row r="17" spans="2:9" x14ac:dyDescent="0.25">
      <c r="B17" s="26"/>
      <c r="C17" s="21"/>
      <c r="D17" s="24"/>
      <c r="E17" s="28"/>
      <c r="G17" s="1" t="str">
        <f t="shared" si="0"/>
        <v/>
      </c>
      <c r="H17" s="20" t="str">
        <f t="shared" si="1"/>
        <v/>
      </c>
      <c r="I17" s="20" t="str">
        <f t="shared" si="2"/>
        <v/>
      </c>
    </row>
    <row r="18" spans="2:9" x14ac:dyDescent="0.25">
      <c r="B18" s="26"/>
      <c r="C18" s="21"/>
      <c r="D18" s="22"/>
      <c r="E18" s="28"/>
      <c r="G18" s="1" t="str">
        <f>IF($B18 &lt;&gt; "", $B18, "")</f>
        <v/>
      </c>
      <c r="H18" s="20" t="str">
        <f>IF(AND($C18 &lt;&gt; "", $D18 &lt;&gt; ""), $C18+ $D18, "")</f>
        <v/>
      </c>
      <c r="I18" s="20" t="str">
        <f>IF($H18 &lt;&gt; "", $H18 + $E18, "")</f>
        <v/>
      </c>
    </row>
    <row r="19" spans="2:9" x14ac:dyDescent="0.25">
      <c r="B19" s="26"/>
      <c r="C19" s="21"/>
      <c r="D19" s="22"/>
      <c r="E19" s="28"/>
      <c r="G19" s="1" t="str">
        <f t="shared" si="0"/>
        <v/>
      </c>
      <c r="H19" s="20" t="str">
        <f>IF(AND($C19 &lt;&gt; "", $D19 &lt;&gt; ""), $C19+ $D19, "")</f>
        <v/>
      </c>
      <c r="I19" s="20" t="str">
        <f>IF($H19 &lt;&gt; "", $H19 + $E19, "")</f>
        <v/>
      </c>
    </row>
    <row r="20" spans="2:9" x14ac:dyDescent="0.25">
      <c r="B20" s="26"/>
      <c r="C20" s="21"/>
      <c r="D20" s="22"/>
      <c r="E20" s="28"/>
      <c r="G20" s="1" t="str">
        <f t="shared" si="0"/>
        <v/>
      </c>
      <c r="H20" s="20" t="str">
        <f t="shared" si="1"/>
        <v/>
      </c>
      <c r="I20" s="20" t="str">
        <f t="shared" si="2"/>
        <v/>
      </c>
    </row>
    <row r="21" spans="2:9" x14ac:dyDescent="0.25">
      <c r="B21" s="26"/>
      <c r="C21" s="21"/>
      <c r="D21" s="22"/>
      <c r="E21" s="28"/>
      <c r="G21" s="1" t="str">
        <f t="shared" si="0"/>
        <v/>
      </c>
      <c r="H21" s="20" t="str">
        <f t="shared" si="1"/>
        <v/>
      </c>
      <c r="I21" s="20" t="str">
        <f t="shared" si="2"/>
        <v/>
      </c>
    </row>
    <row r="22" spans="2:9" x14ac:dyDescent="0.25">
      <c r="B22" s="26"/>
      <c r="C22" s="21"/>
      <c r="D22" s="22"/>
      <c r="E22" s="28"/>
      <c r="G22" s="1" t="str">
        <f t="shared" si="0"/>
        <v/>
      </c>
      <c r="H22" s="20" t="str">
        <f t="shared" si="1"/>
        <v/>
      </c>
      <c r="I22" s="20" t="str">
        <f t="shared" si="2"/>
        <v/>
      </c>
    </row>
    <row r="23" spans="2:9" x14ac:dyDescent="0.25">
      <c r="B23" s="26"/>
      <c r="C23" s="21"/>
      <c r="D23" s="22"/>
      <c r="E23" s="28"/>
      <c r="G23" s="1" t="str">
        <f t="shared" si="0"/>
        <v/>
      </c>
      <c r="H23" s="20" t="str">
        <f t="shared" si="1"/>
        <v/>
      </c>
      <c r="I23" s="20" t="str">
        <f t="shared" si="2"/>
        <v/>
      </c>
    </row>
    <row r="24" spans="2:9" x14ac:dyDescent="0.25">
      <c r="B24" s="26"/>
      <c r="C24" s="21"/>
      <c r="D24" s="22"/>
      <c r="E24" s="28"/>
      <c r="G24" s="1" t="str">
        <f t="shared" si="0"/>
        <v/>
      </c>
      <c r="H24" s="20" t="str">
        <f t="shared" si="1"/>
        <v/>
      </c>
      <c r="I24" s="20" t="str">
        <f t="shared" si="2"/>
        <v/>
      </c>
    </row>
    <row r="25" spans="2:9" x14ac:dyDescent="0.25">
      <c r="B25" s="26"/>
      <c r="C25" s="21"/>
      <c r="D25" s="22"/>
      <c r="E25" s="28"/>
      <c r="G25" s="1" t="str">
        <f t="shared" si="0"/>
        <v/>
      </c>
      <c r="H25" s="20" t="str">
        <f t="shared" si="1"/>
        <v/>
      </c>
      <c r="I25" s="20" t="str">
        <f t="shared" si="2"/>
        <v/>
      </c>
    </row>
    <row r="26" spans="2:9" x14ac:dyDescent="0.25">
      <c r="B26" s="26"/>
      <c r="C26" s="21"/>
      <c r="D26" s="22"/>
      <c r="E26" s="28"/>
      <c r="G26" s="1" t="str">
        <f t="shared" si="0"/>
        <v/>
      </c>
      <c r="H26" s="20" t="str">
        <f t="shared" si="1"/>
        <v/>
      </c>
      <c r="I26" s="20" t="str">
        <f t="shared" si="2"/>
        <v/>
      </c>
    </row>
    <row r="27" spans="2:9" x14ac:dyDescent="0.25">
      <c r="B27" s="26"/>
      <c r="C27" s="21"/>
      <c r="D27" s="22"/>
      <c r="E27" s="28"/>
      <c r="G27" s="1" t="str">
        <f>IF($B27 &lt;&gt; "", $B27, "")</f>
        <v/>
      </c>
      <c r="H27" s="20" t="str">
        <f>IF(AND($C27 &lt;&gt; "", $D27 &lt;&gt; ""), $C27+ $D27, "")</f>
        <v/>
      </c>
      <c r="I27" s="20" t="str">
        <f>IF($H27 &lt;&gt; "", $H27 + $E27, "")</f>
        <v/>
      </c>
    </row>
    <row r="28" spans="2:9" x14ac:dyDescent="0.25">
      <c r="B28" s="26"/>
      <c r="C28" s="21"/>
      <c r="D28" s="22"/>
      <c r="E28" s="28"/>
      <c r="G28" s="1" t="str">
        <f t="shared" si="0"/>
        <v/>
      </c>
      <c r="H28" s="20" t="str">
        <f t="shared" si="1"/>
        <v/>
      </c>
      <c r="I28" s="20" t="str">
        <f t="shared" si="2"/>
        <v/>
      </c>
    </row>
    <row r="29" spans="2:9" x14ac:dyDescent="0.25">
      <c r="B29" s="26"/>
      <c r="C29" s="21"/>
      <c r="D29" s="22"/>
      <c r="E29" s="28"/>
      <c r="G29" s="1" t="str">
        <f t="shared" si="0"/>
        <v/>
      </c>
      <c r="H29" s="20" t="str">
        <f t="shared" si="1"/>
        <v/>
      </c>
      <c r="I29" s="20" t="str">
        <f t="shared" si="2"/>
        <v/>
      </c>
    </row>
    <row r="30" spans="2:9" x14ac:dyDescent="0.25">
      <c r="B30" s="26"/>
      <c r="C30" s="21"/>
      <c r="D30" s="22"/>
      <c r="E30" s="28"/>
      <c r="G30" s="1" t="str">
        <f t="shared" si="0"/>
        <v/>
      </c>
      <c r="H30" s="20" t="str">
        <f t="shared" si="1"/>
        <v/>
      </c>
      <c r="I30" s="20" t="str">
        <f t="shared" si="2"/>
        <v/>
      </c>
    </row>
    <row r="31" spans="2:9" x14ac:dyDescent="0.25">
      <c r="B31" s="26"/>
      <c r="C31" s="21"/>
      <c r="D31" s="22"/>
      <c r="E31" s="28"/>
      <c r="G31" s="1" t="str">
        <f t="shared" si="0"/>
        <v/>
      </c>
      <c r="H31" s="20" t="str">
        <f t="shared" si="1"/>
        <v/>
      </c>
      <c r="I31" s="20" t="str">
        <f t="shared" si="2"/>
        <v/>
      </c>
    </row>
    <row r="32" spans="2:9" x14ac:dyDescent="0.25">
      <c r="B32" s="26"/>
      <c r="C32" s="21"/>
      <c r="D32" s="22"/>
      <c r="E32" s="28"/>
      <c r="G32" s="1" t="str">
        <f t="shared" si="0"/>
        <v/>
      </c>
      <c r="H32" s="20" t="str">
        <f t="shared" si="1"/>
        <v/>
      </c>
      <c r="I32" s="20" t="str">
        <f t="shared" si="2"/>
        <v/>
      </c>
    </row>
    <row r="33" spans="2:9" x14ac:dyDescent="0.25">
      <c r="B33" s="26"/>
      <c r="C33" s="21"/>
      <c r="D33" s="22"/>
      <c r="E33" s="28"/>
      <c r="G33" s="1" t="str">
        <f t="shared" si="0"/>
        <v/>
      </c>
      <c r="H33" s="20" t="str">
        <f t="shared" si="1"/>
        <v/>
      </c>
      <c r="I33" s="20" t="str">
        <f t="shared" si="2"/>
        <v/>
      </c>
    </row>
    <row r="34" spans="2:9" x14ac:dyDescent="0.25">
      <c r="B34" s="26"/>
      <c r="C34" s="21"/>
      <c r="D34" s="22"/>
      <c r="E34" s="28"/>
      <c r="G34" s="1" t="str">
        <f t="shared" si="0"/>
        <v/>
      </c>
      <c r="H34" s="20" t="str">
        <f t="shared" si="1"/>
        <v/>
      </c>
      <c r="I34" s="20" t="str">
        <f t="shared" si="2"/>
        <v/>
      </c>
    </row>
    <row r="35" spans="2:9" x14ac:dyDescent="0.25">
      <c r="B35" s="26"/>
      <c r="C35" s="21"/>
      <c r="D35" s="22"/>
      <c r="E35" s="28"/>
      <c r="G35" s="1" t="str">
        <f t="shared" si="0"/>
        <v/>
      </c>
      <c r="H35" s="20" t="str">
        <f t="shared" si="1"/>
        <v/>
      </c>
      <c r="I35" s="20" t="str">
        <f t="shared" si="2"/>
        <v/>
      </c>
    </row>
    <row r="36" spans="2:9" x14ac:dyDescent="0.25">
      <c r="B36" s="26"/>
      <c r="C36" s="21"/>
      <c r="D36" s="22"/>
      <c r="E36" s="28"/>
      <c r="G36" s="1" t="str">
        <f t="shared" si="0"/>
        <v/>
      </c>
      <c r="H36" s="20" t="str">
        <f t="shared" si="1"/>
        <v/>
      </c>
      <c r="I36" s="20" t="str">
        <f t="shared" si="2"/>
        <v/>
      </c>
    </row>
    <row r="37" spans="2:9" x14ac:dyDescent="0.25">
      <c r="B37" s="26"/>
      <c r="C37" s="21"/>
      <c r="D37" s="22"/>
      <c r="E37" s="28"/>
      <c r="G37" s="1" t="str">
        <f t="shared" si="0"/>
        <v/>
      </c>
      <c r="H37" s="20" t="str">
        <f t="shared" si="1"/>
        <v/>
      </c>
      <c r="I37" s="20" t="str">
        <f t="shared" si="2"/>
        <v/>
      </c>
    </row>
    <row r="38" spans="2:9" x14ac:dyDescent="0.25">
      <c r="B38" s="26"/>
      <c r="C38" s="21"/>
      <c r="D38" s="24"/>
      <c r="E38" s="28"/>
      <c r="G38" s="1" t="str">
        <f t="shared" si="0"/>
        <v/>
      </c>
      <c r="H38" s="20" t="str">
        <f t="shared" si="1"/>
        <v/>
      </c>
      <c r="I38" s="20" t="str">
        <f t="shared" si="2"/>
        <v/>
      </c>
    </row>
    <row r="39" spans="2:9" x14ac:dyDescent="0.25">
      <c r="B39" s="26"/>
      <c r="C39" s="21"/>
      <c r="D39" s="22"/>
      <c r="E39" s="28"/>
      <c r="G39" s="1" t="str">
        <f t="shared" si="0"/>
        <v/>
      </c>
      <c r="H39" s="20" t="str">
        <f t="shared" si="1"/>
        <v/>
      </c>
      <c r="I39" s="20" t="str">
        <f t="shared" si="2"/>
        <v/>
      </c>
    </row>
    <row r="40" spans="2:9" x14ac:dyDescent="0.25">
      <c r="B40" s="26"/>
      <c r="C40" s="21"/>
      <c r="D40" s="22"/>
      <c r="E40" s="28"/>
      <c r="G40" s="1" t="str">
        <f t="shared" si="0"/>
        <v/>
      </c>
      <c r="H40" s="20" t="str">
        <f t="shared" si="1"/>
        <v/>
      </c>
      <c r="I40" s="20" t="str">
        <f t="shared" si="2"/>
        <v/>
      </c>
    </row>
    <row r="41" spans="2:9" x14ac:dyDescent="0.25">
      <c r="B41" s="26"/>
      <c r="C41" s="21"/>
      <c r="D41" s="22"/>
      <c r="E41" s="28"/>
      <c r="G41" s="1" t="str">
        <f t="shared" si="0"/>
        <v/>
      </c>
      <c r="H41" s="20" t="str">
        <f t="shared" si="1"/>
        <v/>
      </c>
      <c r="I41" s="20" t="str">
        <f t="shared" si="2"/>
        <v/>
      </c>
    </row>
    <row r="42" spans="2:9" x14ac:dyDescent="0.25">
      <c r="B42" s="26"/>
      <c r="C42" s="21"/>
      <c r="D42" s="22"/>
      <c r="E42" s="28"/>
      <c r="G42" s="1" t="str">
        <f t="shared" si="0"/>
        <v/>
      </c>
      <c r="H42" s="20" t="str">
        <f t="shared" si="1"/>
        <v/>
      </c>
      <c r="I42" s="20" t="str">
        <f t="shared" si="2"/>
        <v/>
      </c>
    </row>
    <row r="43" spans="2:9" x14ac:dyDescent="0.25">
      <c r="B43" s="26"/>
      <c r="C43" s="21"/>
      <c r="D43" s="22"/>
      <c r="E43" s="28"/>
      <c r="G43" s="1" t="str">
        <f t="shared" si="0"/>
        <v/>
      </c>
      <c r="H43" s="20" t="str">
        <f t="shared" si="1"/>
        <v/>
      </c>
      <c r="I43" s="20" t="str">
        <f t="shared" si="2"/>
        <v/>
      </c>
    </row>
  </sheetData>
  <mergeCells count="2">
    <mergeCell ref="B12:E12"/>
    <mergeCell ref="G12:I12"/>
  </mergeCells>
  <conditionalFormatting sqref="B4">
    <cfRule type="cellIs" dxfId="61" priority="5" operator="equal">
      <formula>"M0"</formula>
    </cfRule>
  </conditionalFormatting>
  <conditionalFormatting sqref="B6">
    <cfRule type="cellIs" dxfId="60" priority="3" operator="equal">
      <formula>"M0"</formula>
    </cfRule>
  </conditionalFormatting>
  <conditionalFormatting sqref="C4">
    <cfRule type="cellIs" dxfId="59" priority="2" operator="equal">
      <formula>"M0"</formula>
    </cfRule>
  </conditionalFormatting>
  <conditionalFormatting sqref="C6">
    <cfRule type="cellIs" dxfId="58" priority="1" operator="equal">
      <formula>"M0"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text="ON" id="{4B5B84FA-AC29-44F7-87D0-0575A9AF2615}">
            <xm:f>NOT(ISERROR(SEARCH("ON",SCOOP!B4)))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B4:C4 B6:C6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/>
  <dimension ref="A1:P48"/>
  <sheetViews>
    <sheetView showGridLines="0" zoomScale="60" zoomScaleNormal="60" workbookViewId="0">
      <selection activeCell="I54" sqref="I54"/>
    </sheetView>
  </sheetViews>
  <sheetFormatPr baseColWidth="10" defaultRowHeight="15" x14ac:dyDescent="0.25"/>
  <cols>
    <col min="1" max="1" width="10.85546875" customWidth="1"/>
    <col min="2" max="3" width="25.5703125" customWidth="1"/>
    <col min="4" max="5" width="24.5703125" customWidth="1"/>
    <col min="6" max="6" width="6.5703125" customWidth="1"/>
    <col min="7" max="7" width="10.5703125" customWidth="1"/>
    <col min="8" max="8" width="20.5703125" customWidth="1"/>
    <col min="9" max="9" width="26.5703125" customWidth="1"/>
    <col min="10" max="10" width="19.140625" customWidth="1"/>
    <col min="11" max="11" width="17.7109375" customWidth="1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2" t="s">
        <v>0</v>
      </c>
      <c r="C2" s="27">
        <f>PLANNING!C2</f>
        <v>45921</v>
      </c>
      <c r="D2" s="3"/>
      <c r="E2" s="1"/>
      <c r="F2" s="1"/>
      <c r="G2" s="34" t="s">
        <v>27</v>
      </c>
      <c r="H2" s="34" t="s">
        <v>28</v>
      </c>
      <c r="I2" s="34" t="s">
        <v>29</v>
      </c>
      <c r="J2" s="34" t="s">
        <v>65</v>
      </c>
      <c r="K2" s="1"/>
      <c r="L2" s="1"/>
      <c r="M2" s="1"/>
      <c r="N2" s="1"/>
      <c r="O2" s="1"/>
      <c r="P2" s="1"/>
    </row>
    <row r="3" spans="1:16" x14ac:dyDescent="0.25">
      <c r="A3" s="1"/>
      <c r="B3" s="1"/>
      <c r="C3" s="1"/>
      <c r="D3" s="1"/>
      <c r="E3" s="1"/>
      <c r="F3" s="1"/>
      <c r="G3" s="35" t="s">
        <v>6</v>
      </c>
      <c r="H3" s="35" t="s">
        <v>31</v>
      </c>
      <c r="I3" s="35">
        <v>0</v>
      </c>
      <c r="J3" s="35">
        <v>0</v>
      </c>
      <c r="K3" s="1"/>
      <c r="L3" s="1"/>
      <c r="M3" s="1"/>
      <c r="N3" s="1"/>
      <c r="O3" s="1"/>
      <c r="P3" s="1"/>
    </row>
    <row r="4" spans="1:16" x14ac:dyDescent="0.25">
      <c r="A4" s="1"/>
      <c r="B4" s="2" t="s">
        <v>7</v>
      </c>
      <c r="C4" s="27">
        <f>PLANNING!C4</f>
        <v>45927</v>
      </c>
      <c r="D4" s="2"/>
      <c r="E4" s="1"/>
      <c r="F4" s="1"/>
      <c r="G4" s="35" t="s">
        <v>4</v>
      </c>
      <c r="H4" s="35" t="s">
        <v>33</v>
      </c>
      <c r="I4" s="35">
        <v>0.1</v>
      </c>
      <c r="J4" s="35"/>
      <c r="K4" s="1"/>
      <c r="L4" s="1"/>
      <c r="M4" s="1"/>
      <c r="N4" s="1"/>
      <c r="O4" s="1"/>
      <c r="P4" s="1"/>
    </row>
    <row r="5" spans="1:16" x14ac:dyDescent="0.25">
      <c r="A5" s="1"/>
      <c r="B5" s="1"/>
      <c r="C5" s="1"/>
      <c r="D5" s="16"/>
      <c r="E5" s="1"/>
      <c r="F5" s="1"/>
      <c r="G5" s="35" t="s">
        <v>12</v>
      </c>
      <c r="H5" s="35" t="s">
        <v>50</v>
      </c>
      <c r="I5" s="35">
        <v>2</v>
      </c>
      <c r="J5" s="35"/>
      <c r="K5" s="1"/>
      <c r="L5" s="1"/>
      <c r="M5" s="1"/>
      <c r="N5" s="1"/>
      <c r="O5" s="1"/>
      <c r="P5" s="1"/>
    </row>
    <row r="6" spans="1:16" x14ac:dyDescent="0.25">
      <c r="A6" s="1"/>
      <c r="B6" s="2" t="s">
        <v>8</v>
      </c>
      <c r="C6" s="2" t="str">
        <f>TEXT(C4-C2+1,"j"" jours""")</f>
        <v>7 jours</v>
      </c>
      <c r="D6" s="16"/>
      <c r="E6" s="1"/>
      <c r="F6" s="1"/>
      <c r="G6" s="35"/>
      <c r="H6" s="35"/>
      <c r="I6" s="35"/>
      <c r="J6" s="35"/>
      <c r="K6" s="1"/>
      <c r="L6" s="1"/>
      <c r="M6" s="1"/>
      <c r="N6" s="1"/>
      <c r="O6" s="1"/>
      <c r="P6" s="1"/>
    </row>
    <row r="7" spans="1:16" x14ac:dyDescent="0.25">
      <c r="A7" s="1"/>
      <c r="B7" s="1"/>
      <c r="C7" s="1"/>
      <c r="D7" s="1"/>
      <c r="E7" s="1"/>
      <c r="F7" s="1"/>
      <c r="G7" s="35"/>
      <c r="H7" s="35"/>
      <c r="I7" s="35"/>
      <c r="J7" s="35"/>
      <c r="K7" s="1"/>
      <c r="L7" s="1"/>
      <c r="M7" s="1"/>
      <c r="N7" s="1"/>
      <c r="O7" s="1"/>
      <c r="P7" s="1"/>
    </row>
    <row r="8" spans="1:16" x14ac:dyDescent="0.25">
      <c r="A8" s="1"/>
      <c r="B8" s="2" t="s">
        <v>37</v>
      </c>
      <c r="C8" s="2">
        <f>COUNTA(B15:B43)</f>
        <v>0</v>
      </c>
      <c r="D8" s="1"/>
      <c r="E8" s="1"/>
      <c r="F8" s="1"/>
      <c r="G8" s="35"/>
      <c r="H8" s="35"/>
      <c r="I8" s="35"/>
      <c r="J8" s="35"/>
      <c r="K8" s="1"/>
      <c r="L8" s="1"/>
      <c r="M8" s="1"/>
      <c r="N8" s="1"/>
      <c r="O8" s="1"/>
      <c r="P8" s="1"/>
    </row>
    <row r="9" spans="1:1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B10" s="7"/>
      <c r="C10" s="7"/>
    </row>
    <row r="11" spans="1:16" x14ac:dyDescent="0.25">
      <c r="B11" s="7"/>
      <c r="C11" s="7"/>
    </row>
    <row r="12" spans="1:16" x14ac:dyDescent="0.25">
      <c r="B12" s="45" t="s">
        <v>39</v>
      </c>
      <c r="C12" s="45"/>
      <c r="D12" s="45"/>
      <c r="E12" s="45"/>
      <c r="G12" s="46" t="s">
        <v>38</v>
      </c>
      <c r="H12" s="46"/>
      <c r="I12" s="46"/>
    </row>
    <row r="14" spans="1:16" x14ac:dyDescent="0.25">
      <c r="B14" s="25" t="s">
        <v>40</v>
      </c>
      <c r="C14" s="25" t="s">
        <v>22</v>
      </c>
      <c r="D14" s="25" t="s">
        <v>23</v>
      </c>
      <c r="E14" s="25" t="s">
        <v>25</v>
      </c>
      <c r="G14" s="31" t="s">
        <v>40</v>
      </c>
      <c r="H14" s="2" t="s">
        <v>20</v>
      </c>
      <c r="I14" s="2" t="s">
        <v>21</v>
      </c>
    </row>
    <row r="15" spans="1:16" x14ac:dyDescent="0.25">
      <c r="B15" s="26"/>
      <c r="C15" s="21"/>
      <c r="D15" s="22"/>
      <c r="E15" s="28"/>
      <c r="G15" s="1" t="str">
        <f>IF($B15 &lt;&gt; "", $B15, "")</f>
        <v/>
      </c>
      <c r="H15" s="20" t="str">
        <f>IF(AND($C15 &lt;&gt; "", $D15 &lt;&gt; ""), $C15+ $D15, "")</f>
        <v/>
      </c>
      <c r="I15" s="20" t="str">
        <f>IF($H15 &lt;&gt; "", $H15 + $E15, "")</f>
        <v/>
      </c>
    </row>
    <row r="16" spans="1:16" x14ac:dyDescent="0.25">
      <c r="B16" s="26"/>
      <c r="C16" s="21"/>
      <c r="D16" s="22"/>
      <c r="E16" s="28"/>
      <c r="G16" s="1" t="str">
        <f t="shared" ref="G16:G43" si="0">IF($B16 &lt;&gt; "", $B16, "")</f>
        <v/>
      </c>
      <c r="H16" s="20" t="str">
        <f t="shared" ref="H16:H43" si="1">IF(AND($C16 &lt;&gt; "", $D16 &lt;&gt; ""), $C16+ $D16, "")</f>
        <v/>
      </c>
      <c r="I16" s="20" t="str">
        <f t="shared" ref="I16:I43" si="2">IF($H16 &lt;&gt; "", $H16 + $E16, "")</f>
        <v/>
      </c>
    </row>
    <row r="17" spans="2:9" x14ac:dyDescent="0.25">
      <c r="B17" s="26"/>
      <c r="C17" s="21"/>
      <c r="D17" s="22"/>
      <c r="E17" s="28"/>
      <c r="G17" s="1" t="str">
        <f t="shared" si="0"/>
        <v/>
      </c>
      <c r="H17" s="20" t="str">
        <f t="shared" si="1"/>
        <v/>
      </c>
      <c r="I17" s="20" t="str">
        <f t="shared" si="2"/>
        <v/>
      </c>
    </row>
    <row r="18" spans="2:9" x14ac:dyDescent="0.25">
      <c r="B18" s="26"/>
      <c r="C18" s="21"/>
      <c r="D18" s="22"/>
      <c r="E18" s="28"/>
      <c r="G18" s="1" t="str">
        <f t="shared" si="0"/>
        <v/>
      </c>
      <c r="H18" s="20" t="str">
        <f t="shared" si="1"/>
        <v/>
      </c>
      <c r="I18" s="20" t="str">
        <f t="shared" si="2"/>
        <v/>
      </c>
    </row>
    <row r="19" spans="2:9" x14ac:dyDescent="0.25">
      <c r="B19" s="26"/>
      <c r="C19" s="21"/>
      <c r="D19" s="22"/>
      <c r="E19" s="28"/>
      <c r="G19" s="1" t="str">
        <f t="shared" si="0"/>
        <v/>
      </c>
      <c r="H19" s="20" t="str">
        <f t="shared" si="1"/>
        <v/>
      </c>
      <c r="I19" s="20" t="str">
        <f t="shared" si="2"/>
        <v/>
      </c>
    </row>
    <row r="20" spans="2:9" x14ac:dyDescent="0.25">
      <c r="B20" s="26"/>
      <c r="C20" s="21"/>
      <c r="D20" s="22"/>
      <c r="E20" s="28"/>
      <c r="G20" s="1" t="str">
        <f t="shared" si="0"/>
        <v/>
      </c>
      <c r="H20" s="20" t="str">
        <f t="shared" si="1"/>
        <v/>
      </c>
      <c r="I20" s="20" t="str">
        <f t="shared" si="2"/>
        <v/>
      </c>
    </row>
    <row r="21" spans="2:9" x14ac:dyDescent="0.25">
      <c r="B21" s="26"/>
      <c r="C21" s="21"/>
      <c r="D21" s="24"/>
      <c r="E21" s="28"/>
      <c r="G21" s="1" t="str">
        <f t="shared" si="0"/>
        <v/>
      </c>
      <c r="H21" s="20" t="str">
        <f t="shared" si="1"/>
        <v/>
      </c>
      <c r="I21" s="20" t="str">
        <f t="shared" si="2"/>
        <v/>
      </c>
    </row>
    <row r="22" spans="2:9" x14ac:dyDescent="0.25">
      <c r="B22" s="26"/>
      <c r="C22" s="21"/>
      <c r="D22" s="22"/>
      <c r="E22" s="28"/>
      <c r="G22" s="1" t="str">
        <f t="shared" si="0"/>
        <v/>
      </c>
      <c r="H22" s="20" t="str">
        <f t="shared" si="1"/>
        <v/>
      </c>
      <c r="I22" s="20" t="str">
        <f t="shared" si="2"/>
        <v/>
      </c>
    </row>
    <row r="23" spans="2:9" x14ac:dyDescent="0.25">
      <c r="B23" s="26"/>
      <c r="C23" s="21"/>
      <c r="D23" s="22"/>
      <c r="E23" s="28"/>
      <c r="G23" s="1" t="str">
        <f t="shared" si="0"/>
        <v/>
      </c>
      <c r="H23" s="20" t="str">
        <f t="shared" si="1"/>
        <v/>
      </c>
      <c r="I23" s="20" t="str">
        <f t="shared" si="2"/>
        <v/>
      </c>
    </row>
    <row r="24" spans="2:9" x14ac:dyDescent="0.25">
      <c r="B24" s="26"/>
      <c r="C24" s="21"/>
      <c r="D24" s="22"/>
      <c r="E24" s="28"/>
      <c r="G24" s="1" t="str">
        <f t="shared" si="0"/>
        <v/>
      </c>
      <c r="H24" s="20" t="str">
        <f t="shared" si="1"/>
        <v/>
      </c>
      <c r="I24" s="20" t="str">
        <f t="shared" si="2"/>
        <v/>
      </c>
    </row>
    <row r="25" spans="2:9" x14ac:dyDescent="0.25">
      <c r="B25" s="26"/>
      <c r="C25" s="21"/>
      <c r="D25" s="22"/>
      <c r="E25" s="28"/>
      <c r="G25" s="1" t="str">
        <f t="shared" si="0"/>
        <v/>
      </c>
      <c r="H25" s="20" t="str">
        <f t="shared" si="1"/>
        <v/>
      </c>
      <c r="I25" s="20" t="str">
        <f t="shared" si="2"/>
        <v/>
      </c>
    </row>
    <row r="26" spans="2:9" x14ac:dyDescent="0.25">
      <c r="B26" s="26"/>
      <c r="C26" s="21"/>
      <c r="D26" s="22"/>
      <c r="E26" s="28"/>
      <c r="G26" s="1" t="str">
        <f t="shared" si="0"/>
        <v/>
      </c>
      <c r="H26" s="20" t="str">
        <f t="shared" si="1"/>
        <v/>
      </c>
      <c r="I26" s="20" t="str">
        <f t="shared" si="2"/>
        <v/>
      </c>
    </row>
    <row r="27" spans="2:9" x14ac:dyDescent="0.25">
      <c r="B27" s="26"/>
      <c r="C27" s="21"/>
      <c r="D27" s="22"/>
      <c r="E27" s="28"/>
      <c r="G27" s="1" t="str">
        <f t="shared" si="0"/>
        <v/>
      </c>
      <c r="H27" s="20" t="str">
        <f t="shared" si="1"/>
        <v/>
      </c>
      <c r="I27" s="20" t="str">
        <f t="shared" si="2"/>
        <v/>
      </c>
    </row>
    <row r="28" spans="2:9" x14ac:dyDescent="0.25">
      <c r="B28" s="26"/>
      <c r="C28" s="21"/>
      <c r="D28" s="22"/>
      <c r="E28" s="28"/>
      <c r="G28" s="1" t="str">
        <f t="shared" si="0"/>
        <v/>
      </c>
      <c r="H28" s="20" t="str">
        <f t="shared" si="1"/>
        <v/>
      </c>
      <c r="I28" s="20" t="str">
        <f t="shared" si="2"/>
        <v/>
      </c>
    </row>
    <row r="29" spans="2:9" x14ac:dyDescent="0.25">
      <c r="B29" s="26"/>
      <c r="C29" s="21"/>
      <c r="D29" s="22"/>
      <c r="E29" s="28"/>
      <c r="G29" s="1" t="str">
        <f t="shared" si="0"/>
        <v/>
      </c>
      <c r="H29" s="20" t="str">
        <f t="shared" si="1"/>
        <v/>
      </c>
      <c r="I29" s="20" t="str">
        <f t="shared" si="2"/>
        <v/>
      </c>
    </row>
    <row r="30" spans="2:9" x14ac:dyDescent="0.25">
      <c r="B30" s="26"/>
      <c r="C30" s="21"/>
      <c r="D30" s="22"/>
      <c r="E30" s="28"/>
      <c r="G30" s="1" t="str">
        <f t="shared" si="0"/>
        <v/>
      </c>
      <c r="H30" s="20" t="str">
        <f t="shared" si="1"/>
        <v/>
      </c>
      <c r="I30" s="20" t="str">
        <f t="shared" si="2"/>
        <v/>
      </c>
    </row>
    <row r="31" spans="2:9" x14ac:dyDescent="0.25">
      <c r="B31" s="26"/>
      <c r="C31" s="21"/>
      <c r="D31" s="22"/>
      <c r="E31" s="28"/>
      <c r="G31" s="1" t="str">
        <f t="shared" si="0"/>
        <v/>
      </c>
      <c r="H31" s="20" t="str">
        <f t="shared" si="1"/>
        <v/>
      </c>
      <c r="I31" s="20" t="str">
        <f t="shared" si="2"/>
        <v/>
      </c>
    </row>
    <row r="32" spans="2:9" x14ac:dyDescent="0.25">
      <c r="B32" s="26"/>
      <c r="C32" s="21"/>
      <c r="D32" s="22"/>
      <c r="E32" s="28"/>
      <c r="G32" s="1" t="str">
        <f t="shared" si="0"/>
        <v/>
      </c>
      <c r="H32" s="20" t="str">
        <f t="shared" si="1"/>
        <v/>
      </c>
      <c r="I32" s="20" t="str">
        <f t="shared" si="2"/>
        <v/>
      </c>
    </row>
    <row r="33" spans="2:9" x14ac:dyDescent="0.25">
      <c r="B33" s="26"/>
      <c r="C33" s="21"/>
      <c r="D33" s="22"/>
      <c r="E33" s="28"/>
      <c r="G33" s="1" t="str">
        <f t="shared" si="0"/>
        <v/>
      </c>
      <c r="H33" s="20" t="str">
        <f t="shared" si="1"/>
        <v/>
      </c>
      <c r="I33" s="20" t="str">
        <f t="shared" si="2"/>
        <v/>
      </c>
    </row>
    <row r="34" spans="2:9" x14ac:dyDescent="0.25">
      <c r="B34" s="26"/>
      <c r="C34" s="21"/>
      <c r="D34" s="22"/>
      <c r="E34" s="28"/>
      <c r="G34" s="1" t="str">
        <f t="shared" si="0"/>
        <v/>
      </c>
      <c r="H34" s="20" t="str">
        <f t="shared" si="1"/>
        <v/>
      </c>
      <c r="I34" s="20" t="str">
        <f t="shared" si="2"/>
        <v/>
      </c>
    </row>
    <row r="35" spans="2:9" x14ac:dyDescent="0.25">
      <c r="B35" s="26"/>
      <c r="C35" s="21"/>
      <c r="D35" s="22"/>
      <c r="E35" s="28"/>
      <c r="G35" s="1" t="str">
        <f t="shared" si="0"/>
        <v/>
      </c>
      <c r="H35" s="20" t="str">
        <f t="shared" si="1"/>
        <v/>
      </c>
      <c r="I35" s="20" t="str">
        <f t="shared" si="2"/>
        <v/>
      </c>
    </row>
    <row r="36" spans="2:9" x14ac:dyDescent="0.25">
      <c r="B36" s="26"/>
      <c r="C36" s="21"/>
      <c r="D36" s="22"/>
      <c r="E36" s="28"/>
      <c r="G36" s="1" t="str">
        <f t="shared" si="0"/>
        <v/>
      </c>
      <c r="H36" s="20" t="str">
        <f t="shared" si="1"/>
        <v/>
      </c>
      <c r="I36" s="20" t="str">
        <f t="shared" si="2"/>
        <v/>
      </c>
    </row>
    <row r="37" spans="2:9" x14ac:dyDescent="0.25">
      <c r="B37" s="26"/>
      <c r="C37" s="21"/>
      <c r="D37" s="24"/>
      <c r="E37" s="28"/>
      <c r="G37" s="1" t="str">
        <f t="shared" si="0"/>
        <v/>
      </c>
      <c r="H37" s="20" t="str">
        <f t="shared" si="1"/>
        <v/>
      </c>
      <c r="I37" s="20" t="str">
        <f t="shared" si="2"/>
        <v/>
      </c>
    </row>
    <row r="38" spans="2:9" x14ac:dyDescent="0.25">
      <c r="B38" s="26"/>
      <c r="C38" s="21"/>
      <c r="D38" s="22"/>
      <c r="E38" s="28"/>
      <c r="G38" s="1" t="str">
        <f t="shared" si="0"/>
        <v/>
      </c>
      <c r="H38" s="20" t="str">
        <f t="shared" si="1"/>
        <v/>
      </c>
      <c r="I38" s="20" t="str">
        <f t="shared" si="2"/>
        <v/>
      </c>
    </row>
    <row r="39" spans="2:9" x14ac:dyDescent="0.25">
      <c r="B39" s="26"/>
      <c r="C39" s="21"/>
      <c r="D39" s="22"/>
      <c r="E39" s="28"/>
      <c r="G39" s="1" t="str">
        <f t="shared" si="0"/>
        <v/>
      </c>
      <c r="H39" s="20" t="str">
        <f t="shared" si="1"/>
        <v/>
      </c>
      <c r="I39" s="20" t="str">
        <f t="shared" si="2"/>
        <v/>
      </c>
    </row>
    <row r="40" spans="2:9" x14ac:dyDescent="0.25">
      <c r="B40" s="26"/>
      <c r="C40" s="21"/>
      <c r="D40" s="22"/>
      <c r="E40" s="28"/>
      <c r="G40" s="1" t="str">
        <f t="shared" si="0"/>
        <v/>
      </c>
      <c r="H40" s="20" t="str">
        <f t="shared" si="1"/>
        <v/>
      </c>
      <c r="I40" s="20" t="str">
        <f t="shared" si="2"/>
        <v/>
      </c>
    </row>
    <row r="41" spans="2:9" x14ac:dyDescent="0.25">
      <c r="B41" s="26"/>
      <c r="C41" s="21"/>
      <c r="D41" s="22"/>
      <c r="E41" s="28"/>
      <c r="G41" s="1" t="str">
        <f t="shared" si="0"/>
        <v/>
      </c>
      <c r="H41" s="20" t="str">
        <f t="shared" si="1"/>
        <v/>
      </c>
      <c r="I41" s="20" t="str">
        <f t="shared" si="2"/>
        <v/>
      </c>
    </row>
    <row r="42" spans="2:9" x14ac:dyDescent="0.25">
      <c r="B42" s="26"/>
      <c r="C42" s="23"/>
      <c r="D42" s="23"/>
      <c r="E42" s="28"/>
      <c r="G42" s="1" t="str">
        <f t="shared" si="0"/>
        <v/>
      </c>
      <c r="H42" s="20" t="str">
        <f t="shared" si="1"/>
        <v/>
      </c>
      <c r="I42" s="20" t="str">
        <f t="shared" si="2"/>
        <v/>
      </c>
    </row>
    <row r="43" spans="2:9" x14ac:dyDescent="0.25">
      <c r="B43" s="26"/>
      <c r="C43" s="23"/>
      <c r="D43" s="23"/>
      <c r="E43" s="28"/>
      <c r="G43" s="1" t="str">
        <f t="shared" si="0"/>
        <v/>
      </c>
      <c r="H43" s="20" t="str">
        <f t="shared" si="1"/>
        <v/>
      </c>
      <c r="I43" s="20" t="str">
        <f t="shared" si="2"/>
        <v/>
      </c>
    </row>
    <row r="44" spans="2:9" x14ac:dyDescent="0.25">
      <c r="B44" s="30"/>
      <c r="C44" s="30"/>
    </row>
    <row r="45" spans="2:9" x14ac:dyDescent="0.25">
      <c r="B45" s="30"/>
      <c r="C45" s="30"/>
    </row>
    <row r="46" spans="2:9" x14ac:dyDescent="0.25">
      <c r="B46" s="30"/>
      <c r="C46" s="30"/>
    </row>
    <row r="47" spans="2:9" x14ac:dyDescent="0.25">
      <c r="B47" s="30"/>
      <c r="C47" s="30"/>
    </row>
    <row r="48" spans="2:9" x14ac:dyDescent="0.25">
      <c r="B48" s="30"/>
      <c r="C48" s="30"/>
    </row>
  </sheetData>
  <mergeCells count="2">
    <mergeCell ref="B12:E12"/>
    <mergeCell ref="G12:I12"/>
  </mergeCells>
  <conditionalFormatting sqref="B4">
    <cfRule type="cellIs" dxfId="56" priority="5" operator="equal">
      <formula>"M0"</formula>
    </cfRule>
  </conditionalFormatting>
  <conditionalFormatting sqref="B6">
    <cfRule type="cellIs" dxfId="55" priority="3" operator="equal">
      <formula>"M0"</formula>
    </cfRule>
  </conditionalFormatting>
  <conditionalFormatting sqref="C4">
    <cfRule type="cellIs" dxfId="54" priority="2" operator="equal">
      <formula>"M0"</formula>
    </cfRule>
  </conditionalFormatting>
  <conditionalFormatting sqref="C6">
    <cfRule type="cellIs" dxfId="53" priority="1" operator="equal">
      <formula>"M0"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text="ON" id="{6761BE77-A51C-4343-8B50-10EA370F75D2}">
            <xm:f>NOT(ISERROR(SEARCH("ON",SCOOP!B4)))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B4:C4 B6:C6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/>
  <dimension ref="A1:P48"/>
  <sheetViews>
    <sheetView showGridLines="0" zoomScale="60" zoomScaleNormal="60" workbookViewId="0">
      <selection activeCell="K23" sqref="K23"/>
    </sheetView>
  </sheetViews>
  <sheetFormatPr baseColWidth="10" defaultRowHeight="15" x14ac:dyDescent="0.25"/>
  <cols>
    <col min="1" max="1" width="10.85546875" customWidth="1"/>
    <col min="2" max="3" width="25.5703125" customWidth="1"/>
    <col min="4" max="5" width="24.5703125" customWidth="1"/>
    <col min="6" max="6" width="6.5703125" customWidth="1"/>
    <col min="7" max="7" width="10.5703125" customWidth="1"/>
    <col min="8" max="8" width="20.5703125" customWidth="1"/>
    <col min="9" max="9" width="26.5703125" customWidth="1"/>
    <col min="10" max="10" width="19.140625" customWidth="1"/>
    <col min="11" max="11" width="17.7109375" customWidth="1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2" t="s">
        <v>0</v>
      </c>
      <c r="C2" s="27">
        <f>PLANNING!C2</f>
        <v>45921</v>
      </c>
      <c r="D2" s="3"/>
      <c r="E2" s="1"/>
      <c r="F2" s="1"/>
      <c r="G2" s="34" t="s">
        <v>27</v>
      </c>
      <c r="H2" s="34" t="s">
        <v>28</v>
      </c>
      <c r="I2" s="34" t="s">
        <v>29</v>
      </c>
      <c r="J2" s="34" t="s">
        <v>65</v>
      </c>
      <c r="K2" s="1"/>
      <c r="L2" s="1"/>
      <c r="M2" s="1"/>
      <c r="N2" s="1"/>
      <c r="O2" s="1"/>
      <c r="P2" s="1"/>
    </row>
    <row r="3" spans="1:16" x14ac:dyDescent="0.25">
      <c r="A3" s="1"/>
      <c r="B3" s="1"/>
      <c r="C3" s="1"/>
      <c r="D3" s="1"/>
      <c r="E3" s="1"/>
      <c r="F3" s="1"/>
      <c r="G3" s="35" t="s">
        <v>6</v>
      </c>
      <c r="H3" s="35" t="s">
        <v>31</v>
      </c>
      <c r="I3" s="35">
        <v>0</v>
      </c>
      <c r="J3" s="35"/>
      <c r="K3" s="1"/>
      <c r="L3" s="1"/>
      <c r="M3" s="1"/>
      <c r="N3" s="1"/>
      <c r="O3" s="1"/>
      <c r="P3" s="1"/>
    </row>
    <row r="4" spans="1:16" x14ac:dyDescent="0.25">
      <c r="A4" s="1"/>
      <c r="B4" s="2" t="s">
        <v>7</v>
      </c>
      <c r="C4" s="27">
        <f>PLANNING!C4</f>
        <v>45927</v>
      </c>
      <c r="D4" s="2"/>
      <c r="E4" s="1"/>
      <c r="F4" s="1"/>
      <c r="G4" s="35" t="s">
        <v>4</v>
      </c>
      <c r="H4" s="35" t="s">
        <v>33</v>
      </c>
      <c r="I4" s="35">
        <v>0.1</v>
      </c>
      <c r="J4" s="35"/>
      <c r="K4" s="1"/>
      <c r="L4" s="1"/>
      <c r="M4" s="1"/>
      <c r="N4" s="1"/>
      <c r="O4" s="1"/>
      <c r="P4" s="1"/>
    </row>
    <row r="5" spans="1:16" x14ac:dyDescent="0.25">
      <c r="A5" s="1"/>
      <c r="B5" s="1"/>
      <c r="C5" s="1"/>
      <c r="D5" s="16"/>
      <c r="E5" s="1"/>
      <c r="F5" s="1"/>
      <c r="G5" s="35" t="s">
        <v>12</v>
      </c>
      <c r="H5" s="35" t="s">
        <v>51</v>
      </c>
      <c r="I5" s="35">
        <v>0.17</v>
      </c>
      <c r="J5" s="35"/>
      <c r="K5" s="1"/>
      <c r="L5" s="1"/>
      <c r="M5" s="1"/>
      <c r="N5" s="1"/>
      <c r="O5" s="1"/>
      <c r="P5" s="1"/>
    </row>
    <row r="6" spans="1:16" x14ac:dyDescent="0.25">
      <c r="A6" s="1"/>
      <c r="B6" s="2" t="s">
        <v>8</v>
      </c>
      <c r="C6" s="2" t="str">
        <f>TEXT(C4-C2+1,"j"" jours""")</f>
        <v>7 jours</v>
      </c>
      <c r="D6" s="16"/>
      <c r="E6" s="1"/>
      <c r="F6" s="1"/>
      <c r="G6" s="35"/>
      <c r="H6" s="35"/>
      <c r="I6" s="35"/>
      <c r="J6" s="35"/>
      <c r="K6" s="1"/>
      <c r="L6" s="1"/>
      <c r="M6" s="1"/>
      <c r="N6" s="1"/>
      <c r="O6" s="1"/>
      <c r="P6" s="1"/>
    </row>
    <row r="7" spans="1:16" x14ac:dyDescent="0.25">
      <c r="A7" s="1"/>
      <c r="B7" s="1"/>
      <c r="C7" s="1"/>
      <c r="D7" s="1"/>
      <c r="E7" s="1"/>
      <c r="F7" s="1"/>
      <c r="G7" s="35"/>
      <c r="H7" s="35"/>
      <c r="I7" s="35"/>
      <c r="J7" s="35"/>
      <c r="K7" s="1"/>
      <c r="L7" s="1"/>
      <c r="M7" s="1"/>
      <c r="N7" s="1"/>
      <c r="O7" s="1"/>
      <c r="P7" s="1"/>
    </row>
    <row r="8" spans="1:16" x14ac:dyDescent="0.25">
      <c r="A8" s="1"/>
      <c r="B8" s="2" t="s">
        <v>37</v>
      </c>
      <c r="C8" s="2">
        <f>COUNTA(B15:B43)</f>
        <v>6</v>
      </c>
      <c r="D8" s="1"/>
      <c r="E8" s="1"/>
      <c r="F8" s="1"/>
      <c r="G8" s="35"/>
      <c r="H8" s="35"/>
      <c r="I8" s="35"/>
      <c r="J8" s="35"/>
      <c r="K8" s="1"/>
      <c r="L8" s="1"/>
      <c r="M8" s="1"/>
      <c r="N8" s="1"/>
      <c r="O8" s="1"/>
      <c r="P8" s="1"/>
    </row>
    <row r="9" spans="1:1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B10" s="7"/>
      <c r="C10" s="7"/>
    </row>
    <row r="11" spans="1:16" x14ac:dyDescent="0.25">
      <c r="B11" s="7"/>
      <c r="C11" s="7"/>
    </row>
    <row r="12" spans="1:16" x14ac:dyDescent="0.25">
      <c r="B12" s="45" t="s">
        <v>39</v>
      </c>
      <c r="C12" s="45"/>
      <c r="D12" s="45"/>
      <c r="E12" s="45"/>
      <c r="G12" s="46" t="s">
        <v>38</v>
      </c>
      <c r="H12" s="46"/>
      <c r="I12" s="46"/>
    </row>
    <row r="14" spans="1:16" x14ac:dyDescent="0.25">
      <c r="B14" s="25" t="s">
        <v>40</v>
      </c>
      <c r="C14" s="25" t="s">
        <v>22</v>
      </c>
      <c r="D14" s="25" t="s">
        <v>23</v>
      </c>
      <c r="E14" s="25" t="s">
        <v>25</v>
      </c>
      <c r="G14" s="31" t="s">
        <v>40</v>
      </c>
      <c r="H14" s="2" t="s">
        <v>20</v>
      </c>
      <c r="I14" s="2" t="s">
        <v>21</v>
      </c>
    </row>
    <row r="15" spans="1:16" ht="15.75" x14ac:dyDescent="0.25">
      <c r="B15" s="26" t="s">
        <v>12</v>
      </c>
      <c r="C15" s="44">
        <v>45921</v>
      </c>
      <c r="D15" s="22">
        <v>0.58333333333333337</v>
      </c>
      <c r="E15" s="28">
        <v>1.3888888888888888E-2</v>
      </c>
      <c r="G15" s="1" t="str">
        <f>IF($B15 &lt;&gt; "", $B15, "")</f>
        <v>M2</v>
      </c>
      <c r="H15" s="20">
        <f>IF(AND($C15 &lt;&gt; "", $D15 &lt;&gt; ""), $C15+ $D15, "")</f>
        <v>45921.583333333336</v>
      </c>
      <c r="I15" s="20">
        <f>IF($H15 &lt;&gt; "", $H15 + $E15, "")</f>
        <v>45921.597222222226</v>
      </c>
    </row>
    <row r="16" spans="1:16" ht="15.75" x14ac:dyDescent="0.25">
      <c r="B16" s="26" t="s">
        <v>12</v>
      </c>
      <c r="C16" s="44">
        <v>45922</v>
      </c>
      <c r="D16" s="22">
        <v>0.58333333333333337</v>
      </c>
      <c r="E16" s="28">
        <v>1.3888888888888888E-2</v>
      </c>
      <c r="G16" s="1" t="str">
        <f>IF($B16 &lt;&gt; "", $B16, "")</f>
        <v>M2</v>
      </c>
      <c r="H16" s="20">
        <f>IF(AND($C16 &lt;&gt; "", $D16 &lt;&gt; ""), $C16+ $D16, "")</f>
        <v>45922.583333333336</v>
      </c>
      <c r="I16" s="20">
        <f>IF($H16 &lt;&gt; "", $H16 + $E16, "")</f>
        <v>45922.597222222226</v>
      </c>
    </row>
    <row r="17" spans="2:9" ht="15.75" x14ac:dyDescent="0.25">
      <c r="B17" s="26" t="s">
        <v>12</v>
      </c>
      <c r="C17" s="44">
        <v>45923</v>
      </c>
      <c r="D17" s="22">
        <v>0.58333333333333337</v>
      </c>
      <c r="E17" s="28">
        <v>1.3888888888888888E-2</v>
      </c>
      <c r="G17" s="1" t="str">
        <f>IF($B17 &lt;&gt; "", $B17, "")</f>
        <v>M2</v>
      </c>
      <c r="H17" s="20">
        <f>IF(AND($C17 &lt;&gt; "", $D17 &lt;&gt; ""), $C17+ $D17, "")</f>
        <v>45923.583333333336</v>
      </c>
      <c r="I17" s="20">
        <f>IF($H17 &lt;&gt; "", $H17 + $E17, "")</f>
        <v>45923.597222222226</v>
      </c>
    </row>
    <row r="18" spans="2:9" ht="15.75" x14ac:dyDescent="0.25">
      <c r="B18" s="26" t="s">
        <v>12</v>
      </c>
      <c r="C18" s="44">
        <v>45925</v>
      </c>
      <c r="D18" s="22">
        <v>0.58333333333333337</v>
      </c>
      <c r="E18" s="28">
        <v>1.3888888888888888E-2</v>
      </c>
      <c r="G18" s="1" t="str">
        <f t="shared" ref="G18:G43" si="0">IF($B18 &lt;&gt; "", $B18, "")</f>
        <v>M2</v>
      </c>
      <c r="H18" s="20">
        <f t="shared" ref="H18:H43" si="1">IF(AND($C18 &lt;&gt; "", $D18 &lt;&gt; ""), $C18+ $D18, "")</f>
        <v>45925.583333333336</v>
      </c>
      <c r="I18" s="20">
        <f t="shared" ref="I18:I43" si="2">IF($H18 &lt;&gt; "", $H18 + $E18, "")</f>
        <v>45925.597222222226</v>
      </c>
    </row>
    <row r="19" spans="2:9" ht="15.75" x14ac:dyDescent="0.25">
      <c r="B19" s="26" t="s">
        <v>12</v>
      </c>
      <c r="C19" s="44">
        <v>45926</v>
      </c>
      <c r="D19" s="22">
        <v>0.58333333333333337</v>
      </c>
      <c r="E19" s="28">
        <v>1.3888888888888888E-2</v>
      </c>
      <c r="G19" s="1" t="str">
        <f t="shared" si="0"/>
        <v>M2</v>
      </c>
      <c r="H19" s="20">
        <f t="shared" si="1"/>
        <v>45926.583333333336</v>
      </c>
      <c r="I19" s="20">
        <f t="shared" si="2"/>
        <v>45926.597222222226</v>
      </c>
    </row>
    <row r="20" spans="2:9" ht="15.75" x14ac:dyDescent="0.25">
      <c r="B20" s="26" t="s">
        <v>12</v>
      </c>
      <c r="C20" s="44">
        <v>45927</v>
      </c>
      <c r="D20" s="22">
        <v>0.58333333333333337</v>
      </c>
      <c r="E20" s="28">
        <v>1.3888888888888888E-2</v>
      </c>
      <c r="G20" s="1" t="str">
        <f t="shared" si="0"/>
        <v>M2</v>
      </c>
      <c r="H20" s="20">
        <f t="shared" si="1"/>
        <v>45927.583333333336</v>
      </c>
      <c r="I20" s="20">
        <f t="shared" si="2"/>
        <v>45927.597222222226</v>
      </c>
    </row>
    <row r="21" spans="2:9" ht="15.75" x14ac:dyDescent="0.25">
      <c r="B21" s="26"/>
      <c r="C21" s="44"/>
      <c r="D21" s="22"/>
      <c r="E21" s="28"/>
      <c r="G21" s="1" t="str">
        <f t="shared" si="0"/>
        <v/>
      </c>
      <c r="H21" s="20" t="str">
        <f t="shared" si="1"/>
        <v/>
      </c>
      <c r="I21" s="20" t="str">
        <f t="shared" si="2"/>
        <v/>
      </c>
    </row>
    <row r="22" spans="2:9" ht="15.75" x14ac:dyDescent="0.25">
      <c r="B22" s="26"/>
      <c r="C22" s="44"/>
      <c r="D22" s="22"/>
      <c r="E22" s="28"/>
      <c r="G22" s="1" t="str">
        <f t="shared" si="0"/>
        <v/>
      </c>
      <c r="H22" s="20" t="str">
        <f t="shared" si="1"/>
        <v/>
      </c>
      <c r="I22" s="20" t="str">
        <f t="shared" si="2"/>
        <v/>
      </c>
    </row>
    <row r="23" spans="2:9" ht="15.75" x14ac:dyDescent="0.25">
      <c r="B23" s="26"/>
      <c r="C23" s="44"/>
      <c r="D23" s="22"/>
      <c r="E23" s="28"/>
      <c r="G23" s="1" t="str">
        <f t="shared" si="0"/>
        <v/>
      </c>
      <c r="H23" s="20" t="str">
        <f t="shared" si="1"/>
        <v/>
      </c>
      <c r="I23" s="20" t="str">
        <f t="shared" si="2"/>
        <v/>
      </c>
    </row>
    <row r="24" spans="2:9" ht="15.75" x14ac:dyDescent="0.25">
      <c r="B24" s="26"/>
      <c r="C24" s="44"/>
      <c r="D24" s="22"/>
      <c r="E24" s="28"/>
      <c r="G24" s="1" t="str">
        <f t="shared" si="0"/>
        <v/>
      </c>
      <c r="H24" s="20" t="str">
        <f t="shared" si="1"/>
        <v/>
      </c>
      <c r="I24" s="20" t="str">
        <f t="shared" si="2"/>
        <v/>
      </c>
    </row>
    <row r="25" spans="2:9" ht="15.75" x14ac:dyDescent="0.25">
      <c r="B25" s="26"/>
      <c r="C25" s="44"/>
      <c r="D25" s="22"/>
      <c r="E25" s="28"/>
      <c r="G25" s="1" t="str">
        <f t="shared" si="0"/>
        <v/>
      </c>
      <c r="H25" s="20" t="str">
        <f t="shared" si="1"/>
        <v/>
      </c>
      <c r="I25" s="20" t="str">
        <f t="shared" si="2"/>
        <v/>
      </c>
    </row>
    <row r="26" spans="2:9" ht="15.75" x14ac:dyDescent="0.25">
      <c r="B26" s="26"/>
      <c r="C26" s="44"/>
      <c r="D26" s="22"/>
      <c r="E26" s="28"/>
      <c r="G26" s="1" t="str">
        <f t="shared" si="0"/>
        <v/>
      </c>
      <c r="H26" s="20" t="str">
        <f t="shared" si="1"/>
        <v/>
      </c>
      <c r="I26" s="20" t="str">
        <f t="shared" si="2"/>
        <v/>
      </c>
    </row>
    <row r="27" spans="2:9" ht="15.75" x14ac:dyDescent="0.25">
      <c r="B27" s="26"/>
      <c r="C27" s="44"/>
      <c r="D27" s="22"/>
      <c r="E27" s="28"/>
      <c r="G27" s="1" t="str">
        <f t="shared" si="0"/>
        <v/>
      </c>
      <c r="H27" s="20" t="str">
        <f t="shared" si="1"/>
        <v/>
      </c>
      <c r="I27" s="20" t="str">
        <f t="shared" si="2"/>
        <v/>
      </c>
    </row>
    <row r="28" spans="2:9" ht="15.75" x14ac:dyDescent="0.25">
      <c r="B28" s="26"/>
      <c r="C28" s="44"/>
      <c r="D28" s="22"/>
      <c r="E28" s="28"/>
      <c r="G28" s="1" t="str">
        <f t="shared" si="0"/>
        <v/>
      </c>
      <c r="H28" s="20" t="str">
        <f t="shared" si="1"/>
        <v/>
      </c>
      <c r="I28" s="20" t="str">
        <f t="shared" si="2"/>
        <v/>
      </c>
    </row>
    <row r="29" spans="2:9" x14ac:dyDescent="0.25">
      <c r="B29" s="26"/>
      <c r="C29" s="21"/>
      <c r="D29" s="22"/>
      <c r="E29" s="28"/>
      <c r="G29" s="1" t="str">
        <f t="shared" si="0"/>
        <v/>
      </c>
      <c r="H29" s="20" t="str">
        <f t="shared" si="1"/>
        <v/>
      </c>
      <c r="I29" s="20" t="str">
        <f t="shared" si="2"/>
        <v/>
      </c>
    </row>
    <row r="30" spans="2:9" x14ac:dyDescent="0.25">
      <c r="B30" s="26"/>
      <c r="C30" s="21"/>
      <c r="D30" s="22"/>
      <c r="E30" s="28"/>
      <c r="G30" s="1" t="str">
        <f t="shared" si="0"/>
        <v/>
      </c>
      <c r="H30" s="20" t="str">
        <f t="shared" si="1"/>
        <v/>
      </c>
      <c r="I30" s="20" t="str">
        <f t="shared" si="2"/>
        <v/>
      </c>
    </row>
    <row r="31" spans="2:9" x14ac:dyDescent="0.25">
      <c r="B31" s="26"/>
      <c r="C31" s="21"/>
      <c r="D31" s="22"/>
      <c r="E31" s="28"/>
      <c r="G31" s="1" t="str">
        <f t="shared" si="0"/>
        <v/>
      </c>
      <c r="H31" s="20" t="str">
        <f t="shared" si="1"/>
        <v/>
      </c>
      <c r="I31" s="20" t="str">
        <f t="shared" si="2"/>
        <v/>
      </c>
    </row>
    <row r="32" spans="2:9" x14ac:dyDescent="0.25">
      <c r="B32" s="26"/>
      <c r="C32" s="21"/>
      <c r="D32" s="22"/>
      <c r="E32" s="28"/>
      <c r="G32" s="1" t="str">
        <f t="shared" si="0"/>
        <v/>
      </c>
      <c r="H32" s="20" t="str">
        <f t="shared" si="1"/>
        <v/>
      </c>
      <c r="I32" s="20" t="str">
        <f t="shared" si="2"/>
        <v/>
      </c>
    </row>
    <row r="33" spans="2:9" x14ac:dyDescent="0.25">
      <c r="B33" s="26"/>
      <c r="C33" s="21"/>
      <c r="D33" s="22"/>
      <c r="E33" s="28"/>
      <c r="G33" s="1" t="str">
        <f t="shared" si="0"/>
        <v/>
      </c>
      <c r="H33" s="20" t="str">
        <f t="shared" si="1"/>
        <v/>
      </c>
      <c r="I33" s="20" t="str">
        <f t="shared" si="2"/>
        <v/>
      </c>
    </row>
    <row r="34" spans="2:9" x14ac:dyDescent="0.25">
      <c r="B34" s="26"/>
      <c r="C34" s="21"/>
      <c r="D34" s="22"/>
      <c r="E34" s="28"/>
      <c r="G34" s="1" t="str">
        <f t="shared" si="0"/>
        <v/>
      </c>
      <c r="H34" s="20" t="str">
        <f t="shared" si="1"/>
        <v/>
      </c>
      <c r="I34" s="20" t="str">
        <f t="shared" si="2"/>
        <v/>
      </c>
    </row>
    <row r="35" spans="2:9" x14ac:dyDescent="0.25">
      <c r="B35" s="26"/>
      <c r="C35" s="21"/>
      <c r="D35" s="22"/>
      <c r="E35" s="28"/>
      <c r="G35" s="1" t="str">
        <f t="shared" si="0"/>
        <v/>
      </c>
      <c r="H35" s="20" t="str">
        <f t="shared" si="1"/>
        <v/>
      </c>
      <c r="I35" s="20" t="str">
        <f t="shared" si="2"/>
        <v/>
      </c>
    </row>
    <row r="36" spans="2:9" x14ac:dyDescent="0.25">
      <c r="B36" s="26"/>
      <c r="C36" s="21"/>
      <c r="D36" s="22"/>
      <c r="E36" s="28"/>
      <c r="G36" s="1" t="str">
        <f t="shared" si="0"/>
        <v/>
      </c>
      <c r="H36" s="20" t="str">
        <f t="shared" si="1"/>
        <v/>
      </c>
      <c r="I36" s="20" t="str">
        <f t="shared" si="2"/>
        <v/>
      </c>
    </row>
    <row r="37" spans="2:9" x14ac:dyDescent="0.25">
      <c r="B37" s="26"/>
      <c r="C37" s="21"/>
      <c r="D37" s="24"/>
      <c r="E37" s="28"/>
      <c r="G37" s="1" t="str">
        <f t="shared" si="0"/>
        <v/>
      </c>
      <c r="H37" s="20" t="str">
        <f t="shared" si="1"/>
        <v/>
      </c>
      <c r="I37" s="20" t="str">
        <f t="shared" si="2"/>
        <v/>
      </c>
    </row>
    <row r="38" spans="2:9" x14ac:dyDescent="0.25">
      <c r="B38" s="26"/>
      <c r="C38" s="21"/>
      <c r="D38" s="22"/>
      <c r="E38" s="28"/>
      <c r="G38" s="1" t="str">
        <f t="shared" si="0"/>
        <v/>
      </c>
      <c r="H38" s="20" t="str">
        <f t="shared" si="1"/>
        <v/>
      </c>
      <c r="I38" s="20" t="str">
        <f t="shared" si="2"/>
        <v/>
      </c>
    </row>
    <row r="39" spans="2:9" x14ac:dyDescent="0.25">
      <c r="B39" s="26"/>
      <c r="C39" s="21"/>
      <c r="D39" s="22"/>
      <c r="E39" s="28"/>
      <c r="G39" s="1" t="str">
        <f t="shared" si="0"/>
        <v/>
      </c>
      <c r="H39" s="20" t="str">
        <f t="shared" si="1"/>
        <v/>
      </c>
      <c r="I39" s="20" t="str">
        <f t="shared" si="2"/>
        <v/>
      </c>
    </row>
    <row r="40" spans="2:9" x14ac:dyDescent="0.25">
      <c r="B40" s="26"/>
      <c r="C40" s="21"/>
      <c r="D40" s="22"/>
      <c r="E40" s="28"/>
      <c r="G40" s="1" t="str">
        <f t="shared" si="0"/>
        <v/>
      </c>
      <c r="H40" s="20" t="str">
        <f t="shared" si="1"/>
        <v/>
      </c>
      <c r="I40" s="20" t="str">
        <f t="shared" si="2"/>
        <v/>
      </c>
    </row>
    <row r="41" spans="2:9" x14ac:dyDescent="0.25">
      <c r="B41" s="26"/>
      <c r="C41" s="21"/>
      <c r="D41" s="22"/>
      <c r="E41" s="28"/>
      <c r="G41" s="1" t="str">
        <f t="shared" si="0"/>
        <v/>
      </c>
      <c r="H41" s="20" t="str">
        <f t="shared" si="1"/>
        <v/>
      </c>
      <c r="I41" s="20" t="str">
        <f t="shared" si="2"/>
        <v/>
      </c>
    </row>
    <row r="42" spans="2:9" x14ac:dyDescent="0.25">
      <c r="B42" s="26"/>
      <c r="C42" s="23"/>
      <c r="D42" s="23"/>
      <c r="E42" s="28"/>
      <c r="G42" s="1" t="str">
        <f t="shared" si="0"/>
        <v/>
      </c>
      <c r="H42" s="20" t="str">
        <f t="shared" si="1"/>
        <v/>
      </c>
      <c r="I42" s="20" t="str">
        <f t="shared" si="2"/>
        <v/>
      </c>
    </row>
    <row r="43" spans="2:9" x14ac:dyDescent="0.25">
      <c r="B43" s="26"/>
      <c r="C43" s="23"/>
      <c r="D43" s="23"/>
      <c r="E43" s="28"/>
      <c r="G43" s="1" t="str">
        <f t="shared" si="0"/>
        <v/>
      </c>
      <c r="H43" s="20" t="str">
        <f t="shared" si="1"/>
        <v/>
      </c>
      <c r="I43" s="20" t="str">
        <f t="shared" si="2"/>
        <v/>
      </c>
    </row>
    <row r="44" spans="2:9" x14ac:dyDescent="0.25">
      <c r="B44" s="30"/>
      <c r="C44" s="30"/>
    </row>
    <row r="45" spans="2:9" x14ac:dyDescent="0.25">
      <c r="B45" s="30"/>
      <c r="C45" s="30"/>
    </row>
    <row r="46" spans="2:9" x14ac:dyDescent="0.25">
      <c r="B46" s="30"/>
      <c r="C46" s="30"/>
    </row>
    <row r="47" spans="2:9" x14ac:dyDescent="0.25">
      <c r="B47" s="30"/>
      <c r="C47" s="30"/>
    </row>
    <row r="48" spans="2:9" x14ac:dyDescent="0.25">
      <c r="B48" s="30"/>
      <c r="C48" s="30"/>
    </row>
  </sheetData>
  <mergeCells count="2">
    <mergeCell ref="B12:E12"/>
    <mergeCell ref="G12:I12"/>
  </mergeCells>
  <phoneticPr fontId="25" type="noConversion"/>
  <conditionalFormatting sqref="B4">
    <cfRule type="cellIs" dxfId="51" priority="5" operator="equal">
      <formula>"M0"</formula>
    </cfRule>
  </conditionalFormatting>
  <conditionalFormatting sqref="B6">
    <cfRule type="cellIs" dxfId="50" priority="3" operator="equal">
      <formula>"M0"</formula>
    </cfRule>
  </conditionalFormatting>
  <conditionalFormatting sqref="C4">
    <cfRule type="cellIs" dxfId="49" priority="2" operator="equal">
      <formula>"M0"</formula>
    </cfRule>
  </conditionalFormatting>
  <conditionalFormatting sqref="C6">
    <cfRule type="cellIs" dxfId="48" priority="1" operator="equal">
      <formula>"M0"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text="ON" id="{F7D9594C-C9CC-4601-9092-738136C26990}">
            <xm:f>NOT(ISERROR(SEARCH("ON",SCOOP!B4)))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B4:C4 B6:C6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0"/>
  <dimension ref="A1:P48"/>
  <sheetViews>
    <sheetView showGridLines="0" zoomScale="60" zoomScaleNormal="60" workbookViewId="0">
      <selection activeCell="K14" sqref="K14"/>
    </sheetView>
  </sheetViews>
  <sheetFormatPr baseColWidth="10" defaultRowHeight="15" x14ac:dyDescent="0.25"/>
  <cols>
    <col min="1" max="1" width="10.85546875" customWidth="1"/>
    <col min="2" max="3" width="25.5703125" customWidth="1"/>
    <col min="4" max="5" width="24.5703125" customWidth="1"/>
    <col min="6" max="6" width="6.5703125" customWidth="1"/>
    <col min="7" max="7" width="10.5703125" customWidth="1"/>
    <col min="8" max="8" width="20.5703125" customWidth="1"/>
    <col min="9" max="9" width="26.5703125" customWidth="1"/>
    <col min="10" max="10" width="19.140625" customWidth="1"/>
    <col min="11" max="11" width="17.7109375" customWidth="1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2" t="s">
        <v>0</v>
      </c>
      <c r="C2" s="27">
        <f>PLANNING!C2</f>
        <v>45921</v>
      </c>
      <c r="D2" s="3"/>
      <c r="E2" s="1"/>
      <c r="F2" s="1"/>
      <c r="G2" s="34" t="s">
        <v>27</v>
      </c>
      <c r="H2" s="34" t="s">
        <v>28</v>
      </c>
      <c r="I2" s="34"/>
      <c r="J2" s="34"/>
      <c r="K2" s="1"/>
      <c r="L2" s="1"/>
      <c r="M2" s="1"/>
      <c r="N2" s="1"/>
      <c r="O2" s="1"/>
      <c r="P2" s="1"/>
    </row>
    <row r="3" spans="1:16" x14ac:dyDescent="0.25">
      <c r="A3" s="1"/>
      <c r="B3" s="1"/>
      <c r="C3" s="1"/>
      <c r="D3" s="1"/>
      <c r="E3" s="1"/>
      <c r="F3" s="1"/>
      <c r="G3" s="35" t="s">
        <v>6</v>
      </c>
      <c r="H3" s="35" t="s">
        <v>31</v>
      </c>
      <c r="I3" s="35"/>
      <c r="J3" s="35"/>
      <c r="K3" s="1"/>
      <c r="L3" s="1"/>
      <c r="M3" s="1"/>
      <c r="N3" s="1"/>
      <c r="O3" s="1"/>
      <c r="P3" s="1"/>
    </row>
    <row r="4" spans="1:16" x14ac:dyDescent="0.25">
      <c r="A4" s="1"/>
      <c r="B4" s="2" t="s">
        <v>7</v>
      </c>
      <c r="C4" s="27">
        <f>PLANNING!C4</f>
        <v>45927</v>
      </c>
      <c r="D4" s="2"/>
      <c r="E4" s="1"/>
      <c r="F4" s="1"/>
      <c r="G4" s="35" t="s">
        <v>4</v>
      </c>
      <c r="H4" s="35" t="s">
        <v>52</v>
      </c>
      <c r="I4" s="35"/>
      <c r="J4" s="35"/>
      <c r="K4" s="1"/>
      <c r="L4" s="1"/>
      <c r="M4" s="1"/>
      <c r="N4" s="1"/>
      <c r="O4" s="1"/>
      <c r="P4" s="1"/>
    </row>
    <row r="5" spans="1:16" x14ac:dyDescent="0.25">
      <c r="A5" s="1"/>
      <c r="B5" s="1"/>
      <c r="C5" s="1"/>
      <c r="D5" s="16"/>
      <c r="E5" s="1"/>
      <c r="F5" s="1"/>
      <c r="G5" s="35" t="s">
        <v>12</v>
      </c>
      <c r="H5" s="35" t="s">
        <v>55</v>
      </c>
      <c r="I5" s="35"/>
      <c r="J5" s="35"/>
      <c r="K5" s="1"/>
      <c r="L5" s="1"/>
      <c r="M5" s="1"/>
      <c r="N5" s="1"/>
      <c r="O5" s="1"/>
      <c r="P5" s="1"/>
    </row>
    <row r="6" spans="1:16" x14ac:dyDescent="0.25">
      <c r="A6" s="1"/>
      <c r="B6" s="2" t="s">
        <v>8</v>
      </c>
      <c r="C6" s="2" t="str">
        <f>TEXT(C4-C2+1,"j"" jours""")</f>
        <v>7 jours</v>
      </c>
      <c r="D6" s="16"/>
      <c r="E6" s="1"/>
      <c r="F6" s="1"/>
      <c r="G6" s="35" t="s">
        <v>13</v>
      </c>
      <c r="H6" s="35" t="s">
        <v>54</v>
      </c>
      <c r="I6" s="35"/>
      <c r="J6" s="35"/>
      <c r="K6" s="1"/>
      <c r="L6" s="1"/>
      <c r="M6" s="1"/>
      <c r="N6" s="1"/>
      <c r="O6" s="1"/>
      <c r="P6" s="1"/>
    </row>
    <row r="7" spans="1:16" x14ac:dyDescent="0.25">
      <c r="A7" s="1"/>
      <c r="B7" s="1"/>
      <c r="C7" s="1"/>
      <c r="D7" s="1"/>
      <c r="E7" s="1"/>
      <c r="F7" s="1"/>
      <c r="G7" s="35" t="s">
        <v>14</v>
      </c>
      <c r="H7" s="35" t="s">
        <v>53</v>
      </c>
      <c r="I7" s="35"/>
      <c r="J7" s="35"/>
      <c r="K7" s="1"/>
      <c r="L7" s="1"/>
      <c r="M7" s="1"/>
      <c r="N7" s="1"/>
      <c r="O7" s="1"/>
      <c r="P7" s="1"/>
    </row>
    <row r="8" spans="1:16" x14ac:dyDescent="0.25">
      <c r="A8" s="1"/>
      <c r="B8" s="2" t="s">
        <v>37</v>
      </c>
      <c r="C8" s="2">
        <f>COUNTA(B15:B43)</f>
        <v>1</v>
      </c>
      <c r="D8" s="1"/>
      <c r="E8" s="1"/>
      <c r="F8" s="1"/>
      <c r="G8" s="35"/>
      <c r="H8" s="35"/>
      <c r="I8" s="35"/>
      <c r="J8" s="35"/>
      <c r="K8" s="1"/>
      <c r="L8" s="1"/>
      <c r="M8" s="1"/>
      <c r="N8" s="1"/>
      <c r="O8" s="1"/>
      <c r="P8" s="1"/>
    </row>
    <row r="9" spans="1:1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B10" s="7"/>
      <c r="C10" s="7"/>
    </row>
    <row r="11" spans="1:16" x14ac:dyDescent="0.25">
      <c r="B11" s="7"/>
      <c r="C11" s="7"/>
    </row>
    <row r="12" spans="1:16" x14ac:dyDescent="0.25">
      <c r="B12" s="45" t="s">
        <v>39</v>
      </c>
      <c r="C12" s="45"/>
      <c r="D12" s="45"/>
      <c r="E12" s="45"/>
      <c r="G12" s="46" t="s">
        <v>38</v>
      </c>
      <c r="H12" s="46"/>
      <c r="I12" s="46"/>
    </row>
    <row r="14" spans="1:16" x14ac:dyDescent="0.25">
      <c r="B14" s="25" t="s">
        <v>40</v>
      </c>
      <c r="C14" s="25" t="s">
        <v>22</v>
      </c>
      <c r="D14" s="25" t="s">
        <v>23</v>
      </c>
      <c r="E14" s="25" t="s">
        <v>25</v>
      </c>
      <c r="G14" s="31" t="s">
        <v>40</v>
      </c>
      <c r="H14" s="2" t="s">
        <v>20</v>
      </c>
      <c r="I14" s="2" t="s">
        <v>21</v>
      </c>
    </row>
    <row r="15" spans="1:16" x14ac:dyDescent="0.25">
      <c r="B15" s="26" t="s">
        <v>4</v>
      </c>
      <c r="C15" s="21">
        <v>46059</v>
      </c>
      <c r="D15" s="22">
        <v>4.1666666666666664E-2</v>
      </c>
      <c r="E15" s="28">
        <v>1.3888888888888888E-2</v>
      </c>
      <c r="G15" s="1" t="str">
        <f>IF($B15 &lt;&gt; "", $B15, "")</f>
        <v>M1</v>
      </c>
      <c r="H15" s="20">
        <f>IF(AND($C15 &lt;&gt; "", $D15 &lt;&gt; ""), $C15+ $D15, "")</f>
        <v>46059.041666666664</v>
      </c>
      <c r="I15" s="20">
        <f>IF($H15 &lt;&gt; "", $H15 + $E15, "")</f>
        <v>46059.055555555555</v>
      </c>
    </row>
    <row r="16" spans="1:16" x14ac:dyDescent="0.25">
      <c r="B16" s="26"/>
      <c r="C16" s="21"/>
      <c r="D16" s="22"/>
      <c r="E16" s="28"/>
      <c r="G16" s="1" t="str">
        <f t="shared" ref="G16:G43" si="0">IF($B16 &lt;&gt; "", $B16, "")</f>
        <v/>
      </c>
      <c r="H16" s="20" t="str">
        <f t="shared" ref="H16:H43" si="1">IF(AND($C16 &lt;&gt; "", $D16 &lt;&gt; ""), $C16+ $D16, "")</f>
        <v/>
      </c>
      <c r="I16" s="20" t="str">
        <f t="shared" ref="I16:I43" si="2">IF($H16 &lt;&gt; "", $H16 + $E16, "")</f>
        <v/>
      </c>
    </row>
    <row r="17" spans="2:9" x14ac:dyDescent="0.25">
      <c r="B17" s="26"/>
      <c r="C17" s="21"/>
      <c r="D17" s="22"/>
      <c r="E17" s="28"/>
      <c r="G17" s="1" t="str">
        <f t="shared" si="0"/>
        <v/>
      </c>
      <c r="H17" s="20" t="str">
        <f t="shared" si="1"/>
        <v/>
      </c>
      <c r="I17" s="20" t="str">
        <f t="shared" si="2"/>
        <v/>
      </c>
    </row>
    <row r="18" spans="2:9" x14ac:dyDescent="0.25">
      <c r="B18" s="26"/>
      <c r="C18" s="21"/>
      <c r="D18" s="22"/>
      <c r="E18" s="28"/>
      <c r="G18" s="1" t="str">
        <f t="shared" si="0"/>
        <v/>
      </c>
      <c r="H18" s="20" t="str">
        <f t="shared" si="1"/>
        <v/>
      </c>
      <c r="I18" s="20" t="str">
        <f t="shared" si="2"/>
        <v/>
      </c>
    </row>
    <row r="19" spans="2:9" x14ac:dyDescent="0.25">
      <c r="B19" s="26"/>
      <c r="C19" s="21"/>
      <c r="D19" s="22"/>
      <c r="E19" s="28"/>
      <c r="G19" s="1" t="str">
        <f t="shared" si="0"/>
        <v/>
      </c>
      <c r="H19" s="20" t="str">
        <f t="shared" si="1"/>
        <v/>
      </c>
      <c r="I19" s="20" t="str">
        <f t="shared" si="2"/>
        <v/>
      </c>
    </row>
    <row r="20" spans="2:9" x14ac:dyDescent="0.25">
      <c r="B20" s="26"/>
      <c r="C20" s="21"/>
      <c r="D20" s="22"/>
      <c r="E20" s="28"/>
      <c r="G20" s="1" t="str">
        <f t="shared" si="0"/>
        <v/>
      </c>
      <c r="H20" s="20" t="str">
        <f t="shared" si="1"/>
        <v/>
      </c>
      <c r="I20" s="20" t="str">
        <f t="shared" si="2"/>
        <v/>
      </c>
    </row>
    <row r="21" spans="2:9" x14ac:dyDescent="0.25">
      <c r="B21" s="26"/>
      <c r="C21" s="21"/>
      <c r="D21" s="24"/>
      <c r="E21" s="28"/>
      <c r="G21" s="1" t="str">
        <f t="shared" si="0"/>
        <v/>
      </c>
      <c r="H21" s="20" t="str">
        <f t="shared" si="1"/>
        <v/>
      </c>
      <c r="I21" s="20" t="str">
        <f t="shared" si="2"/>
        <v/>
      </c>
    </row>
    <row r="22" spans="2:9" x14ac:dyDescent="0.25">
      <c r="B22" s="26"/>
      <c r="C22" s="21"/>
      <c r="D22" s="22"/>
      <c r="E22" s="28"/>
      <c r="G22" s="1" t="str">
        <f t="shared" si="0"/>
        <v/>
      </c>
      <c r="H22" s="20" t="str">
        <f t="shared" si="1"/>
        <v/>
      </c>
      <c r="I22" s="20" t="str">
        <f t="shared" si="2"/>
        <v/>
      </c>
    </row>
    <row r="23" spans="2:9" x14ac:dyDescent="0.25">
      <c r="B23" s="26"/>
      <c r="C23" s="21"/>
      <c r="D23" s="22"/>
      <c r="E23" s="28"/>
      <c r="G23" s="1" t="str">
        <f t="shared" si="0"/>
        <v/>
      </c>
      <c r="H23" s="20" t="str">
        <f t="shared" si="1"/>
        <v/>
      </c>
      <c r="I23" s="20" t="str">
        <f t="shared" si="2"/>
        <v/>
      </c>
    </row>
    <row r="24" spans="2:9" x14ac:dyDescent="0.25">
      <c r="B24" s="26"/>
      <c r="C24" s="21"/>
      <c r="D24" s="22"/>
      <c r="E24" s="28"/>
      <c r="G24" s="1" t="str">
        <f t="shared" si="0"/>
        <v/>
      </c>
      <c r="H24" s="20" t="str">
        <f t="shared" si="1"/>
        <v/>
      </c>
      <c r="I24" s="20" t="str">
        <f t="shared" si="2"/>
        <v/>
      </c>
    </row>
    <row r="25" spans="2:9" x14ac:dyDescent="0.25">
      <c r="B25" s="26"/>
      <c r="C25" s="21"/>
      <c r="D25" s="22"/>
      <c r="E25" s="28"/>
      <c r="G25" s="1" t="str">
        <f t="shared" si="0"/>
        <v/>
      </c>
      <c r="H25" s="20" t="str">
        <f t="shared" si="1"/>
        <v/>
      </c>
      <c r="I25" s="20" t="str">
        <f t="shared" si="2"/>
        <v/>
      </c>
    </row>
    <row r="26" spans="2:9" x14ac:dyDescent="0.25">
      <c r="B26" s="26"/>
      <c r="C26" s="21"/>
      <c r="D26" s="22"/>
      <c r="E26" s="28"/>
      <c r="G26" s="1" t="str">
        <f t="shared" si="0"/>
        <v/>
      </c>
      <c r="H26" s="20" t="str">
        <f t="shared" si="1"/>
        <v/>
      </c>
      <c r="I26" s="20" t="str">
        <f t="shared" si="2"/>
        <v/>
      </c>
    </row>
    <row r="27" spans="2:9" x14ac:dyDescent="0.25">
      <c r="B27" s="26"/>
      <c r="C27" s="21"/>
      <c r="D27" s="22"/>
      <c r="E27" s="28"/>
      <c r="G27" s="1" t="str">
        <f t="shared" si="0"/>
        <v/>
      </c>
      <c r="H27" s="20" t="str">
        <f t="shared" si="1"/>
        <v/>
      </c>
      <c r="I27" s="20" t="str">
        <f t="shared" si="2"/>
        <v/>
      </c>
    </row>
    <row r="28" spans="2:9" x14ac:dyDescent="0.25">
      <c r="B28" s="26"/>
      <c r="C28" s="21"/>
      <c r="D28" s="22"/>
      <c r="E28" s="28"/>
      <c r="G28" s="1" t="str">
        <f t="shared" si="0"/>
        <v/>
      </c>
      <c r="H28" s="20" t="str">
        <f t="shared" si="1"/>
        <v/>
      </c>
      <c r="I28" s="20" t="str">
        <f t="shared" si="2"/>
        <v/>
      </c>
    </row>
    <row r="29" spans="2:9" x14ac:dyDescent="0.25">
      <c r="B29" s="26"/>
      <c r="C29" s="21"/>
      <c r="D29" s="22"/>
      <c r="E29" s="28"/>
      <c r="G29" s="1" t="str">
        <f t="shared" si="0"/>
        <v/>
      </c>
      <c r="H29" s="20" t="str">
        <f t="shared" si="1"/>
        <v/>
      </c>
      <c r="I29" s="20" t="str">
        <f t="shared" si="2"/>
        <v/>
      </c>
    </row>
    <row r="30" spans="2:9" x14ac:dyDescent="0.25">
      <c r="B30" s="26"/>
      <c r="C30" s="21"/>
      <c r="D30" s="22"/>
      <c r="E30" s="28"/>
      <c r="G30" s="1" t="str">
        <f t="shared" si="0"/>
        <v/>
      </c>
      <c r="H30" s="20" t="str">
        <f t="shared" si="1"/>
        <v/>
      </c>
      <c r="I30" s="20" t="str">
        <f t="shared" si="2"/>
        <v/>
      </c>
    </row>
    <row r="31" spans="2:9" x14ac:dyDescent="0.25">
      <c r="B31" s="26"/>
      <c r="C31" s="21"/>
      <c r="D31" s="22"/>
      <c r="E31" s="28"/>
      <c r="G31" s="1" t="str">
        <f t="shared" si="0"/>
        <v/>
      </c>
      <c r="H31" s="20" t="str">
        <f t="shared" si="1"/>
        <v/>
      </c>
      <c r="I31" s="20" t="str">
        <f t="shared" si="2"/>
        <v/>
      </c>
    </row>
    <row r="32" spans="2:9" x14ac:dyDescent="0.25">
      <c r="B32" s="26"/>
      <c r="C32" s="21"/>
      <c r="D32" s="22"/>
      <c r="E32" s="28"/>
      <c r="G32" s="1" t="str">
        <f t="shared" si="0"/>
        <v/>
      </c>
      <c r="H32" s="20" t="str">
        <f t="shared" si="1"/>
        <v/>
      </c>
      <c r="I32" s="20" t="str">
        <f t="shared" si="2"/>
        <v/>
      </c>
    </row>
    <row r="33" spans="2:9" x14ac:dyDescent="0.25">
      <c r="B33" s="26"/>
      <c r="C33" s="21"/>
      <c r="D33" s="22"/>
      <c r="E33" s="28"/>
      <c r="G33" s="1" t="str">
        <f t="shared" si="0"/>
        <v/>
      </c>
      <c r="H33" s="20" t="str">
        <f t="shared" si="1"/>
        <v/>
      </c>
      <c r="I33" s="20" t="str">
        <f t="shared" si="2"/>
        <v/>
      </c>
    </row>
    <row r="34" spans="2:9" x14ac:dyDescent="0.25">
      <c r="B34" s="26"/>
      <c r="C34" s="21"/>
      <c r="D34" s="22"/>
      <c r="E34" s="28"/>
      <c r="G34" s="1" t="str">
        <f t="shared" si="0"/>
        <v/>
      </c>
      <c r="H34" s="20" t="str">
        <f t="shared" si="1"/>
        <v/>
      </c>
      <c r="I34" s="20" t="str">
        <f t="shared" si="2"/>
        <v/>
      </c>
    </row>
    <row r="35" spans="2:9" x14ac:dyDescent="0.25">
      <c r="B35" s="26"/>
      <c r="C35" s="21"/>
      <c r="D35" s="22"/>
      <c r="E35" s="28"/>
      <c r="G35" s="1" t="str">
        <f t="shared" si="0"/>
        <v/>
      </c>
      <c r="H35" s="20" t="str">
        <f t="shared" si="1"/>
        <v/>
      </c>
      <c r="I35" s="20" t="str">
        <f t="shared" si="2"/>
        <v/>
      </c>
    </row>
    <row r="36" spans="2:9" x14ac:dyDescent="0.25">
      <c r="B36" s="26"/>
      <c r="C36" s="21"/>
      <c r="D36" s="22"/>
      <c r="E36" s="28"/>
      <c r="G36" s="1" t="str">
        <f t="shared" si="0"/>
        <v/>
      </c>
      <c r="H36" s="20" t="str">
        <f t="shared" si="1"/>
        <v/>
      </c>
      <c r="I36" s="20" t="str">
        <f t="shared" si="2"/>
        <v/>
      </c>
    </row>
    <row r="37" spans="2:9" x14ac:dyDescent="0.25">
      <c r="B37" s="26"/>
      <c r="C37" s="21"/>
      <c r="D37" s="24"/>
      <c r="E37" s="28"/>
      <c r="G37" s="1" t="str">
        <f t="shared" si="0"/>
        <v/>
      </c>
      <c r="H37" s="20" t="str">
        <f t="shared" si="1"/>
        <v/>
      </c>
      <c r="I37" s="20" t="str">
        <f t="shared" si="2"/>
        <v/>
      </c>
    </row>
    <row r="38" spans="2:9" x14ac:dyDescent="0.25">
      <c r="B38" s="26"/>
      <c r="C38" s="21"/>
      <c r="D38" s="22"/>
      <c r="E38" s="28"/>
      <c r="G38" s="1" t="str">
        <f t="shared" si="0"/>
        <v/>
      </c>
      <c r="H38" s="20" t="str">
        <f t="shared" si="1"/>
        <v/>
      </c>
      <c r="I38" s="20" t="str">
        <f t="shared" si="2"/>
        <v/>
      </c>
    </row>
    <row r="39" spans="2:9" x14ac:dyDescent="0.25">
      <c r="B39" s="26"/>
      <c r="C39" s="21"/>
      <c r="D39" s="22"/>
      <c r="E39" s="28"/>
      <c r="G39" s="1" t="str">
        <f t="shared" si="0"/>
        <v/>
      </c>
      <c r="H39" s="20" t="str">
        <f t="shared" si="1"/>
        <v/>
      </c>
      <c r="I39" s="20" t="str">
        <f t="shared" si="2"/>
        <v/>
      </c>
    </row>
    <row r="40" spans="2:9" x14ac:dyDescent="0.25">
      <c r="B40" s="26"/>
      <c r="C40" s="21"/>
      <c r="D40" s="22"/>
      <c r="E40" s="28"/>
      <c r="G40" s="1" t="str">
        <f t="shared" si="0"/>
        <v/>
      </c>
      <c r="H40" s="20" t="str">
        <f t="shared" si="1"/>
        <v/>
      </c>
      <c r="I40" s="20" t="str">
        <f t="shared" si="2"/>
        <v/>
      </c>
    </row>
    <row r="41" spans="2:9" x14ac:dyDescent="0.25">
      <c r="B41" s="26"/>
      <c r="C41" s="21"/>
      <c r="D41" s="22"/>
      <c r="E41" s="28"/>
      <c r="G41" s="1" t="str">
        <f t="shared" si="0"/>
        <v/>
      </c>
      <c r="H41" s="20" t="str">
        <f t="shared" si="1"/>
        <v/>
      </c>
      <c r="I41" s="20" t="str">
        <f t="shared" si="2"/>
        <v/>
      </c>
    </row>
    <row r="42" spans="2:9" x14ac:dyDescent="0.25">
      <c r="B42" s="26"/>
      <c r="C42" s="23"/>
      <c r="D42" s="23"/>
      <c r="E42" s="28"/>
      <c r="G42" s="1" t="str">
        <f t="shared" si="0"/>
        <v/>
      </c>
      <c r="H42" s="20" t="str">
        <f t="shared" si="1"/>
        <v/>
      </c>
      <c r="I42" s="20" t="str">
        <f t="shared" si="2"/>
        <v/>
      </c>
    </row>
    <row r="43" spans="2:9" x14ac:dyDescent="0.25">
      <c r="B43" s="26"/>
      <c r="C43" s="23"/>
      <c r="D43" s="23"/>
      <c r="E43" s="28"/>
      <c r="G43" s="1" t="str">
        <f t="shared" si="0"/>
        <v/>
      </c>
      <c r="H43" s="20" t="str">
        <f t="shared" si="1"/>
        <v/>
      </c>
      <c r="I43" s="20" t="str">
        <f t="shared" si="2"/>
        <v/>
      </c>
    </row>
    <row r="44" spans="2:9" x14ac:dyDescent="0.25">
      <c r="B44" s="30"/>
      <c r="C44" s="30"/>
    </row>
    <row r="45" spans="2:9" x14ac:dyDescent="0.25">
      <c r="B45" s="30"/>
      <c r="C45" s="30"/>
    </row>
    <row r="46" spans="2:9" x14ac:dyDescent="0.25">
      <c r="B46" s="30"/>
      <c r="C46" s="30"/>
    </row>
    <row r="47" spans="2:9" x14ac:dyDescent="0.25">
      <c r="B47" s="30"/>
      <c r="C47" s="30"/>
    </row>
    <row r="48" spans="2:9" x14ac:dyDescent="0.25">
      <c r="B48" s="30"/>
      <c r="C48" s="30"/>
    </row>
  </sheetData>
  <mergeCells count="2">
    <mergeCell ref="B12:E12"/>
    <mergeCell ref="G12:I12"/>
  </mergeCells>
  <conditionalFormatting sqref="B4">
    <cfRule type="cellIs" dxfId="46" priority="5" operator="equal">
      <formula>"M0"</formula>
    </cfRule>
  </conditionalFormatting>
  <conditionalFormatting sqref="B6">
    <cfRule type="cellIs" dxfId="45" priority="3" operator="equal">
      <formula>"M0"</formula>
    </cfRule>
  </conditionalFormatting>
  <conditionalFormatting sqref="C4">
    <cfRule type="cellIs" dxfId="44" priority="2" operator="equal">
      <formula>"M0"</formula>
    </cfRule>
  </conditionalFormatting>
  <conditionalFormatting sqref="C6">
    <cfRule type="cellIs" dxfId="43" priority="1" operator="equal">
      <formula>"M0"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text="ON" id="{B9C0F0FA-2CDD-4736-8E9B-F13FDCA4CA5C}">
            <xm:f>NOT(ISERROR(SEARCH("ON",SCOOP!B4)))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B4:C4 B6:C6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/>
  <dimension ref="A1:P48"/>
  <sheetViews>
    <sheetView showGridLines="0" zoomScale="60" zoomScaleNormal="60" workbookViewId="0">
      <selection activeCell="V27" sqref="V27"/>
    </sheetView>
  </sheetViews>
  <sheetFormatPr baseColWidth="10" defaultRowHeight="15" x14ac:dyDescent="0.25"/>
  <cols>
    <col min="1" max="1" width="10.85546875" customWidth="1"/>
    <col min="2" max="3" width="25.5703125" customWidth="1"/>
    <col min="4" max="5" width="24.5703125" customWidth="1"/>
    <col min="6" max="6" width="6.5703125" customWidth="1"/>
    <col min="7" max="7" width="10.5703125" customWidth="1"/>
    <col min="8" max="8" width="20.5703125" customWidth="1"/>
    <col min="9" max="9" width="26.5703125" customWidth="1"/>
    <col min="10" max="10" width="19.140625" customWidth="1"/>
    <col min="11" max="11" width="17.7109375" customWidth="1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2" t="s">
        <v>0</v>
      </c>
      <c r="C2" s="27">
        <f>PLANNING!C2</f>
        <v>45921</v>
      </c>
      <c r="D2" s="3"/>
      <c r="E2" s="1"/>
      <c r="F2" s="1"/>
      <c r="G2" s="34" t="s">
        <v>27</v>
      </c>
      <c r="H2" s="34" t="s">
        <v>28</v>
      </c>
      <c r="I2" s="34" t="s">
        <v>29</v>
      </c>
      <c r="J2" s="34" t="s">
        <v>49</v>
      </c>
      <c r="K2" s="1"/>
      <c r="L2" s="1"/>
      <c r="M2" s="1"/>
      <c r="N2" s="1"/>
      <c r="O2" s="1"/>
      <c r="P2" s="1"/>
    </row>
    <row r="3" spans="1:16" x14ac:dyDescent="0.25">
      <c r="A3" s="1"/>
      <c r="B3" s="1"/>
      <c r="C3" s="1"/>
      <c r="D3" s="1"/>
      <c r="E3" s="1"/>
      <c r="F3" s="1"/>
      <c r="G3" s="35"/>
      <c r="H3" s="35"/>
      <c r="I3" s="35"/>
      <c r="J3" s="35"/>
      <c r="K3" s="1"/>
      <c r="L3" s="1"/>
      <c r="M3" s="1"/>
      <c r="N3" s="1"/>
      <c r="O3" s="1"/>
      <c r="P3" s="1"/>
    </row>
    <row r="4" spans="1:16" x14ac:dyDescent="0.25">
      <c r="A4" s="1"/>
      <c r="B4" s="2" t="s">
        <v>7</v>
      </c>
      <c r="C4" s="27">
        <f>PLANNING!C4</f>
        <v>45927</v>
      </c>
      <c r="D4" s="2"/>
      <c r="E4" s="1"/>
      <c r="F4" s="1"/>
      <c r="G4" s="35"/>
      <c r="H4" s="35"/>
      <c r="I4" s="35"/>
      <c r="J4" s="35"/>
      <c r="K4" s="1"/>
      <c r="L4" s="1"/>
      <c r="M4" s="1"/>
      <c r="N4" s="1"/>
      <c r="O4" s="1"/>
      <c r="P4" s="1"/>
    </row>
    <row r="5" spans="1:16" x14ac:dyDescent="0.25">
      <c r="A5" s="1"/>
      <c r="B5" s="1"/>
      <c r="C5" s="1"/>
      <c r="D5" s="16"/>
      <c r="E5" s="1"/>
      <c r="F5" s="1"/>
      <c r="G5" s="35"/>
      <c r="H5" s="35"/>
      <c r="I5" s="35"/>
      <c r="J5" s="35"/>
      <c r="K5" s="1"/>
      <c r="L5" s="1"/>
      <c r="M5" s="1"/>
      <c r="N5" s="1"/>
      <c r="O5" s="1"/>
      <c r="P5" s="1"/>
    </row>
    <row r="6" spans="1:16" x14ac:dyDescent="0.25">
      <c r="A6" s="1"/>
      <c r="B6" s="2" t="s">
        <v>8</v>
      </c>
      <c r="C6" s="2" t="str">
        <f>TEXT(C4-C2+1,"j"" jours""")</f>
        <v>7 jours</v>
      </c>
      <c r="D6" s="16"/>
      <c r="E6" s="1"/>
      <c r="F6" s="1"/>
      <c r="G6" s="35"/>
      <c r="H6" s="35"/>
      <c r="I6" s="35"/>
      <c r="J6" s="35"/>
      <c r="K6" s="1"/>
      <c r="L6" s="1"/>
      <c r="M6" s="1"/>
      <c r="N6" s="1"/>
      <c r="O6" s="1"/>
      <c r="P6" s="1"/>
    </row>
    <row r="7" spans="1:16" x14ac:dyDescent="0.25">
      <c r="A7" s="1"/>
      <c r="B7" s="1"/>
      <c r="C7" s="1"/>
      <c r="D7" s="1"/>
      <c r="E7" s="1"/>
      <c r="F7" s="1"/>
      <c r="G7" s="35"/>
      <c r="H7" s="35"/>
      <c r="I7" s="35"/>
      <c r="J7" s="35"/>
      <c r="K7" s="1"/>
      <c r="L7" s="1"/>
      <c r="M7" s="1"/>
      <c r="N7" s="1"/>
      <c r="O7" s="1"/>
      <c r="P7" s="1"/>
    </row>
    <row r="8" spans="1:16" x14ac:dyDescent="0.25">
      <c r="A8" s="1"/>
      <c r="B8" s="2" t="s">
        <v>37</v>
      </c>
      <c r="C8" s="2">
        <f>COUNTA(B15:B43)</f>
        <v>0</v>
      </c>
      <c r="D8" s="1"/>
      <c r="E8" s="1"/>
      <c r="F8" s="1"/>
      <c r="G8" s="35"/>
      <c r="H8" s="35"/>
      <c r="I8" s="35"/>
      <c r="J8" s="35"/>
      <c r="K8" s="1"/>
      <c r="L8" s="1"/>
      <c r="M8" s="1"/>
      <c r="N8" s="1"/>
      <c r="O8" s="1"/>
      <c r="P8" s="1"/>
    </row>
    <row r="9" spans="1:1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5">
      <c r="B10" s="7"/>
      <c r="C10" s="7"/>
    </row>
    <row r="11" spans="1:16" x14ac:dyDescent="0.25">
      <c r="B11" s="7"/>
      <c r="C11" s="7"/>
    </row>
    <row r="12" spans="1:16" x14ac:dyDescent="0.25">
      <c r="B12" s="45" t="s">
        <v>39</v>
      </c>
      <c r="C12" s="45"/>
      <c r="D12" s="45"/>
      <c r="E12" s="45"/>
      <c r="G12" s="46" t="s">
        <v>38</v>
      </c>
      <c r="H12" s="46"/>
      <c r="I12" s="46"/>
    </row>
    <row r="14" spans="1:16" x14ac:dyDescent="0.25">
      <c r="B14" s="25" t="s">
        <v>40</v>
      </c>
      <c r="C14" s="25" t="s">
        <v>22</v>
      </c>
      <c r="D14" s="25" t="s">
        <v>23</v>
      </c>
      <c r="E14" s="25" t="s">
        <v>25</v>
      </c>
      <c r="G14" s="31" t="s">
        <v>40</v>
      </c>
      <c r="H14" s="2" t="s">
        <v>20</v>
      </c>
      <c r="I14" s="2" t="s">
        <v>21</v>
      </c>
    </row>
    <row r="15" spans="1:16" x14ac:dyDescent="0.25">
      <c r="B15" s="26"/>
      <c r="C15" s="21"/>
      <c r="D15" s="22"/>
      <c r="E15" s="28"/>
      <c r="G15" s="1">
        <f>$B15</f>
        <v>0</v>
      </c>
      <c r="H15" s="20">
        <f>$C15+ $D15</f>
        <v>0</v>
      </c>
      <c r="I15" s="20">
        <f>$H15 + $E15</f>
        <v>0</v>
      </c>
    </row>
    <row r="16" spans="1:16" x14ac:dyDescent="0.25">
      <c r="B16" s="26"/>
      <c r="C16" s="21"/>
      <c r="D16" s="22"/>
      <c r="E16" s="28"/>
      <c r="G16" s="1"/>
      <c r="H16" s="20"/>
      <c r="I16" s="20"/>
    </row>
    <row r="17" spans="2:9" x14ac:dyDescent="0.25">
      <c r="B17" s="26"/>
      <c r="C17" s="21"/>
      <c r="D17" s="22"/>
      <c r="E17" s="28"/>
      <c r="G17" s="1"/>
      <c r="H17" s="20"/>
      <c r="I17" s="20"/>
    </row>
    <row r="18" spans="2:9" x14ac:dyDescent="0.25">
      <c r="B18" s="26"/>
      <c r="C18" s="21"/>
      <c r="D18" s="22"/>
      <c r="E18" s="28"/>
      <c r="G18" s="1"/>
      <c r="H18" s="20"/>
      <c r="I18" s="20"/>
    </row>
    <row r="19" spans="2:9" x14ac:dyDescent="0.25">
      <c r="B19" s="26"/>
      <c r="C19" s="21"/>
      <c r="D19" s="22"/>
      <c r="E19" s="28"/>
      <c r="G19" s="1"/>
      <c r="H19" s="20"/>
      <c r="I19" s="20"/>
    </row>
    <row r="20" spans="2:9" x14ac:dyDescent="0.25">
      <c r="B20" s="26"/>
      <c r="C20" s="21"/>
      <c r="D20" s="22"/>
      <c r="E20" s="28"/>
      <c r="G20" s="1"/>
      <c r="H20" s="20"/>
      <c r="I20" s="20"/>
    </row>
    <row r="21" spans="2:9" x14ac:dyDescent="0.25">
      <c r="B21" s="26"/>
      <c r="C21" s="21"/>
      <c r="D21" s="24"/>
      <c r="E21" s="28"/>
      <c r="G21" s="1"/>
      <c r="H21" s="20"/>
      <c r="I21" s="20"/>
    </row>
    <row r="22" spans="2:9" x14ac:dyDescent="0.25">
      <c r="B22" s="26"/>
      <c r="C22" s="21"/>
      <c r="D22" s="22"/>
      <c r="E22" s="28"/>
      <c r="G22" s="1"/>
      <c r="H22" s="20"/>
      <c r="I22" s="20"/>
    </row>
    <row r="23" spans="2:9" x14ac:dyDescent="0.25">
      <c r="B23" s="26"/>
      <c r="C23" s="21"/>
      <c r="D23" s="22"/>
      <c r="E23" s="28"/>
      <c r="G23" s="1"/>
      <c r="H23" s="20"/>
      <c r="I23" s="20"/>
    </row>
    <row r="24" spans="2:9" x14ac:dyDescent="0.25">
      <c r="B24" s="26"/>
      <c r="C24" s="21"/>
      <c r="D24" s="22"/>
      <c r="E24" s="28"/>
      <c r="G24" s="1"/>
      <c r="H24" s="20"/>
      <c r="I24" s="20"/>
    </row>
    <row r="25" spans="2:9" x14ac:dyDescent="0.25">
      <c r="B25" s="26"/>
      <c r="C25" s="21"/>
      <c r="D25" s="22"/>
      <c r="E25" s="28"/>
      <c r="G25" s="1"/>
      <c r="H25" s="20"/>
      <c r="I25" s="20"/>
    </row>
    <row r="26" spans="2:9" x14ac:dyDescent="0.25">
      <c r="B26" s="26"/>
      <c r="C26" s="21"/>
      <c r="D26" s="22"/>
      <c r="E26" s="28"/>
      <c r="G26" s="1"/>
      <c r="H26" s="20"/>
      <c r="I26" s="20"/>
    </row>
    <row r="27" spans="2:9" x14ac:dyDescent="0.25">
      <c r="B27" s="26"/>
      <c r="C27" s="21"/>
      <c r="D27" s="22"/>
      <c r="E27" s="28"/>
      <c r="G27" s="1"/>
      <c r="H27" s="20"/>
      <c r="I27" s="20"/>
    </row>
    <row r="28" spans="2:9" x14ac:dyDescent="0.25">
      <c r="B28" s="26"/>
      <c r="C28" s="21"/>
      <c r="D28" s="22"/>
      <c r="E28" s="28"/>
      <c r="G28" s="1"/>
      <c r="H28" s="20"/>
      <c r="I28" s="20"/>
    </row>
    <row r="29" spans="2:9" x14ac:dyDescent="0.25">
      <c r="B29" s="26"/>
      <c r="C29" s="21"/>
      <c r="D29" s="22"/>
      <c r="E29" s="28"/>
      <c r="G29" s="1"/>
      <c r="H29" s="20"/>
      <c r="I29" s="20"/>
    </row>
    <row r="30" spans="2:9" x14ac:dyDescent="0.25">
      <c r="B30" s="26"/>
      <c r="C30" s="21"/>
      <c r="D30" s="22"/>
      <c r="E30" s="28"/>
      <c r="G30" s="1"/>
      <c r="H30" s="20"/>
      <c r="I30" s="20"/>
    </row>
    <row r="31" spans="2:9" x14ac:dyDescent="0.25">
      <c r="B31" s="26"/>
      <c r="C31" s="21"/>
      <c r="D31" s="22"/>
      <c r="E31" s="28"/>
      <c r="G31" s="1"/>
      <c r="H31" s="20"/>
      <c r="I31" s="20"/>
    </row>
    <row r="32" spans="2:9" x14ac:dyDescent="0.25">
      <c r="B32" s="26"/>
      <c r="C32" s="21"/>
      <c r="D32" s="22"/>
      <c r="E32" s="28"/>
      <c r="G32" s="1"/>
      <c r="H32" s="20"/>
      <c r="I32" s="20"/>
    </row>
    <row r="33" spans="2:9" x14ac:dyDescent="0.25">
      <c r="B33" s="26"/>
      <c r="C33" s="21"/>
      <c r="D33" s="22"/>
      <c r="E33" s="28"/>
      <c r="G33" s="1"/>
      <c r="H33" s="20"/>
      <c r="I33" s="20"/>
    </row>
    <row r="34" spans="2:9" x14ac:dyDescent="0.25">
      <c r="B34" s="26"/>
      <c r="C34" s="21"/>
      <c r="D34" s="22"/>
      <c r="E34" s="28"/>
      <c r="G34" s="1"/>
      <c r="H34" s="20"/>
      <c r="I34" s="20"/>
    </row>
    <row r="35" spans="2:9" x14ac:dyDescent="0.25">
      <c r="B35" s="26"/>
      <c r="C35" s="21"/>
      <c r="D35" s="22"/>
      <c r="E35" s="28"/>
      <c r="G35" s="1"/>
      <c r="H35" s="20"/>
      <c r="I35" s="20"/>
    </row>
    <row r="36" spans="2:9" x14ac:dyDescent="0.25">
      <c r="B36" s="26"/>
      <c r="C36" s="21"/>
      <c r="D36" s="22"/>
      <c r="E36" s="28"/>
      <c r="G36" s="1"/>
      <c r="H36" s="20"/>
      <c r="I36" s="20"/>
    </row>
    <row r="37" spans="2:9" x14ac:dyDescent="0.25">
      <c r="B37" s="26"/>
      <c r="C37" s="21"/>
      <c r="D37" s="24"/>
      <c r="E37" s="28"/>
      <c r="G37" s="1"/>
      <c r="H37" s="20"/>
      <c r="I37" s="20"/>
    </row>
    <row r="38" spans="2:9" x14ac:dyDescent="0.25">
      <c r="B38" s="26"/>
      <c r="C38" s="21"/>
      <c r="D38" s="22"/>
      <c r="E38" s="28"/>
      <c r="G38" s="1"/>
      <c r="H38" s="20"/>
      <c r="I38" s="20"/>
    </row>
    <row r="39" spans="2:9" x14ac:dyDescent="0.25">
      <c r="B39" s="26"/>
      <c r="C39" s="21"/>
      <c r="D39" s="22"/>
      <c r="E39" s="28"/>
      <c r="G39" s="1"/>
      <c r="H39" s="20"/>
      <c r="I39" s="20"/>
    </row>
    <row r="40" spans="2:9" x14ac:dyDescent="0.25">
      <c r="B40" s="26"/>
      <c r="C40" s="21"/>
      <c r="D40" s="22"/>
      <c r="E40" s="28"/>
      <c r="G40" s="1"/>
      <c r="H40" s="20"/>
      <c r="I40" s="20"/>
    </row>
    <row r="41" spans="2:9" x14ac:dyDescent="0.25">
      <c r="B41" s="26"/>
      <c r="C41" s="21"/>
      <c r="D41" s="22"/>
      <c r="E41" s="28"/>
      <c r="G41" s="1"/>
      <c r="H41" s="20"/>
      <c r="I41" s="20"/>
    </row>
    <row r="42" spans="2:9" x14ac:dyDescent="0.25">
      <c r="B42" s="26"/>
      <c r="C42" s="23"/>
      <c r="D42" s="23"/>
      <c r="E42" s="28"/>
      <c r="G42" s="1"/>
      <c r="H42" s="20"/>
      <c r="I42" s="20"/>
    </row>
    <row r="43" spans="2:9" x14ac:dyDescent="0.25">
      <c r="B43" s="26"/>
      <c r="C43" s="23"/>
      <c r="D43" s="23"/>
      <c r="E43" s="28"/>
      <c r="G43" s="1"/>
      <c r="H43" s="20"/>
      <c r="I43" s="20"/>
    </row>
    <row r="44" spans="2:9" x14ac:dyDescent="0.25">
      <c r="B44" s="30"/>
      <c r="C44" s="30"/>
    </row>
    <row r="45" spans="2:9" x14ac:dyDescent="0.25">
      <c r="B45" s="30"/>
      <c r="C45" s="30"/>
    </row>
    <row r="46" spans="2:9" x14ac:dyDescent="0.25">
      <c r="B46" s="30"/>
      <c r="C46" s="30"/>
    </row>
    <row r="47" spans="2:9" x14ac:dyDescent="0.25">
      <c r="B47" s="30"/>
      <c r="C47" s="30"/>
    </row>
    <row r="48" spans="2:9" x14ac:dyDescent="0.25">
      <c r="B48" s="30"/>
      <c r="C48" s="30"/>
    </row>
  </sheetData>
  <mergeCells count="2">
    <mergeCell ref="B12:E12"/>
    <mergeCell ref="G12:I12"/>
  </mergeCells>
  <conditionalFormatting sqref="B4">
    <cfRule type="cellIs" dxfId="41" priority="8" operator="equal">
      <formula>"M0"</formula>
    </cfRule>
  </conditionalFormatting>
  <conditionalFormatting sqref="B6">
    <cfRule type="cellIs" dxfId="40" priority="6" operator="equal">
      <formula>"M0"</formula>
    </cfRule>
  </conditionalFormatting>
  <conditionalFormatting sqref="C4">
    <cfRule type="cellIs" dxfId="39" priority="4" operator="equal">
      <formula>"M0"</formula>
    </cfRule>
  </conditionalFormatting>
  <conditionalFormatting sqref="C6">
    <cfRule type="cellIs" dxfId="38" priority="2" operator="equal">
      <formula>"M0"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" operator="containsText" text="ON" id="{61D6CDE1-5FCD-4506-A7D0-02D1D226CFBC}">
            <xm:f>NOT(ISERROR(SEARCH("ON",SCOOP!B4)))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B4:C4 B6:C6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PASSAGES</vt:lpstr>
      <vt:lpstr>PLANNING</vt:lpstr>
      <vt:lpstr>ECLIPSES</vt:lpstr>
      <vt:lpstr>BANDE S</vt:lpstr>
      <vt:lpstr>SCOOP</vt:lpstr>
      <vt:lpstr>ALTO</vt:lpstr>
      <vt:lpstr>ELIOT</vt:lpstr>
      <vt:lpstr>CAMEO</vt:lpstr>
      <vt:lpstr>SCC</vt:lpstr>
      <vt:lpstr>modèle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Lucie COUTTET</dc:creator>
  <cp:lastModifiedBy>Flavien SERRET</cp:lastModifiedBy>
  <cp:lastPrinted>2025-05-31T23:12:30Z</cp:lastPrinted>
  <dcterms:created xsi:type="dcterms:W3CDTF">2016-12-06T04:52:27Z</dcterms:created>
  <dcterms:modified xsi:type="dcterms:W3CDTF">2025-06-02T07:06:05Z</dcterms:modified>
</cp:coreProperties>
</file>